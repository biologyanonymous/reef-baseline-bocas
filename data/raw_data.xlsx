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trate composition 2023-2025" sheetId="1" r:id="rId4"/>
    <sheet state="visible" name="Coral health 2023-2025" sheetId="2" r:id="rId5"/>
    <sheet state="visible" name="Fish 2024-2025" sheetId="3" r:id="rId6"/>
    <sheet state="visible" name="Codes" sheetId="4" r:id="rId7"/>
  </sheets>
  <definedNames/>
  <calcPr/>
</workbook>
</file>

<file path=xl/sharedStrings.xml><?xml version="1.0" encoding="utf-8"?>
<sst xmlns="http://schemas.openxmlformats.org/spreadsheetml/2006/main" count="2765" uniqueCount="295">
  <si>
    <t>Date</t>
  </si>
  <si>
    <t>Dive site</t>
  </si>
  <si>
    <t>SD</t>
  </si>
  <si>
    <t>Depth (Start)</t>
  </si>
  <si>
    <t>Depth (End)</t>
  </si>
  <si>
    <t>Temperature (C°)</t>
  </si>
  <si>
    <t>SI</t>
  </si>
  <si>
    <t>SA</t>
  </si>
  <si>
    <t>RB</t>
  </si>
  <si>
    <t>RK</t>
  </si>
  <si>
    <t>AL-TF</t>
  </si>
  <si>
    <t>AL-FMA</t>
  </si>
  <si>
    <t>AL-CCA</t>
  </si>
  <si>
    <t>AL-PAC</t>
  </si>
  <si>
    <t>SP-RP</t>
  </si>
  <si>
    <t>SP-BA</t>
  </si>
  <si>
    <t>SP-GB</t>
  </si>
  <si>
    <t>SP-EN</t>
  </si>
  <si>
    <t>SP-TB</t>
  </si>
  <si>
    <t>SP-AG</t>
  </si>
  <si>
    <t>CO-MA</t>
  </si>
  <si>
    <t>CO-LE</t>
  </si>
  <si>
    <t>CO-BR</t>
  </si>
  <si>
    <t>CO-MB</t>
  </si>
  <si>
    <t>CO-FL</t>
  </si>
  <si>
    <t>CO-SO</t>
  </si>
  <si>
    <t>CO-DI</t>
  </si>
  <si>
    <t>OC</t>
  </si>
  <si>
    <t>BC</t>
  </si>
  <si>
    <t>FC</t>
  </si>
  <si>
    <t>AN</t>
  </si>
  <si>
    <t>CM</t>
  </si>
  <si>
    <t>TU</t>
  </si>
  <si>
    <t>BCM</t>
  </si>
  <si>
    <t>UNKNOWN</t>
  </si>
  <si>
    <t>Total Data Points</t>
  </si>
  <si>
    <t>AB total</t>
  </si>
  <si>
    <t>AL total</t>
  </si>
  <si>
    <t>SP total</t>
  </si>
  <si>
    <t>CO total</t>
  </si>
  <si>
    <t>Others total</t>
  </si>
  <si>
    <t>Buoy Line</t>
  </si>
  <si>
    <t>Casablanca</t>
  </si>
  <si>
    <t>Grandmas Garden</t>
  </si>
  <si>
    <t>Pandora</t>
  </si>
  <si>
    <t>Manuels Wall</t>
  </si>
  <si>
    <t>-</t>
  </si>
  <si>
    <t/>
  </si>
  <si>
    <t>2 EG</t>
  </si>
  <si>
    <t>CPI</t>
  </si>
  <si>
    <t>?</t>
  </si>
  <si>
    <t>Dive Site</t>
  </si>
  <si>
    <t>HE</t>
  </si>
  <si>
    <t>DG(M)</t>
  </si>
  <si>
    <t>DG(H)</t>
  </si>
  <si>
    <t>DE</t>
  </si>
  <si>
    <t>PA</t>
  </si>
  <si>
    <t>PB</t>
  </si>
  <si>
    <t>FB</t>
  </si>
  <si>
    <t>YBD</t>
  </si>
  <si>
    <t>BBD</t>
  </si>
  <si>
    <t>WBD</t>
  </si>
  <si>
    <t>AOG</t>
  </si>
  <si>
    <t>FP</t>
  </si>
  <si>
    <t>Grandmas garden</t>
  </si>
  <si>
    <t>BuoyLine</t>
  </si>
  <si>
    <t>Buoyline</t>
  </si>
  <si>
    <t xml:space="preserve">Grandmas Garden </t>
  </si>
  <si>
    <t xml:space="preserve">Casablanca </t>
  </si>
  <si>
    <t xml:space="preserve">Pandora </t>
  </si>
  <si>
    <t>casablanca</t>
  </si>
  <si>
    <t>Manuels wall</t>
  </si>
  <si>
    <t>Bouy Line</t>
  </si>
  <si>
    <t xml:space="preserve">Manuels wall </t>
  </si>
  <si>
    <t>1 (50%)</t>
  </si>
  <si>
    <t>1 (25%)</t>
  </si>
  <si>
    <t>RUG 5M</t>
  </si>
  <si>
    <t>RUG 10M</t>
  </si>
  <si>
    <t>RUG 15M</t>
  </si>
  <si>
    <t>RUG 20M</t>
  </si>
  <si>
    <t>RUG 25M</t>
  </si>
  <si>
    <t>RUG 30</t>
  </si>
  <si>
    <t>PA 0-5</t>
  </si>
  <si>
    <t>PA 6-10</t>
  </si>
  <si>
    <t>PA 11-20</t>
  </si>
  <si>
    <t>PA 21-30</t>
  </si>
  <si>
    <t>PA 31-40</t>
  </si>
  <si>
    <t>PA 40+</t>
  </si>
  <si>
    <t>TOTAL PA</t>
  </si>
  <si>
    <t>BU 0-5</t>
  </si>
  <si>
    <t>BU 6-10</t>
  </si>
  <si>
    <t>BU 11-20</t>
  </si>
  <si>
    <t>BU 21-30</t>
  </si>
  <si>
    <t>BU 31-40</t>
  </si>
  <si>
    <t>BU 40+</t>
  </si>
  <si>
    <t>TOTAL BU</t>
  </si>
  <si>
    <t>DA 0-5</t>
  </si>
  <si>
    <t>DA 6-10</t>
  </si>
  <si>
    <t>DA 11-20</t>
  </si>
  <si>
    <t>DA 21-30</t>
  </si>
  <si>
    <t>DA 31-40</t>
  </si>
  <si>
    <t>DA 40+</t>
  </si>
  <si>
    <t>TOTAL DA</t>
  </si>
  <si>
    <t>SN 0-5</t>
  </si>
  <si>
    <t>SN 6-10</t>
  </si>
  <si>
    <t>SN 11-20</t>
  </si>
  <si>
    <t>SN 21-30</t>
  </si>
  <si>
    <t>SN 31-40</t>
  </si>
  <si>
    <t>SN 40+</t>
  </si>
  <si>
    <t>TOTAL SN</t>
  </si>
  <si>
    <t>GRN 0-5</t>
  </si>
  <si>
    <t>GRN 6-10</t>
  </si>
  <si>
    <t>GRN 11-20</t>
  </si>
  <si>
    <t>GRN 21-30</t>
  </si>
  <si>
    <t>GRN 31-40</t>
  </si>
  <si>
    <t>GRN 40+</t>
  </si>
  <si>
    <t>TOTAL GRN</t>
  </si>
  <si>
    <t>SU 0-5</t>
  </si>
  <si>
    <t>SU 6-10</t>
  </si>
  <si>
    <t>SU 11-20</t>
  </si>
  <si>
    <t>SU 21-30</t>
  </si>
  <si>
    <t>SU 31-40</t>
  </si>
  <si>
    <t>SU 40+</t>
  </si>
  <si>
    <t>TOTAL SU</t>
  </si>
  <si>
    <t>AN 0-5</t>
  </si>
  <si>
    <t>AN 6-10</t>
  </si>
  <si>
    <t>AN 11-20</t>
  </si>
  <si>
    <t>AN 21-30</t>
  </si>
  <si>
    <t>AN 31-40</t>
  </si>
  <si>
    <t>AN 40+</t>
  </si>
  <si>
    <t>TOTAL AN</t>
  </si>
  <si>
    <t>WR 0-5</t>
  </si>
  <si>
    <t>WR 6-10</t>
  </si>
  <si>
    <t>WR 11-20</t>
  </si>
  <si>
    <t>WR 21-30</t>
  </si>
  <si>
    <t>WR 31-40</t>
  </si>
  <si>
    <t>WR 40+</t>
  </si>
  <si>
    <t>TOTAL WR</t>
  </si>
  <si>
    <t>GR 0-5</t>
  </si>
  <si>
    <t>GR 6-10</t>
  </si>
  <si>
    <t>GR 11-20</t>
  </si>
  <si>
    <t>GR 21-30</t>
  </si>
  <si>
    <t>GR 31-40</t>
  </si>
  <si>
    <t>GR 40+</t>
  </si>
  <si>
    <t>TOTAL GR</t>
  </si>
  <si>
    <t>PO 0-5</t>
  </si>
  <si>
    <t>PO 6-10</t>
  </si>
  <si>
    <t>PO 11-20</t>
  </si>
  <si>
    <t>PO 21-30</t>
  </si>
  <si>
    <t>PO 31-40</t>
  </si>
  <si>
    <t>PO 40+</t>
  </si>
  <si>
    <t>TOTAL PO</t>
  </si>
  <si>
    <t>TR 0-5</t>
  </si>
  <si>
    <t>TR 6-10</t>
  </si>
  <si>
    <t>TR 11-20</t>
  </si>
  <si>
    <t>TR 21-30</t>
  </si>
  <si>
    <t>TR 31-40</t>
  </si>
  <si>
    <t>TR 40+</t>
  </si>
  <si>
    <t>TOTAL TR</t>
  </si>
  <si>
    <t>FL 0-5</t>
  </si>
  <si>
    <t>FL 6-10</t>
  </si>
  <si>
    <t>FL 11-20</t>
  </si>
  <si>
    <t>FL 21-30</t>
  </si>
  <si>
    <t>FL 31-40</t>
  </si>
  <si>
    <t>FL 40+</t>
  </si>
  <si>
    <t>TOTAL FL</t>
  </si>
  <si>
    <t>LF 0-5</t>
  </si>
  <si>
    <t>LF 6-10</t>
  </si>
  <si>
    <t>LF 11-20</t>
  </si>
  <si>
    <t>LF 21-30</t>
  </si>
  <si>
    <t>LF 31-40</t>
  </si>
  <si>
    <t>LF 40+</t>
  </si>
  <si>
    <t>TOTAL LF</t>
  </si>
  <si>
    <t>PRG 0-5</t>
  </si>
  <si>
    <t>PRG 6-10</t>
  </si>
  <si>
    <t>PRG 11-20</t>
  </si>
  <si>
    <t>PRG 21-30</t>
  </si>
  <si>
    <t>PRG 31-40</t>
  </si>
  <si>
    <t>PRG 40+</t>
  </si>
  <si>
    <t>TOTAL PRG</t>
  </si>
  <si>
    <t>JCK 0-5</t>
  </si>
  <si>
    <t>JCK 6-10</t>
  </si>
  <si>
    <t>JCK 11-20</t>
  </si>
  <si>
    <t>JCK 21-30</t>
  </si>
  <si>
    <t>JCK 31-40</t>
  </si>
  <si>
    <t>JCK 40+</t>
  </si>
  <si>
    <t>TOTAL JCK</t>
  </si>
  <si>
    <t>CH 0-5</t>
  </si>
  <si>
    <t>CH 6-10</t>
  </si>
  <si>
    <t>CH 11-20</t>
  </si>
  <si>
    <t>CH 21-30</t>
  </si>
  <si>
    <t>CH 31-40</t>
  </si>
  <si>
    <t>CH 40+</t>
  </si>
  <si>
    <t>TOTAL CH</t>
  </si>
  <si>
    <t>BAR 0-5</t>
  </si>
  <si>
    <t>BAR 6-10</t>
  </si>
  <si>
    <t>BAR 11-20</t>
  </si>
  <si>
    <t>BAR 21-30</t>
  </si>
  <si>
    <t>BAR 31-40</t>
  </si>
  <si>
    <t>BAR 40+</t>
  </si>
  <si>
    <t>TOTAL BAR</t>
  </si>
  <si>
    <t>Casa Blanca</t>
  </si>
  <si>
    <t>30+</t>
  </si>
  <si>
    <t>50+</t>
  </si>
  <si>
    <t>100+</t>
  </si>
  <si>
    <t>6/25/2025</t>
  </si>
  <si>
    <t>6/26/2025</t>
  </si>
  <si>
    <t>6/27/2025</t>
  </si>
  <si>
    <t>6/30/2025</t>
  </si>
  <si>
    <t>Code</t>
  </si>
  <si>
    <t>Name</t>
  </si>
  <si>
    <t xml:space="preserve">Abiotic </t>
  </si>
  <si>
    <t xml:space="preserve">Silt </t>
  </si>
  <si>
    <t xml:space="preserve">Sand </t>
  </si>
  <si>
    <t xml:space="preserve">Rubble </t>
  </si>
  <si>
    <t xml:space="preserve">Rock </t>
  </si>
  <si>
    <t xml:space="preserve">Sponge (SP) </t>
  </si>
  <si>
    <t>BA</t>
  </si>
  <si>
    <t>Barrel</t>
  </si>
  <si>
    <t>GB</t>
  </si>
  <si>
    <t>Globular</t>
  </si>
  <si>
    <t>RP</t>
  </si>
  <si>
    <t xml:space="preserve">Rope </t>
  </si>
  <si>
    <t>EN</t>
  </si>
  <si>
    <t>Encrusting</t>
  </si>
  <si>
    <t>TB</t>
  </si>
  <si>
    <t>Tubular</t>
  </si>
  <si>
    <t>AG-SP</t>
  </si>
  <si>
    <t>Algae (AL)</t>
  </si>
  <si>
    <t>TF</t>
  </si>
  <si>
    <t xml:space="preserve">Turf </t>
  </si>
  <si>
    <t>CMA</t>
  </si>
  <si>
    <t>Calcareous macro</t>
  </si>
  <si>
    <t>FMA</t>
  </si>
  <si>
    <t>Fleshy macro</t>
  </si>
  <si>
    <t>CCA</t>
  </si>
  <si>
    <t>Crustose coralline</t>
  </si>
  <si>
    <t>PAC</t>
  </si>
  <si>
    <t>Peyssonnelid algal crust</t>
  </si>
  <si>
    <t>Coral (CO)</t>
  </si>
  <si>
    <t>MA</t>
  </si>
  <si>
    <t>Massive/encrusting</t>
  </si>
  <si>
    <t>LE</t>
  </si>
  <si>
    <t>Leaf/plate/sheet</t>
  </si>
  <si>
    <t>BR</t>
  </si>
  <si>
    <t>Branching</t>
  </si>
  <si>
    <t>MB</t>
  </si>
  <si>
    <t>Meandroid/brain</t>
  </si>
  <si>
    <t>FL</t>
  </si>
  <si>
    <t>Fleshy/flowering</t>
  </si>
  <si>
    <t>SO</t>
  </si>
  <si>
    <t>Solitary</t>
  </si>
  <si>
    <t>DI</t>
  </si>
  <si>
    <t>Digitate</t>
  </si>
  <si>
    <t>Other</t>
  </si>
  <si>
    <t>Fire coral</t>
  </si>
  <si>
    <t>Anemone</t>
  </si>
  <si>
    <t>CP</t>
  </si>
  <si>
    <t>Corallimorph</t>
  </si>
  <si>
    <t>Octocoral</t>
  </si>
  <si>
    <t>SG</t>
  </si>
  <si>
    <t>Seagrass</t>
  </si>
  <si>
    <t>Benthic cyanobacteria mats</t>
  </si>
  <si>
    <t xml:space="preserve">TU </t>
  </si>
  <si>
    <t>Tunicate</t>
  </si>
  <si>
    <t>EG</t>
  </si>
  <si>
    <t>Encrusting gorgonian</t>
  </si>
  <si>
    <t>Black coral</t>
  </si>
  <si>
    <t>ZO</t>
  </si>
  <si>
    <t>Zoanthid</t>
  </si>
  <si>
    <t xml:space="preserve">Coral Health </t>
  </si>
  <si>
    <t>Healthy</t>
  </si>
  <si>
    <t>DGM</t>
  </si>
  <si>
    <t>Degraded–Mild (10–50%)</t>
  </si>
  <si>
    <t>DGH</t>
  </si>
  <si>
    <t>Degraded–Heavy (&gt;50%)</t>
  </si>
  <si>
    <t>Dead</t>
  </si>
  <si>
    <t>Partially bleached</t>
  </si>
  <si>
    <t>Fully bleached</t>
  </si>
  <si>
    <t xml:space="preserve">Paling </t>
  </si>
  <si>
    <t>Fish predation</t>
  </si>
  <si>
    <t xml:space="preserve">Sedimentation </t>
  </si>
  <si>
    <t xml:space="preserve">Yellow band disease </t>
  </si>
  <si>
    <t xml:space="preserve">White band disease </t>
  </si>
  <si>
    <t xml:space="preserve">Black band disease </t>
  </si>
  <si>
    <t>DAG</t>
  </si>
  <si>
    <t>Damselfish algal garden</t>
  </si>
  <si>
    <t>Algae overgrowth</t>
  </si>
  <si>
    <t>AG-EG</t>
  </si>
  <si>
    <t>Aggressive sponge</t>
  </si>
  <si>
    <t>AG-FC</t>
  </si>
  <si>
    <t>AG-ZO</t>
  </si>
  <si>
    <t>RUG</t>
  </si>
  <si>
    <t>Rugosity</t>
  </si>
  <si>
    <t xml:space="preserve">Parrotfish      Algal-farming Damselfish      Grunts      Butterflyfish      Snappers      Wrasses      Surgeonfish      Groupers      Jacks      Angelfish      Porcupinefish      Triggerfish      Filefish      Lionfish      Porgys      Chubs      Barracudas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</si>
</sst>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d/m/yy"/>
    <numFmt numFmtId="167" formatCode="dd-mm-yy"/>
    <numFmt numFmtId="168" formatCode="dd/mm/yy"/>
    <numFmt numFmtId="169" formatCode="d/M/yyyy"/>
    <numFmt numFmtId="170" formatCode="m/d/yyyy"/>
    <numFmt numFmtId="171" formatCode="d/m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</font>
    <font>
      <strike/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/>
    <font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5" fillId="0" fontId="2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center" readingOrder="0"/>
    </xf>
    <xf borderId="0" fillId="3" fontId="2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vertical="bottom"/>
    </xf>
    <xf quotePrefix="1"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vertical="bottom"/>
    </xf>
    <xf borderId="0" fillId="0" fontId="1" numFmtId="167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168" xfId="0" applyAlignment="1" applyFont="1" applyNumberFormat="1">
      <alignment horizontal="center" vertical="bottom"/>
    </xf>
    <xf borderId="0" fillId="0" fontId="2" numFmtId="169" xfId="0" applyAlignment="1" applyFont="1" applyNumberFormat="1">
      <alignment horizontal="center" vertical="bottom"/>
    </xf>
    <xf borderId="0" fillId="0" fontId="2" numFmtId="170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6" fillId="0" fontId="1" numFmtId="165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2" numFmtId="0" xfId="0" applyFont="1"/>
    <xf borderId="9" fillId="0" fontId="7" numFmtId="0" xfId="0" applyBorder="1" applyFont="1"/>
    <xf borderId="10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/>
    </xf>
    <xf borderId="6" fillId="0" fontId="2" numFmtId="165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6" fillId="0" fontId="2" numFmtId="164" xfId="0" applyAlignment="1" applyBorder="1" applyFont="1" applyNumberFormat="1">
      <alignment horizontal="center"/>
    </xf>
    <xf borderId="6" fillId="0" fontId="2" numFmtId="168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12" fillId="0" fontId="2" numFmtId="0" xfId="0" applyAlignment="1" applyBorder="1" applyFont="1">
      <alignment horizontal="center" vertical="bottom"/>
    </xf>
    <xf borderId="6" fillId="0" fontId="2" numFmtId="171" xfId="0" applyAlignment="1" applyBorder="1" applyFont="1" applyNumberFormat="1">
      <alignment horizontal="center"/>
    </xf>
    <xf borderId="14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  <xf borderId="16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6" fillId="0" fontId="2" numFmtId="171" xfId="0" applyAlignment="1" applyBorder="1" applyFont="1" applyNumberFormat="1">
      <alignment horizontal="center" readingOrder="0"/>
    </xf>
    <xf borderId="17" fillId="0" fontId="2" numFmtId="0" xfId="0" applyAlignment="1" applyBorder="1" applyFon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11" fillId="0" fontId="2" numFmtId="0" xfId="0" applyAlignment="1" applyBorder="1" applyFon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7" fillId="0" fontId="2" numFmtId="0" xfId="0" applyAlignment="1" applyBorder="1" applyFont="1">
      <alignment horizontal="center" readingOrder="0" vertical="bottom"/>
    </xf>
    <xf borderId="6" fillId="0" fontId="2" numFmtId="168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6" fillId="0" fontId="2" numFmtId="171" xfId="0" applyAlignment="1" applyBorder="1" applyFont="1" applyNumberFormat="1">
      <alignment horizontal="center" vertical="bottom"/>
    </xf>
    <xf borderId="6" fillId="0" fontId="2" numFmtId="166" xfId="0" applyAlignment="1" applyBorder="1" applyFont="1" applyNumberFormat="1">
      <alignment horizontal="center" vertical="bottom"/>
    </xf>
    <xf borderId="6" fillId="0" fontId="2" numFmtId="171" xfId="0" applyAlignment="1" applyBorder="1" applyFont="1" applyNumberFormat="1">
      <alignment vertical="bottom"/>
    </xf>
    <xf borderId="0" fillId="0" fontId="2" numFmtId="171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2.43"/>
    <col customWidth="1" min="3" max="3" width="8.71"/>
    <col customWidth="1" min="4" max="4" width="13.14"/>
    <col customWidth="1" min="5" max="5" width="12.86"/>
    <col customWidth="1" min="6" max="6" width="15.14"/>
    <col customWidth="1" min="7" max="36" width="8.71"/>
    <col customWidth="1" min="37" max="37" width="13.57"/>
    <col customWidth="1" min="38" max="38" width="14.71"/>
    <col customWidth="1" min="39" max="39" width="13.57"/>
    <col customWidth="1" min="40" max="40" width="8.29"/>
    <col customWidth="1" min="41" max="41" width="11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4" t="s">
        <v>16</v>
      </c>
      <c r="R1" s="8" t="s">
        <v>17</v>
      </c>
      <c r="S1" s="9" t="s">
        <v>18</v>
      </c>
      <c r="T1" s="4" t="s">
        <v>19</v>
      </c>
      <c r="U1" s="3" t="s">
        <v>20</v>
      </c>
      <c r="V1" s="4" t="s">
        <v>21</v>
      </c>
      <c r="W1" s="8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0" t="s">
        <v>27</v>
      </c>
      <c r="AC1" s="4" t="s">
        <v>28</v>
      </c>
      <c r="AD1" s="4" t="s">
        <v>29</v>
      </c>
      <c r="AE1" s="8" t="s">
        <v>30</v>
      </c>
      <c r="AF1" s="4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</row>
    <row r="2" ht="14.25" customHeight="1">
      <c r="A2" s="13">
        <v>45125.0</v>
      </c>
      <c r="B2" s="11" t="s">
        <v>41</v>
      </c>
      <c r="C2" s="11">
        <v>7.42</v>
      </c>
      <c r="D2" s="11">
        <v>12.0</v>
      </c>
      <c r="E2" s="11">
        <v>12.7</v>
      </c>
      <c r="F2" s="11">
        <v>29.0</v>
      </c>
      <c r="G2" s="11"/>
      <c r="H2" s="11">
        <v>57.0</v>
      </c>
      <c r="I2" s="11">
        <v>3.0</v>
      </c>
      <c r="J2" s="11">
        <v>2.0</v>
      </c>
      <c r="K2" s="11">
        <v>6.0</v>
      </c>
      <c r="L2" s="11"/>
      <c r="M2" s="11">
        <v>4.0</v>
      </c>
      <c r="N2" s="11"/>
      <c r="O2" s="11"/>
      <c r="P2" s="11">
        <v>4.0</v>
      </c>
      <c r="Q2" s="11">
        <v>5.0</v>
      </c>
      <c r="R2" s="11">
        <v>22.0</v>
      </c>
      <c r="S2" s="11">
        <v>4.0</v>
      </c>
      <c r="T2" s="11"/>
      <c r="U2" s="11"/>
      <c r="V2" s="11">
        <v>12.0</v>
      </c>
      <c r="W2" s="11"/>
      <c r="X2" s="11"/>
      <c r="Y2" s="11"/>
      <c r="Z2" s="11"/>
      <c r="AA2" s="11"/>
      <c r="AB2" s="1"/>
      <c r="AC2" s="1"/>
      <c r="AD2" s="1"/>
      <c r="AE2" s="1"/>
      <c r="AF2" s="1"/>
      <c r="AG2" s="1"/>
      <c r="AH2" s="1"/>
      <c r="AI2" s="1"/>
      <c r="AJ2" s="1">
        <f t="shared" ref="AJ2:AJ3" si="1">SUM(G2:AH2)</f>
        <v>119</v>
      </c>
      <c r="AK2" s="14">
        <f t="shared" ref="AK2:AK3" si="2">SUM(G2:J2)/120</f>
        <v>0.5166666667</v>
      </c>
      <c r="AL2" s="14">
        <f t="shared" ref="AL2:AL3" si="3">SUM(K2:N2)/120</f>
        <v>0.08333333333</v>
      </c>
      <c r="AM2" s="14">
        <f t="shared" ref="AM2:AM3" si="4"> SUM(O2:T2)/120</f>
        <v>0.2916666667</v>
      </c>
      <c r="AN2" s="14">
        <f t="shared" ref="AN2:AN3" si="5">SUM(U2:AA2)/120</f>
        <v>0.1</v>
      </c>
      <c r="AO2" s="14">
        <f t="shared" ref="AO2:AO3" si="6">SUM(AB2:AI2)/120</f>
        <v>0</v>
      </c>
    </row>
    <row r="3" ht="14.25" customHeight="1">
      <c r="A3" s="13">
        <v>45126.0</v>
      </c>
      <c r="B3" s="11" t="s">
        <v>42</v>
      </c>
      <c r="C3" s="11">
        <v>9.02</v>
      </c>
      <c r="D3" s="11">
        <v>7.5</v>
      </c>
      <c r="E3" s="11">
        <v>11.4</v>
      </c>
      <c r="F3" s="11">
        <v>29.0</v>
      </c>
      <c r="G3" s="11"/>
      <c r="H3" s="11">
        <v>41.0</v>
      </c>
      <c r="I3" s="11">
        <v>12.0</v>
      </c>
      <c r="J3" s="11"/>
      <c r="K3" s="11">
        <v>6.0</v>
      </c>
      <c r="L3" s="11"/>
      <c r="M3" s="11">
        <v>10.0</v>
      </c>
      <c r="N3" s="11"/>
      <c r="O3" s="11">
        <v>8.0</v>
      </c>
      <c r="P3" s="11"/>
      <c r="Q3" s="11">
        <v>1.0</v>
      </c>
      <c r="R3" s="11">
        <v>15.0</v>
      </c>
      <c r="S3" s="11">
        <v>3.0</v>
      </c>
      <c r="T3" s="11"/>
      <c r="U3" s="11">
        <v>9.0</v>
      </c>
      <c r="V3" s="11">
        <v>4.0</v>
      </c>
      <c r="W3" s="11"/>
      <c r="X3" s="11">
        <v>5.0</v>
      </c>
      <c r="Y3" s="11">
        <v>1.0</v>
      </c>
      <c r="Z3" s="11"/>
      <c r="AA3" s="11"/>
      <c r="AB3" s="11">
        <v>5.0</v>
      </c>
      <c r="AC3" s="11"/>
      <c r="AD3" s="1"/>
      <c r="AE3" s="1"/>
      <c r="AF3" s="1"/>
      <c r="AG3" s="1"/>
      <c r="AH3" s="1"/>
      <c r="AI3" s="1"/>
      <c r="AJ3" s="1">
        <f t="shared" si="1"/>
        <v>120</v>
      </c>
      <c r="AK3" s="14">
        <f t="shared" si="2"/>
        <v>0.4416666667</v>
      </c>
      <c r="AL3" s="14">
        <f t="shared" si="3"/>
        <v>0.1333333333</v>
      </c>
      <c r="AM3" s="14">
        <f t="shared" si="4"/>
        <v>0.225</v>
      </c>
      <c r="AN3" s="14">
        <f t="shared" si="5"/>
        <v>0.1583333333</v>
      </c>
      <c r="AO3" s="14">
        <f t="shared" si="6"/>
        <v>0.04166666667</v>
      </c>
    </row>
    <row r="4" ht="14.25" customHeight="1">
      <c r="A4" s="15">
        <v>45126.0</v>
      </c>
      <c r="B4" s="16" t="s">
        <v>42</v>
      </c>
      <c r="C4" s="16">
        <v>9.02</v>
      </c>
      <c r="D4" s="16">
        <v>7.5</v>
      </c>
      <c r="E4" s="16">
        <v>11.4</v>
      </c>
      <c r="F4" s="11">
        <v>29.0</v>
      </c>
      <c r="G4" s="16">
        <v>0.0</v>
      </c>
      <c r="H4" s="16">
        <v>41.0</v>
      </c>
      <c r="I4" s="16">
        <v>12.0</v>
      </c>
      <c r="J4" s="16"/>
      <c r="K4" s="16">
        <v>6.0</v>
      </c>
      <c r="L4" s="16">
        <v>0.0</v>
      </c>
      <c r="M4" s="16">
        <v>10.0</v>
      </c>
      <c r="N4" s="16">
        <v>0.0</v>
      </c>
      <c r="O4" s="16">
        <v>8.0</v>
      </c>
      <c r="P4" s="16">
        <v>0.0</v>
      </c>
      <c r="Q4" s="16">
        <v>1.0</v>
      </c>
      <c r="R4" s="16">
        <v>15.0</v>
      </c>
      <c r="S4" s="16">
        <v>3.0</v>
      </c>
      <c r="T4" s="16">
        <v>0.0</v>
      </c>
      <c r="U4" s="16">
        <v>9.0</v>
      </c>
      <c r="V4" s="16">
        <v>4.0</v>
      </c>
      <c r="W4" s="16">
        <v>0.0</v>
      </c>
      <c r="X4" s="16">
        <v>5.0</v>
      </c>
      <c r="Y4" s="16">
        <v>1.0</v>
      </c>
      <c r="Z4" s="16">
        <v>0.0</v>
      </c>
      <c r="AA4" s="16">
        <v>0.0</v>
      </c>
      <c r="AB4" s="16">
        <v>5.0</v>
      </c>
      <c r="AC4" s="16">
        <v>0.0</v>
      </c>
      <c r="AD4" s="16">
        <v>0.0</v>
      </c>
      <c r="AE4" s="16">
        <v>0.0</v>
      </c>
      <c r="AF4" s="16">
        <v>0.0</v>
      </c>
      <c r="AG4" s="16">
        <v>0.0</v>
      </c>
      <c r="AH4" s="16">
        <v>0.0</v>
      </c>
      <c r="AI4" s="16">
        <v>0.0</v>
      </c>
      <c r="AJ4" s="16">
        <v>120.0</v>
      </c>
      <c r="AK4" s="17">
        <v>0.4417</v>
      </c>
      <c r="AL4" s="17">
        <v>0.1333</v>
      </c>
      <c r="AM4" s="17">
        <v>0.225</v>
      </c>
      <c r="AN4" s="17">
        <v>0.1583</v>
      </c>
      <c r="AO4" s="17">
        <v>0.0417</v>
      </c>
    </row>
    <row r="5" ht="14.25" customHeight="1">
      <c r="A5" s="13">
        <v>45126.0</v>
      </c>
      <c r="B5" s="11" t="s">
        <v>43</v>
      </c>
      <c r="C5" s="11">
        <v>6.48</v>
      </c>
      <c r="D5" s="11">
        <v>7.2</v>
      </c>
      <c r="E5" s="11">
        <v>9.5</v>
      </c>
      <c r="F5" s="11">
        <v>29.0</v>
      </c>
      <c r="G5" s="1"/>
      <c r="H5" s="11">
        <v>26.0</v>
      </c>
      <c r="I5" s="11">
        <v>26.0</v>
      </c>
      <c r="J5" s="11">
        <v>1.0</v>
      </c>
      <c r="K5" s="11">
        <v>3.0</v>
      </c>
      <c r="L5" s="11"/>
      <c r="M5" s="11">
        <v>10.0</v>
      </c>
      <c r="N5" s="11"/>
      <c r="O5" s="11">
        <v>13.0</v>
      </c>
      <c r="P5" s="11"/>
      <c r="Q5" s="11">
        <v>1.0</v>
      </c>
      <c r="R5" s="11">
        <v>14.0</v>
      </c>
      <c r="S5" s="11">
        <v>12.0</v>
      </c>
      <c r="T5" s="11"/>
      <c r="U5" s="11">
        <v>9.0</v>
      </c>
      <c r="V5" s="11"/>
      <c r="W5" s="11"/>
      <c r="X5" s="11">
        <v>2.0</v>
      </c>
      <c r="Y5" s="11"/>
      <c r="Z5" s="11"/>
      <c r="AA5" s="11"/>
      <c r="AB5" s="11">
        <v>2.0</v>
      </c>
      <c r="AC5" s="11"/>
      <c r="AD5" s="1"/>
      <c r="AE5" s="1"/>
      <c r="AF5" s="1"/>
      <c r="AG5" s="1"/>
      <c r="AH5" s="1"/>
      <c r="AI5" s="1"/>
      <c r="AJ5" s="1">
        <f>SUM(G5:AH5)</f>
        <v>119</v>
      </c>
      <c r="AK5" s="14">
        <f>SUM(G5:J5)/120</f>
        <v>0.4416666667</v>
      </c>
      <c r="AL5" s="14">
        <f>SUM(K5:N5)/120</f>
        <v>0.1083333333</v>
      </c>
      <c r="AM5" s="14">
        <f> SUM(O5:T5)/120</f>
        <v>0.3333333333</v>
      </c>
      <c r="AN5" s="14">
        <f>SUM(U5:AA5)/120</f>
        <v>0.09166666667</v>
      </c>
      <c r="AO5" s="14">
        <f>SUM(AB5:AI5)/120</f>
        <v>0.01666666667</v>
      </c>
    </row>
    <row r="6" ht="14.25" customHeight="1">
      <c r="A6" s="15">
        <v>45126.0</v>
      </c>
      <c r="B6" s="16" t="s">
        <v>43</v>
      </c>
      <c r="C6" s="16">
        <v>6.48</v>
      </c>
      <c r="D6" s="16">
        <v>7.2</v>
      </c>
      <c r="E6" s="16">
        <v>9.5</v>
      </c>
      <c r="F6" s="11">
        <v>29.0</v>
      </c>
      <c r="G6" s="16">
        <v>0.0</v>
      </c>
      <c r="H6" s="16">
        <v>26.0</v>
      </c>
      <c r="I6" s="16">
        <v>26.0</v>
      </c>
      <c r="J6" s="16">
        <v>1.0</v>
      </c>
      <c r="K6" s="16">
        <v>3.0</v>
      </c>
      <c r="L6" s="16">
        <v>0.0</v>
      </c>
      <c r="M6" s="16">
        <v>10.0</v>
      </c>
      <c r="N6" s="16">
        <v>0.0</v>
      </c>
      <c r="O6" s="16">
        <v>13.0</v>
      </c>
      <c r="P6" s="16">
        <v>0.0</v>
      </c>
      <c r="Q6" s="16">
        <v>1.0</v>
      </c>
      <c r="R6" s="16">
        <v>14.0</v>
      </c>
      <c r="S6" s="16">
        <v>12.0</v>
      </c>
      <c r="T6" s="16">
        <v>0.0</v>
      </c>
      <c r="U6" s="16">
        <v>9.0</v>
      </c>
      <c r="V6" s="16">
        <v>0.0</v>
      </c>
      <c r="W6" s="16">
        <v>0.0</v>
      </c>
      <c r="X6" s="16">
        <v>2.0</v>
      </c>
      <c r="Y6" s="16">
        <v>0.0</v>
      </c>
      <c r="Z6" s="16">
        <v>0.0</v>
      </c>
      <c r="AA6" s="16">
        <v>0.0</v>
      </c>
      <c r="AB6" s="16">
        <v>2.0</v>
      </c>
      <c r="AC6" s="16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6">
        <v>0.0</v>
      </c>
      <c r="AJ6" s="16">
        <v>119.0</v>
      </c>
      <c r="AK6" s="17">
        <v>0.4417</v>
      </c>
      <c r="AL6" s="17">
        <v>0.1083</v>
      </c>
      <c r="AM6" s="17">
        <v>0.3333</v>
      </c>
      <c r="AN6" s="17">
        <v>0.0917</v>
      </c>
      <c r="AO6" s="17">
        <v>0.0167</v>
      </c>
    </row>
    <row r="7" ht="14.25" customHeight="1">
      <c r="A7" s="13">
        <v>45127.0</v>
      </c>
      <c r="B7" s="11" t="s">
        <v>42</v>
      </c>
      <c r="C7" s="11">
        <v>7.55</v>
      </c>
      <c r="D7" s="11">
        <v>7.5</v>
      </c>
      <c r="E7" s="11">
        <v>15.3</v>
      </c>
      <c r="F7" s="11">
        <v>29.0</v>
      </c>
      <c r="G7" s="1"/>
      <c r="H7" s="11">
        <v>39.0</v>
      </c>
      <c r="I7" s="11">
        <v>10.0</v>
      </c>
      <c r="J7" s="11">
        <v>1.0</v>
      </c>
      <c r="K7" s="11">
        <v>7.0</v>
      </c>
      <c r="L7" s="11"/>
      <c r="M7" s="11">
        <v>13.0</v>
      </c>
      <c r="N7" s="11"/>
      <c r="O7" s="11">
        <v>5.0</v>
      </c>
      <c r="P7" s="11"/>
      <c r="Q7" s="11">
        <v>5.0</v>
      </c>
      <c r="R7" s="11">
        <v>15.0</v>
      </c>
      <c r="S7" s="11">
        <v>5.0</v>
      </c>
      <c r="T7" s="11"/>
      <c r="U7" s="11">
        <v>3.0</v>
      </c>
      <c r="V7" s="11"/>
      <c r="W7" s="11"/>
      <c r="X7" s="11"/>
      <c r="Y7" s="11"/>
      <c r="Z7" s="11"/>
      <c r="AA7" s="11"/>
      <c r="AB7" s="11"/>
      <c r="AC7" s="11"/>
      <c r="AD7" s="11"/>
      <c r="AE7" s="1"/>
      <c r="AF7" s="1"/>
      <c r="AG7" s="11">
        <v>1.0</v>
      </c>
      <c r="AH7" s="11">
        <v>16.0</v>
      </c>
      <c r="AI7" s="1"/>
      <c r="AJ7" s="1">
        <f>SUM(G7:AH7)</f>
        <v>120</v>
      </c>
      <c r="AK7" s="14">
        <f>SUM(G7:J7)/120</f>
        <v>0.4166666667</v>
      </c>
      <c r="AL7" s="14">
        <f>SUM(K7:N7)/120</f>
        <v>0.1666666667</v>
      </c>
      <c r="AM7" s="14">
        <f> SUM(O7:T7)/120</f>
        <v>0.25</v>
      </c>
      <c r="AN7" s="14">
        <f>SUM(U7:AA7)/120</f>
        <v>0.025</v>
      </c>
      <c r="AO7" s="14">
        <f>SUM(AB7:AI7)/120</f>
        <v>0.1416666667</v>
      </c>
    </row>
    <row r="8" ht="14.25" customHeight="1">
      <c r="A8" s="15">
        <v>45127.0</v>
      </c>
      <c r="B8" s="16" t="s">
        <v>42</v>
      </c>
      <c r="C8" s="16">
        <v>7.55</v>
      </c>
      <c r="D8" s="16">
        <v>7.5</v>
      </c>
      <c r="E8" s="16">
        <v>15.3</v>
      </c>
      <c r="F8" s="16">
        <v>29.0</v>
      </c>
      <c r="G8" s="16">
        <v>0.0</v>
      </c>
      <c r="H8" s="16">
        <v>39.0</v>
      </c>
      <c r="I8" s="16">
        <v>10.0</v>
      </c>
      <c r="J8" s="16">
        <v>1.0</v>
      </c>
      <c r="K8" s="16">
        <v>7.0</v>
      </c>
      <c r="L8" s="16">
        <v>0.0</v>
      </c>
      <c r="M8" s="16">
        <v>13.0</v>
      </c>
      <c r="N8" s="16">
        <v>0.0</v>
      </c>
      <c r="O8" s="16">
        <v>5.0</v>
      </c>
      <c r="P8" s="16">
        <v>0.0</v>
      </c>
      <c r="Q8" s="16">
        <v>5.0</v>
      </c>
      <c r="R8" s="16">
        <v>15.0</v>
      </c>
      <c r="S8" s="16">
        <v>5.0</v>
      </c>
      <c r="T8" s="16">
        <v>0.0</v>
      </c>
      <c r="U8" s="16">
        <v>3.0</v>
      </c>
      <c r="V8" s="16">
        <v>0.0</v>
      </c>
      <c r="W8" s="16">
        <v>0.0</v>
      </c>
      <c r="X8" s="16">
        <v>0.0</v>
      </c>
      <c r="Y8" s="16">
        <v>0.0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1.0</v>
      </c>
      <c r="AI8" s="16">
        <v>0.0</v>
      </c>
      <c r="AJ8" s="16">
        <v>104.0</v>
      </c>
      <c r="AK8" s="17">
        <v>0.4167</v>
      </c>
      <c r="AL8" s="17">
        <v>0.1667</v>
      </c>
      <c r="AM8" s="17">
        <v>0.25</v>
      </c>
      <c r="AN8" s="17">
        <v>0.025</v>
      </c>
      <c r="AO8" s="17">
        <v>0.0083</v>
      </c>
    </row>
    <row r="9" ht="14.25" customHeight="1">
      <c r="A9" s="13">
        <v>45127.0</v>
      </c>
      <c r="B9" s="11" t="s">
        <v>43</v>
      </c>
      <c r="C9" s="11">
        <v>8.73</v>
      </c>
      <c r="D9" s="11">
        <v>7.4</v>
      </c>
      <c r="E9" s="11">
        <v>3.5</v>
      </c>
      <c r="F9" s="11">
        <v>29.0</v>
      </c>
      <c r="G9" s="1"/>
      <c r="H9" s="11">
        <v>36.0</v>
      </c>
      <c r="I9" s="11">
        <v>29.0</v>
      </c>
      <c r="J9" s="11"/>
      <c r="K9" s="11">
        <v>2.0</v>
      </c>
      <c r="L9" s="11"/>
      <c r="M9" s="11">
        <v>2.0</v>
      </c>
      <c r="N9" s="11"/>
      <c r="O9" s="11">
        <v>13.0</v>
      </c>
      <c r="P9" s="11">
        <v>1.0</v>
      </c>
      <c r="Q9" s="11">
        <v>2.0</v>
      </c>
      <c r="R9" s="11">
        <v>24.0</v>
      </c>
      <c r="S9" s="11">
        <v>8.0</v>
      </c>
      <c r="T9" s="11"/>
      <c r="U9" s="11">
        <v>2.0</v>
      </c>
      <c r="V9" s="11"/>
      <c r="W9" s="11"/>
      <c r="X9" s="11"/>
      <c r="Y9" s="11">
        <v>1.0</v>
      </c>
      <c r="Z9" s="11"/>
      <c r="AA9" s="11"/>
      <c r="AB9" s="11"/>
      <c r="AC9" s="11"/>
      <c r="AD9" s="11"/>
      <c r="AE9" s="1"/>
      <c r="AF9" s="1"/>
      <c r="AG9" s="1"/>
      <c r="AH9" s="11"/>
      <c r="AI9" s="1"/>
      <c r="AJ9" s="1">
        <f>SUM(G9:AH9)</f>
        <v>120</v>
      </c>
      <c r="AK9" s="14">
        <f>SUM(G9:J9)/120</f>
        <v>0.5416666667</v>
      </c>
      <c r="AL9" s="14">
        <f>SUM(K9:N9)/120</f>
        <v>0.03333333333</v>
      </c>
      <c r="AM9" s="14">
        <f> SUM(O9:T9)/120</f>
        <v>0.4</v>
      </c>
      <c r="AN9" s="14">
        <f>SUM(U9:AA9)/120</f>
        <v>0.025</v>
      </c>
      <c r="AO9" s="14">
        <f>SUM(AB9:AI9)/120</f>
        <v>0</v>
      </c>
    </row>
    <row r="10" ht="14.25" customHeight="1">
      <c r="A10" s="15">
        <v>45127.0</v>
      </c>
      <c r="B10" s="16" t="s">
        <v>43</v>
      </c>
      <c r="C10" s="16">
        <v>8.73</v>
      </c>
      <c r="D10" s="16">
        <v>7.4</v>
      </c>
      <c r="E10" s="16">
        <v>3.5</v>
      </c>
      <c r="F10" s="16">
        <v>29.0</v>
      </c>
      <c r="G10" s="16">
        <v>0.0</v>
      </c>
      <c r="H10" s="16">
        <v>36.0</v>
      </c>
      <c r="I10" s="16">
        <v>29.0</v>
      </c>
      <c r="J10" s="16"/>
      <c r="K10" s="16">
        <v>2.0</v>
      </c>
      <c r="L10" s="16">
        <v>0.0</v>
      </c>
      <c r="M10" s="16">
        <v>2.0</v>
      </c>
      <c r="N10" s="16">
        <v>0.0</v>
      </c>
      <c r="O10" s="16">
        <v>13.0</v>
      </c>
      <c r="P10" s="16">
        <v>1.0</v>
      </c>
      <c r="Q10" s="16">
        <v>2.0</v>
      </c>
      <c r="R10" s="16">
        <v>24.0</v>
      </c>
      <c r="S10" s="16">
        <v>8.0</v>
      </c>
      <c r="T10" s="16">
        <v>0.0</v>
      </c>
      <c r="U10" s="16">
        <v>2.0</v>
      </c>
      <c r="V10" s="16">
        <v>0.0</v>
      </c>
      <c r="W10" s="16">
        <v>0.0</v>
      </c>
      <c r="X10" s="16">
        <v>0.0</v>
      </c>
      <c r="Y10" s="16">
        <v>1.0</v>
      </c>
      <c r="Z10" s="16">
        <v>0.0</v>
      </c>
      <c r="AA10" s="16">
        <v>0.0</v>
      </c>
      <c r="AB10" s="16">
        <v>0.0</v>
      </c>
      <c r="AC10" s="16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6">
        <v>0.0</v>
      </c>
      <c r="AJ10" s="16">
        <v>120.0</v>
      </c>
      <c r="AK10" s="17">
        <v>0.5417</v>
      </c>
      <c r="AL10" s="17">
        <v>0.0333</v>
      </c>
      <c r="AM10" s="17">
        <v>0.4</v>
      </c>
      <c r="AN10" s="17">
        <v>0.025</v>
      </c>
      <c r="AO10" s="17">
        <v>0.0</v>
      </c>
    </row>
    <row r="11" ht="14.25" customHeight="1">
      <c r="A11" s="13">
        <v>45128.0</v>
      </c>
      <c r="B11" s="11" t="s">
        <v>42</v>
      </c>
      <c r="C11" s="11">
        <v>8.57</v>
      </c>
      <c r="D11" s="11">
        <v>13.9</v>
      </c>
      <c r="E11" s="11">
        <v>12.5</v>
      </c>
      <c r="F11" s="11">
        <v>29.0</v>
      </c>
      <c r="G11" s="11"/>
      <c r="H11" s="11">
        <v>52.0</v>
      </c>
      <c r="I11" s="11"/>
      <c r="J11" s="11"/>
      <c r="K11" s="11">
        <v>8.0</v>
      </c>
      <c r="L11" s="11"/>
      <c r="M11" s="11">
        <v>8.0</v>
      </c>
      <c r="N11" s="11"/>
      <c r="O11" s="11">
        <v>1.0</v>
      </c>
      <c r="P11" s="11"/>
      <c r="Q11" s="11">
        <v>2.0</v>
      </c>
      <c r="R11" s="11">
        <v>19.0</v>
      </c>
      <c r="S11" s="11">
        <v>1.0</v>
      </c>
      <c r="T11" s="11"/>
      <c r="U11" s="11">
        <v>3.0</v>
      </c>
      <c r="V11" s="11"/>
      <c r="W11" s="11"/>
      <c r="X11" s="11"/>
      <c r="Y11" s="11"/>
      <c r="Z11" s="11">
        <v>1.0</v>
      </c>
      <c r="AA11" s="11"/>
      <c r="AB11" s="11"/>
      <c r="AC11" s="11"/>
      <c r="AD11" s="11"/>
      <c r="AE11" s="11"/>
      <c r="AF11" s="11"/>
      <c r="AG11" s="11"/>
      <c r="AH11" s="11">
        <v>25.0</v>
      </c>
      <c r="AI11" s="1"/>
      <c r="AJ11" s="1">
        <f>SUM(G11:AH11)</f>
        <v>120</v>
      </c>
      <c r="AK11" s="14">
        <f>SUM(G11:J11)/120</f>
        <v>0.4333333333</v>
      </c>
      <c r="AL11" s="14">
        <f>SUM(K11:N11)/120</f>
        <v>0.1333333333</v>
      </c>
      <c r="AM11" s="14">
        <f> SUM(O11:T11)/120</f>
        <v>0.1916666667</v>
      </c>
      <c r="AN11" s="14">
        <f>SUM(U11:AA11)/120</f>
        <v>0.03333333333</v>
      </c>
      <c r="AO11" s="14">
        <f>SUM(AB11:AI11)/120</f>
        <v>0.2083333333</v>
      </c>
    </row>
    <row r="12" ht="14.25" customHeight="1">
      <c r="A12" s="15">
        <v>45128.0</v>
      </c>
      <c r="B12" s="16" t="s">
        <v>42</v>
      </c>
      <c r="C12" s="16">
        <v>8.57</v>
      </c>
      <c r="D12" s="16">
        <v>13.9</v>
      </c>
      <c r="E12" s="16">
        <v>12.5</v>
      </c>
      <c r="F12" s="16">
        <v>29.0</v>
      </c>
      <c r="G12" s="16">
        <v>0.0</v>
      </c>
      <c r="H12" s="16">
        <v>52.0</v>
      </c>
      <c r="I12" s="16"/>
      <c r="J12" s="16"/>
      <c r="K12" s="16">
        <v>8.0</v>
      </c>
      <c r="L12" s="16">
        <v>0.0</v>
      </c>
      <c r="M12" s="16">
        <v>8.0</v>
      </c>
      <c r="N12" s="16">
        <v>0.0</v>
      </c>
      <c r="O12" s="16">
        <v>1.0</v>
      </c>
      <c r="P12" s="16">
        <v>0.0</v>
      </c>
      <c r="Q12" s="16">
        <v>2.0</v>
      </c>
      <c r="R12" s="16">
        <v>19.0</v>
      </c>
      <c r="S12" s="16">
        <v>1.0</v>
      </c>
      <c r="T12" s="16">
        <v>0.0</v>
      </c>
      <c r="U12" s="16">
        <v>3.0</v>
      </c>
      <c r="V12" s="16">
        <v>0.0</v>
      </c>
      <c r="W12" s="16">
        <v>0.0</v>
      </c>
      <c r="X12" s="16">
        <v>0.0</v>
      </c>
      <c r="Y12" s="16">
        <v>0.0</v>
      </c>
      <c r="Z12" s="16">
        <v>1.0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>
        <v>0.0</v>
      </c>
      <c r="AJ12" s="16">
        <v>95.0</v>
      </c>
      <c r="AK12" s="17">
        <v>0.4333</v>
      </c>
      <c r="AL12" s="17">
        <v>0.1333</v>
      </c>
      <c r="AM12" s="17">
        <v>0.1917</v>
      </c>
      <c r="AN12" s="17">
        <v>0.0333</v>
      </c>
      <c r="AO12" s="17">
        <v>0.0</v>
      </c>
    </row>
    <row r="13" ht="14.25" customHeight="1">
      <c r="A13" s="13">
        <v>45128.0</v>
      </c>
      <c r="B13" s="11" t="s">
        <v>43</v>
      </c>
      <c r="C13" s="11">
        <v>8.17</v>
      </c>
      <c r="D13" s="11">
        <v>8.7</v>
      </c>
      <c r="E13" s="11">
        <v>9.4</v>
      </c>
      <c r="F13" s="11">
        <v>29.0</v>
      </c>
      <c r="G13" s="11"/>
      <c r="H13" s="11">
        <v>55.0</v>
      </c>
      <c r="I13" s="11">
        <v>4.0</v>
      </c>
      <c r="J13" s="11">
        <v>6.0</v>
      </c>
      <c r="K13" s="11">
        <v>10.0</v>
      </c>
      <c r="L13" s="11"/>
      <c r="M13" s="11">
        <v>12.0</v>
      </c>
      <c r="N13" s="11"/>
      <c r="O13" s="11">
        <v>3.0</v>
      </c>
      <c r="P13" s="11"/>
      <c r="Q13" s="11"/>
      <c r="R13" s="11">
        <v>14.0</v>
      </c>
      <c r="S13" s="11">
        <v>2.0</v>
      </c>
      <c r="T13" s="11"/>
      <c r="U13" s="11">
        <v>9.0</v>
      </c>
      <c r="V13" s="11"/>
      <c r="W13" s="11"/>
      <c r="X13" s="11"/>
      <c r="Y13" s="11"/>
      <c r="Z13" s="11"/>
      <c r="AA13" s="11"/>
      <c r="AB13" s="11">
        <v>1.0</v>
      </c>
      <c r="AC13" s="11"/>
      <c r="AD13" s="11"/>
      <c r="AE13" s="11"/>
      <c r="AF13" s="11">
        <v>1.0</v>
      </c>
      <c r="AG13" s="11"/>
      <c r="AH13" s="11">
        <v>2.0</v>
      </c>
      <c r="AI13" s="1"/>
      <c r="AJ13" s="1">
        <f>SUM(G13:AH13)</f>
        <v>119</v>
      </c>
      <c r="AK13" s="14">
        <f>SUM(G13:J13)/120</f>
        <v>0.5416666667</v>
      </c>
      <c r="AL13" s="14">
        <f>SUM(K13:N13)/120</f>
        <v>0.1833333333</v>
      </c>
      <c r="AM13" s="14">
        <f> SUM(O13:T13)/120</f>
        <v>0.1583333333</v>
      </c>
      <c r="AN13" s="14">
        <f>SUM(U13:AA13)/120</f>
        <v>0.075</v>
      </c>
      <c r="AO13" s="14">
        <f>SUM(AB13:AI13)/120</f>
        <v>0.03333333333</v>
      </c>
    </row>
    <row r="14" ht="14.25" customHeight="1">
      <c r="A14" s="15">
        <v>45128.0</v>
      </c>
      <c r="B14" s="16" t="s">
        <v>43</v>
      </c>
      <c r="C14" s="16">
        <v>8.17</v>
      </c>
      <c r="D14" s="16">
        <v>8.7</v>
      </c>
      <c r="E14" s="16">
        <v>9.4</v>
      </c>
      <c r="F14" s="16">
        <v>29.0</v>
      </c>
      <c r="G14" s="16">
        <v>0.0</v>
      </c>
      <c r="H14" s="16">
        <v>55.0</v>
      </c>
      <c r="I14" s="16">
        <v>4.0</v>
      </c>
      <c r="J14" s="16">
        <v>6.0</v>
      </c>
      <c r="K14" s="16">
        <v>10.0</v>
      </c>
      <c r="L14" s="16">
        <v>0.0</v>
      </c>
      <c r="M14" s="16">
        <v>12.0</v>
      </c>
      <c r="N14" s="16">
        <v>0.0</v>
      </c>
      <c r="O14" s="16">
        <v>3.0</v>
      </c>
      <c r="P14" s="16">
        <v>0.0</v>
      </c>
      <c r="Q14" s="16">
        <v>0.0</v>
      </c>
      <c r="R14" s="16">
        <v>14.0</v>
      </c>
      <c r="S14" s="16">
        <v>2.0</v>
      </c>
      <c r="T14" s="16">
        <v>0.0</v>
      </c>
      <c r="U14" s="16">
        <v>9.0</v>
      </c>
      <c r="V14" s="16">
        <v>0.0</v>
      </c>
      <c r="W14" s="16">
        <v>0.0</v>
      </c>
      <c r="X14" s="16">
        <v>0.0</v>
      </c>
      <c r="Y14" s="16">
        <v>0.0</v>
      </c>
      <c r="Z14" s="16">
        <v>0.0</v>
      </c>
      <c r="AA14" s="16">
        <v>0.0</v>
      </c>
      <c r="AB14" s="16">
        <v>1.0</v>
      </c>
      <c r="AC14" s="16">
        <v>0.0</v>
      </c>
      <c r="AD14" s="16">
        <v>0.0</v>
      </c>
      <c r="AE14" s="16">
        <v>0.0</v>
      </c>
      <c r="AF14" s="16">
        <v>0.0</v>
      </c>
      <c r="AG14" s="16">
        <v>1.0</v>
      </c>
      <c r="AH14" s="16">
        <v>0.0</v>
      </c>
      <c r="AI14" s="16">
        <v>0.0</v>
      </c>
      <c r="AJ14" s="16">
        <v>117.0</v>
      </c>
      <c r="AK14" s="17">
        <v>0.5417</v>
      </c>
      <c r="AL14" s="17">
        <v>0.1833</v>
      </c>
      <c r="AM14" s="17">
        <v>0.1583</v>
      </c>
      <c r="AN14" s="17">
        <v>0.075</v>
      </c>
      <c r="AO14" s="17">
        <v>0.0167</v>
      </c>
    </row>
    <row r="15" ht="14.25" customHeight="1">
      <c r="A15" s="13">
        <v>45131.0</v>
      </c>
      <c r="B15" s="11" t="s">
        <v>43</v>
      </c>
      <c r="C15" s="11">
        <v>10.19</v>
      </c>
      <c r="D15" s="11">
        <v>9.1</v>
      </c>
      <c r="E15" s="11">
        <v>7.9</v>
      </c>
      <c r="F15" s="11">
        <v>29.0</v>
      </c>
      <c r="G15" s="11"/>
      <c r="H15" s="11">
        <v>33.0</v>
      </c>
      <c r="I15" s="11">
        <v>17.0</v>
      </c>
      <c r="J15" s="11">
        <v>10.0</v>
      </c>
      <c r="K15" s="11">
        <v>5.0</v>
      </c>
      <c r="L15" s="11"/>
      <c r="M15" s="11">
        <v>8.0</v>
      </c>
      <c r="N15" s="11">
        <v>9.0</v>
      </c>
      <c r="O15" s="11">
        <v>13.0</v>
      </c>
      <c r="P15" s="11"/>
      <c r="Q15" s="11">
        <v>3.0</v>
      </c>
      <c r="R15" s="11">
        <v>10.0</v>
      </c>
      <c r="S15" s="11">
        <v>1.0</v>
      </c>
      <c r="T15" s="11"/>
      <c r="U15" s="11">
        <v>9.0</v>
      </c>
      <c r="V15" s="11"/>
      <c r="W15" s="11"/>
      <c r="X15" s="11"/>
      <c r="Y15" s="11"/>
      <c r="Z15" s="11"/>
      <c r="AA15" s="11"/>
      <c r="AB15" s="11">
        <v>2.0</v>
      </c>
      <c r="AC15" s="11"/>
      <c r="AD15" s="11"/>
      <c r="AE15" s="11"/>
      <c r="AF15" s="11"/>
      <c r="AG15" s="11"/>
      <c r="AH15" s="11"/>
      <c r="AI15" s="1"/>
      <c r="AJ15" s="1">
        <f>SUM(G15:AH15)</f>
        <v>120</v>
      </c>
      <c r="AK15" s="14">
        <f>SUM(G15:J15)/120</f>
        <v>0.5</v>
      </c>
      <c r="AL15" s="14">
        <f>SUM(K15:N15)/120</f>
        <v>0.1833333333</v>
      </c>
      <c r="AM15" s="14">
        <f> SUM(O15:T15)/120</f>
        <v>0.225</v>
      </c>
      <c r="AN15" s="14">
        <f>SUM(U15:AA15)/120</f>
        <v>0.075</v>
      </c>
      <c r="AO15" s="14">
        <f>SUM(AB15:AI15)/120</f>
        <v>0.01666666667</v>
      </c>
    </row>
    <row r="16" ht="14.25" customHeight="1">
      <c r="A16" s="15">
        <v>45131.0</v>
      </c>
      <c r="B16" s="16" t="s">
        <v>43</v>
      </c>
      <c r="C16" s="16">
        <v>10.19</v>
      </c>
      <c r="D16" s="16">
        <v>9.1</v>
      </c>
      <c r="E16" s="16">
        <v>7.9</v>
      </c>
      <c r="F16" s="16">
        <v>29.0</v>
      </c>
      <c r="G16" s="16">
        <v>0.0</v>
      </c>
      <c r="H16" s="16">
        <v>33.0</v>
      </c>
      <c r="I16" s="16">
        <v>17.0</v>
      </c>
      <c r="J16" s="16">
        <v>10.0</v>
      </c>
      <c r="K16" s="16">
        <v>5.0</v>
      </c>
      <c r="L16" s="16">
        <v>0.0</v>
      </c>
      <c r="M16" s="16">
        <v>8.0</v>
      </c>
      <c r="N16" s="16">
        <v>9.0</v>
      </c>
      <c r="O16" s="16">
        <v>13.0</v>
      </c>
      <c r="P16" s="16">
        <v>0.0</v>
      </c>
      <c r="Q16" s="16">
        <v>3.0</v>
      </c>
      <c r="R16" s="16">
        <v>10.0</v>
      </c>
      <c r="S16" s="16">
        <v>1.0</v>
      </c>
      <c r="T16" s="16">
        <v>0.0</v>
      </c>
      <c r="U16" s="16">
        <v>9.0</v>
      </c>
      <c r="V16" s="16">
        <v>0.0</v>
      </c>
      <c r="W16" s="16">
        <v>0.0</v>
      </c>
      <c r="X16" s="16">
        <v>0.0</v>
      </c>
      <c r="Y16" s="16">
        <v>0.0</v>
      </c>
      <c r="Z16" s="16">
        <v>0.0</v>
      </c>
      <c r="AA16" s="16">
        <v>0.0</v>
      </c>
      <c r="AB16" s="16">
        <v>2.0</v>
      </c>
      <c r="AC16" s="16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6">
        <v>0.0</v>
      </c>
      <c r="AJ16" s="16">
        <v>120.0</v>
      </c>
      <c r="AK16" s="17">
        <v>0.5</v>
      </c>
      <c r="AL16" s="17">
        <v>0.1083</v>
      </c>
      <c r="AM16" s="17">
        <v>0.225</v>
      </c>
      <c r="AN16" s="17">
        <v>0.075</v>
      </c>
      <c r="AO16" s="17">
        <v>0.0167</v>
      </c>
    </row>
    <row r="17" ht="14.25" customHeight="1">
      <c r="A17" s="13">
        <v>45131.0</v>
      </c>
      <c r="B17" s="11" t="s">
        <v>44</v>
      </c>
      <c r="C17" s="11">
        <v>12.79</v>
      </c>
      <c r="D17" s="11">
        <v>13.4</v>
      </c>
      <c r="E17" s="11">
        <v>12.6</v>
      </c>
      <c r="F17" s="11">
        <v>30.0</v>
      </c>
      <c r="G17" s="11"/>
      <c r="H17" s="11">
        <v>66.0</v>
      </c>
      <c r="I17" s="11">
        <v>4.0</v>
      </c>
      <c r="J17" s="11"/>
      <c r="K17" s="11">
        <v>9.0</v>
      </c>
      <c r="L17" s="11"/>
      <c r="M17" s="11">
        <v>6.0</v>
      </c>
      <c r="N17" s="11"/>
      <c r="O17" s="11">
        <v>5.0</v>
      </c>
      <c r="P17" s="11"/>
      <c r="Q17" s="11">
        <v>2.0</v>
      </c>
      <c r="R17" s="11">
        <v>9.0</v>
      </c>
      <c r="S17" s="11">
        <v>5.0</v>
      </c>
      <c r="T17" s="11"/>
      <c r="U17" s="11">
        <v>3.0</v>
      </c>
      <c r="V17" s="11">
        <v>5.0</v>
      </c>
      <c r="W17" s="11"/>
      <c r="X17" s="11">
        <v>4.0</v>
      </c>
      <c r="Y17" s="11"/>
      <c r="Z17" s="11"/>
      <c r="AA17" s="11"/>
      <c r="AB17" s="11">
        <v>2.0</v>
      </c>
      <c r="AC17" s="11"/>
      <c r="AD17" s="11"/>
      <c r="AE17" s="11"/>
      <c r="AF17" s="11"/>
      <c r="AG17" s="11"/>
      <c r="AH17" s="11"/>
      <c r="AI17" s="1"/>
      <c r="AJ17" s="1">
        <f>SUM(G17:AH17)</f>
        <v>120</v>
      </c>
      <c r="AK17" s="14">
        <f>SUM(G17:J17)/120</f>
        <v>0.5833333333</v>
      </c>
      <c r="AL17" s="14">
        <f>SUM(K17:N17)/120</f>
        <v>0.125</v>
      </c>
      <c r="AM17" s="14">
        <f> SUM(O17:T17)/120</f>
        <v>0.175</v>
      </c>
      <c r="AN17" s="14">
        <f>SUM(U17:AA17)/120</f>
        <v>0.1</v>
      </c>
      <c r="AO17" s="14">
        <f>SUM(AB17:AI17)/120</f>
        <v>0.01666666667</v>
      </c>
    </row>
    <row r="18" ht="14.25" customHeight="1">
      <c r="A18" s="15">
        <v>45131.0</v>
      </c>
      <c r="B18" s="16" t="s">
        <v>44</v>
      </c>
      <c r="C18" s="16">
        <v>12.79</v>
      </c>
      <c r="D18" s="16">
        <v>13.4</v>
      </c>
      <c r="E18" s="16">
        <v>12.6</v>
      </c>
      <c r="F18" s="16">
        <v>30.0</v>
      </c>
      <c r="G18" s="16">
        <v>0.0</v>
      </c>
      <c r="H18" s="16">
        <v>66.0</v>
      </c>
      <c r="I18" s="16">
        <v>4.0</v>
      </c>
      <c r="J18" s="16"/>
      <c r="K18" s="16">
        <v>9.0</v>
      </c>
      <c r="L18" s="16">
        <v>0.0</v>
      </c>
      <c r="M18" s="16">
        <v>6.0</v>
      </c>
      <c r="N18" s="16">
        <v>0.0</v>
      </c>
      <c r="O18" s="16">
        <v>5.0</v>
      </c>
      <c r="P18" s="16">
        <v>0.0</v>
      </c>
      <c r="Q18" s="16">
        <v>2.0</v>
      </c>
      <c r="R18" s="16">
        <v>9.0</v>
      </c>
      <c r="S18" s="16">
        <v>5.0</v>
      </c>
      <c r="T18" s="16">
        <v>0.0</v>
      </c>
      <c r="U18" s="16">
        <v>3.0</v>
      </c>
      <c r="V18" s="16">
        <v>5.0</v>
      </c>
      <c r="W18" s="16">
        <v>0.0</v>
      </c>
      <c r="X18" s="16">
        <v>4.0</v>
      </c>
      <c r="Y18" s="16">
        <v>0.0</v>
      </c>
      <c r="Z18" s="16">
        <v>0.0</v>
      </c>
      <c r="AA18" s="16">
        <v>0.0</v>
      </c>
      <c r="AB18" s="16">
        <v>2.0</v>
      </c>
      <c r="AC18" s="16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6">
        <v>0.0</v>
      </c>
      <c r="AJ18" s="16">
        <v>120.0</v>
      </c>
      <c r="AK18" s="17">
        <v>0.5833</v>
      </c>
      <c r="AL18" s="17">
        <v>0.125</v>
      </c>
      <c r="AM18" s="17">
        <v>0.175</v>
      </c>
      <c r="AN18" s="17">
        <v>0.1</v>
      </c>
      <c r="AO18" s="17">
        <v>0.0167</v>
      </c>
    </row>
    <row r="19" ht="14.25" customHeight="1">
      <c r="A19" s="13">
        <v>45132.0</v>
      </c>
      <c r="B19" s="11" t="s">
        <v>42</v>
      </c>
      <c r="C19" s="11">
        <v>9.2</v>
      </c>
      <c r="D19" s="11">
        <v>5.4</v>
      </c>
      <c r="E19" s="11">
        <v>5.1</v>
      </c>
      <c r="F19" s="11">
        <v>28.0</v>
      </c>
      <c r="G19" s="11">
        <v>1.0</v>
      </c>
      <c r="H19" s="11">
        <v>34.0</v>
      </c>
      <c r="I19" s="11">
        <v>18.0</v>
      </c>
      <c r="J19" s="11">
        <v>2.0</v>
      </c>
      <c r="K19" s="11">
        <v>4.0</v>
      </c>
      <c r="L19" s="11"/>
      <c r="M19" s="11"/>
      <c r="N19" s="11"/>
      <c r="O19" s="11">
        <v>14.0</v>
      </c>
      <c r="P19" s="11"/>
      <c r="Q19" s="11"/>
      <c r="R19" s="11">
        <v>3.0</v>
      </c>
      <c r="S19" s="11">
        <v>2.0</v>
      </c>
      <c r="T19" s="11"/>
      <c r="U19" s="11">
        <v>7.0</v>
      </c>
      <c r="V19" s="11"/>
      <c r="W19" s="11"/>
      <c r="X19" s="11"/>
      <c r="Y19" s="11"/>
      <c r="Z19" s="11"/>
      <c r="AA19" s="11"/>
      <c r="AB19" s="11">
        <v>33.0</v>
      </c>
      <c r="AC19" s="11"/>
      <c r="AD19" s="11">
        <v>2.0</v>
      </c>
      <c r="AE19" s="11"/>
      <c r="AF19" s="11"/>
      <c r="AG19" s="11"/>
      <c r="AH19" s="11"/>
      <c r="AI19" s="1"/>
      <c r="AJ19" s="1">
        <f>SUM(G19:AH19)</f>
        <v>120</v>
      </c>
      <c r="AK19" s="14">
        <f>SUM(G19:J19)/120</f>
        <v>0.4583333333</v>
      </c>
      <c r="AL19" s="14">
        <f>SUM(K19:N19)/120</f>
        <v>0.03333333333</v>
      </c>
      <c r="AM19" s="14">
        <f> SUM(O19:T19)/120</f>
        <v>0.1583333333</v>
      </c>
      <c r="AN19" s="14">
        <f>SUM(U19:AA19)/120</f>
        <v>0.05833333333</v>
      </c>
      <c r="AO19" s="14">
        <f>SUM(AB19:AI19)/120</f>
        <v>0.2916666667</v>
      </c>
    </row>
    <row r="20" ht="14.25" customHeight="1">
      <c r="A20" s="15">
        <v>45132.0</v>
      </c>
      <c r="B20" s="16" t="s">
        <v>42</v>
      </c>
      <c r="C20" s="16">
        <v>9.2</v>
      </c>
      <c r="D20" s="16">
        <v>5.4</v>
      </c>
      <c r="E20" s="16">
        <v>5.1</v>
      </c>
      <c r="F20" s="16">
        <v>28.0</v>
      </c>
      <c r="G20" s="16">
        <v>1.0</v>
      </c>
      <c r="H20" s="16">
        <v>34.0</v>
      </c>
      <c r="I20" s="16">
        <v>18.0</v>
      </c>
      <c r="J20" s="16">
        <v>2.0</v>
      </c>
      <c r="K20" s="16">
        <v>4.0</v>
      </c>
      <c r="L20" s="16">
        <v>0.0</v>
      </c>
      <c r="M20" s="16">
        <v>0.0</v>
      </c>
      <c r="N20" s="16">
        <v>0.0</v>
      </c>
      <c r="O20" s="16">
        <v>14.0</v>
      </c>
      <c r="P20" s="16">
        <v>0.0</v>
      </c>
      <c r="Q20" s="16">
        <v>0.0</v>
      </c>
      <c r="R20" s="16">
        <v>3.0</v>
      </c>
      <c r="S20" s="16">
        <v>2.0</v>
      </c>
      <c r="T20" s="16">
        <v>0.0</v>
      </c>
      <c r="U20" s="16">
        <v>7.0</v>
      </c>
      <c r="V20" s="16">
        <v>0.0</v>
      </c>
      <c r="W20" s="16">
        <v>0.0</v>
      </c>
      <c r="X20" s="16">
        <v>0.0</v>
      </c>
      <c r="Y20" s="16">
        <v>0.0</v>
      </c>
      <c r="Z20" s="16">
        <v>0.0</v>
      </c>
      <c r="AA20" s="16">
        <v>0.0</v>
      </c>
      <c r="AB20" s="16">
        <v>33.0</v>
      </c>
      <c r="AC20" s="16">
        <v>0.0</v>
      </c>
      <c r="AD20" s="16">
        <v>2.0</v>
      </c>
      <c r="AE20" s="16">
        <v>0.0</v>
      </c>
      <c r="AF20" s="16">
        <v>0.0</v>
      </c>
      <c r="AG20" s="16">
        <v>0.0</v>
      </c>
      <c r="AH20" s="16">
        <v>0.0</v>
      </c>
      <c r="AI20" s="16">
        <v>0.0</v>
      </c>
      <c r="AJ20" s="16">
        <v>120.0</v>
      </c>
      <c r="AK20" s="17">
        <v>0.4583</v>
      </c>
      <c r="AL20" s="17">
        <v>0.0333</v>
      </c>
      <c r="AM20" s="17">
        <v>0.1583</v>
      </c>
      <c r="AN20" s="17">
        <v>0.0583</v>
      </c>
      <c r="AO20" s="17">
        <v>0.2917</v>
      </c>
    </row>
    <row r="21" ht="14.25" customHeight="1">
      <c r="A21" s="13">
        <v>45132.0</v>
      </c>
      <c r="B21" s="11" t="s">
        <v>43</v>
      </c>
      <c r="C21" s="11">
        <v>11.6</v>
      </c>
      <c r="D21" s="11">
        <v>3.3</v>
      </c>
      <c r="E21" s="11">
        <v>3.1</v>
      </c>
      <c r="F21" s="11">
        <v>28.0</v>
      </c>
      <c r="G21" s="11"/>
      <c r="H21" s="11">
        <v>51.0</v>
      </c>
      <c r="I21" s="11">
        <v>6.0</v>
      </c>
      <c r="J21" s="11">
        <v>5.0</v>
      </c>
      <c r="K21" s="11">
        <v>10.0</v>
      </c>
      <c r="L21" s="11"/>
      <c r="M21" s="11">
        <v>4.0</v>
      </c>
      <c r="N21" s="11"/>
      <c r="O21" s="11">
        <v>11.0</v>
      </c>
      <c r="P21" s="11"/>
      <c r="Q21" s="11"/>
      <c r="R21" s="11">
        <v>2.0</v>
      </c>
      <c r="S21" s="11"/>
      <c r="T21" s="11"/>
      <c r="U21" s="11">
        <v>13.0</v>
      </c>
      <c r="V21" s="11">
        <v>1.0</v>
      </c>
      <c r="W21" s="11"/>
      <c r="X21" s="11"/>
      <c r="Y21" s="11"/>
      <c r="Z21" s="11"/>
      <c r="AA21" s="11"/>
      <c r="AB21" s="11">
        <v>16.0</v>
      </c>
      <c r="AC21" s="11"/>
      <c r="AD21" s="11">
        <v>1.0</v>
      </c>
      <c r="AE21" s="11"/>
      <c r="AF21" s="11"/>
      <c r="AG21" s="11"/>
      <c r="AH21" s="11"/>
      <c r="AI21" s="1"/>
      <c r="AJ21" s="1">
        <f t="shared" ref="AJ21:AJ22" si="7">SUM(G21:AH21)</f>
        <v>120</v>
      </c>
      <c r="AK21" s="14">
        <f t="shared" ref="AK21:AK22" si="8">SUM(G21:J21)/120</f>
        <v>0.5166666667</v>
      </c>
      <c r="AL21" s="14">
        <f t="shared" ref="AL21:AL22" si="9">SUM(K21:N21)/120</f>
        <v>0.1166666667</v>
      </c>
      <c r="AM21" s="14">
        <f t="shared" ref="AM21:AM22" si="10"> SUM(O21:T21)/120</f>
        <v>0.1083333333</v>
      </c>
      <c r="AN21" s="14">
        <f t="shared" ref="AN21:AN22" si="11">SUM(U21:AA21)/120</f>
        <v>0.1166666667</v>
      </c>
      <c r="AO21" s="14">
        <f t="shared" ref="AO21:AO22" si="12">SUM(AB21:AI21)/120</f>
        <v>0.1416666667</v>
      </c>
    </row>
    <row r="22" ht="14.25" customHeight="1">
      <c r="A22" s="13">
        <v>45132.0</v>
      </c>
      <c r="B22" s="11" t="s">
        <v>43</v>
      </c>
      <c r="C22" s="11">
        <v>6.55</v>
      </c>
      <c r="D22" s="11">
        <v>8.5</v>
      </c>
      <c r="E22" s="11">
        <v>8.8</v>
      </c>
      <c r="F22" s="11">
        <v>28.0</v>
      </c>
      <c r="G22" s="11"/>
      <c r="H22" s="11">
        <v>36.0</v>
      </c>
      <c r="I22" s="11">
        <v>19.0</v>
      </c>
      <c r="J22" s="11">
        <v>9.0</v>
      </c>
      <c r="K22" s="11">
        <v>3.0</v>
      </c>
      <c r="L22" s="11"/>
      <c r="M22" s="11">
        <v>3.0</v>
      </c>
      <c r="N22" s="11">
        <v>3.0</v>
      </c>
      <c r="O22" s="11">
        <v>12.0</v>
      </c>
      <c r="P22" s="11">
        <v>1.0</v>
      </c>
      <c r="Q22" s="11"/>
      <c r="R22" s="11">
        <v>7.0</v>
      </c>
      <c r="S22" s="11">
        <v>2.0</v>
      </c>
      <c r="T22" s="11"/>
      <c r="U22" s="11">
        <v>21.0</v>
      </c>
      <c r="V22" s="11"/>
      <c r="W22" s="11"/>
      <c r="X22" s="11">
        <v>1.0</v>
      </c>
      <c r="Y22" s="11"/>
      <c r="Z22" s="11"/>
      <c r="AA22" s="11"/>
      <c r="AB22" s="11"/>
      <c r="AC22" s="11"/>
      <c r="AD22" s="11"/>
      <c r="AE22" s="11"/>
      <c r="AF22" s="11">
        <v>1.0</v>
      </c>
      <c r="AG22" s="11"/>
      <c r="AH22" s="11">
        <v>3.0</v>
      </c>
      <c r="AI22" s="1"/>
      <c r="AJ22" s="1">
        <f t="shared" si="7"/>
        <v>121</v>
      </c>
      <c r="AK22" s="14">
        <f t="shared" si="8"/>
        <v>0.5333333333</v>
      </c>
      <c r="AL22" s="14">
        <f t="shared" si="9"/>
        <v>0.075</v>
      </c>
      <c r="AM22" s="14">
        <f t="shared" si="10"/>
        <v>0.1833333333</v>
      </c>
      <c r="AN22" s="14">
        <f t="shared" si="11"/>
        <v>0.1833333333</v>
      </c>
      <c r="AO22" s="14">
        <f t="shared" si="12"/>
        <v>0.03333333333</v>
      </c>
    </row>
    <row r="23" ht="14.25" customHeight="1">
      <c r="A23" s="15">
        <v>45132.0</v>
      </c>
      <c r="B23" s="16" t="s">
        <v>43</v>
      </c>
      <c r="C23" s="16">
        <v>11.6</v>
      </c>
      <c r="D23" s="16">
        <v>3.3</v>
      </c>
      <c r="E23" s="16">
        <v>3.1</v>
      </c>
      <c r="F23" s="16">
        <v>28.0</v>
      </c>
      <c r="G23" s="16">
        <v>0.0</v>
      </c>
      <c r="H23" s="16">
        <v>51.0</v>
      </c>
      <c r="I23" s="16">
        <v>6.0</v>
      </c>
      <c r="J23" s="16">
        <v>5.0</v>
      </c>
      <c r="K23" s="16">
        <v>10.0</v>
      </c>
      <c r="L23" s="16">
        <v>0.0</v>
      </c>
      <c r="M23" s="16">
        <v>4.0</v>
      </c>
      <c r="N23" s="16">
        <v>0.0</v>
      </c>
      <c r="O23" s="16">
        <v>11.0</v>
      </c>
      <c r="P23" s="16">
        <v>0.0</v>
      </c>
      <c r="Q23" s="16">
        <v>0.0</v>
      </c>
      <c r="R23" s="16">
        <v>2.0</v>
      </c>
      <c r="S23" s="16">
        <v>0.0</v>
      </c>
      <c r="T23" s="16">
        <v>0.0</v>
      </c>
      <c r="U23" s="16">
        <v>13.0</v>
      </c>
      <c r="V23" s="16">
        <v>1.0</v>
      </c>
      <c r="W23" s="16">
        <v>0.0</v>
      </c>
      <c r="X23" s="16">
        <v>0.0</v>
      </c>
      <c r="Y23" s="16">
        <v>0.0</v>
      </c>
      <c r="Z23" s="16">
        <v>0.0</v>
      </c>
      <c r="AA23" s="16">
        <v>0.0</v>
      </c>
      <c r="AB23" s="16">
        <v>16.0</v>
      </c>
      <c r="AC23" s="16">
        <v>0.0</v>
      </c>
      <c r="AD23" s="16">
        <v>1.0</v>
      </c>
      <c r="AE23" s="16">
        <v>0.0</v>
      </c>
      <c r="AF23" s="16">
        <v>0.0</v>
      </c>
      <c r="AG23" s="16">
        <v>0.0</v>
      </c>
      <c r="AH23" s="16">
        <v>0.0</v>
      </c>
      <c r="AI23" s="16">
        <v>0.0</v>
      </c>
      <c r="AJ23" s="16">
        <v>120.0</v>
      </c>
      <c r="AK23" s="17">
        <v>0.5167</v>
      </c>
      <c r="AL23" s="17">
        <v>0.1167</v>
      </c>
      <c r="AM23" s="17">
        <v>0.1083</v>
      </c>
      <c r="AN23" s="17">
        <v>0.1167</v>
      </c>
      <c r="AO23" s="17">
        <v>0.1417</v>
      </c>
    </row>
    <row r="24" ht="14.25" customHeight="1">
      <c r="A24" s="15">
        <v>45132.0</v>
      </c>
      <c r="B24" s="16" t="s">
        <v>43</v>
      </c>
      <c r="C24" s="16">
        <v>6.55</v>
      </c>
      <c r="D24" s="16">
        <v>8.5</v>
      </c>
      <c r="E24" s="16">
        <v>8.8</v>
      </c>
      <c r="F24" s="16">
        <v>28.0</v>
      </c>
      <c r="G24" s="16">
        <v>0.0</v>
      </c>
      <c r="H24" s="16">
        <v>36.0</v>
      </c>
      <c r="I24" s="16">
        <v>19.0</v>
      </c>
      <c r="J24" s="16">
        <v>9.0</v>
      </c>
      <c r="K24" s="16">
        <v>3.0</v>
      </c>
      <c r="L24" s="16">
        <v>0.0</v>
      </c>
      <c r="M24" s="16">
        <v>3.0</v>
      </c>
      <c r="N24" s="16">
        <v>3.0</v>
      </c>
      <c r="O24" s="16">
        <v>12.0</v>
      </c>
      <c r="P24" s="16">
        <v>1.0</v>
      </c>
      <c r="Q24" s="16">
        <v>0.0</v>
      </c>
      <c r="R24" s="16">
        <v>7.0</v>
      </c>
      <c r="S24" s="16">
        <v>2.0</v>
      </c>
      <c r="T24" s="16">
        <v>0.0</v>
      </c>
      <c r="U24" s="16">
        <v>21.0</v>
      </c>
      <c r="V24" s="16">
        <v>0.0</v>
      </c>
      <c r="W24" s="16">
        <v>0.0</v>
      </c>
      <c r="X24" s="16">
        <v>1.0</v>
      </c>
      <c r="Y24" s="16">
        <v>0.0</v>
      </c>
      <c r="Z24" s="16">
        <v>0.0</v>
      </c>
      <c r="AA24" s="16">
        <v>0.0</v>
      </c>
      <c r="AB24" s="16">
        <v>0.0</v>
      </c>
      <c r="AC24" s="16">
        <v>0.0</v>
      </c>
      <c r="AD24" s="16">
        <v>0.0</v>
      </c>
      <c r="AE24" s="16">
        <v>0.0</v>
      </c>
      <c r="AF24" s="16">
        <v>0.0</v>
      </c>
      <c r="AG24" s="16">
        <v>1.0</v>
      </c>
      <c r="AH24" s="16">
        <v>0.0</v>
      </c>
      <c r="AI24" s="16">
        <v>0.0</v>
      </c>
      <c r="AJ24" s="16">
        <v>118.0</v>
      </c>
      <c r="AK24" s="17">
        <v>0.5333</v>
      </c>
      <c r="AL24" s="17">
        <v>0.05</v>
      </c>
      <c r="AM24" s="17">
        <v>0.1833</v>
      </c>
      <c r="AN24" s="17">
        <v>0.1833</v>
      </c>
      <c r="AO24" s="17">
        <v>0.0083</v>
      </c>
    </row>
    <row r="25" ht="14.25" customHeight="1">
      <c r="A25" s="13">
        <v>45132.0</v>
      </c>
      <c r="B25" s="11" t="s">
        <v>44</v>
      </c>
      <c r="C25" s="11">
        <v>8.24</v>
      </c>
      <c r="D25" s="11">
        <v>13.5</v>
      </c>
      <c r="E25" s="11">
        <v>13.0</v>
      </c>
      <c r="F25" s="11">
        <v>28.0</v>
      </c>
      <c r="G25" s="11"/>
      <c r="H25" s="11">
        <v>39.0</v>
      </c>
      <c r="I25" s="11">
        <v>18.0</v>
      </c>
      <c r="J25" s="11">
        <v>6.0</v>
      </c>
      <c r="K25" s="11">
        <v>10.0</v>
      </c>
      <c r="L25" s="11"/>
      <c r="M25" s="11">
        <v>6.0</v>
      </c>
      <c r="N25" s="11"/>
      <c r="O25" s="11">
        <v>7.0</v>
      </c>
      <c r="P25" s="11"/>
      <c r="Q25" s="11"/>
      <c r="R25" s="11">
        <v>11.0</v>
      </c>
      <c r="S25" s="11">
        <v>1.0</v>
      </c>
      <c r="T25" s="11"/>
      <c r="U25" s="11">
        <v>5.0</v>
      </c>
      <c r="V25" s="11">
        <v>15.0</v>
      </c>
      <c r="W25" s="11"/>
      <c r="X25" s="11"/>
      <c r="Y25" s="11"/>
      <c r="Z25" s="11"/>
      <c r="AA25" s="11"/>
      <c r="AB25" s="11">
        <v>2.0</v>
      </c>
      <c r="AC25" s="11"/>
      <c r="AD25" s="11"/>
      <c r="AE25" s="11"/>
      <c r="AF25" s="11"/>
      <c r="AG25" s="11"/>
      <c r="AH25" s="11"/>
      <c r="AI25" s="1"/>
      <c r="AJ25" s="1">
        <f>SUM(G25:AH25)</f>
        <v>120</v>
      </c>
      <c r="AK25" s="14">
        <f>SUM(G25:J25)/120</f>
        <v>0.525</v>
      </c>
      <c r="AL25" s="14">
        <f>SUM(K25:N25)/120</f>
        <v>0.1333333333</v>
      </c>
      <c r="AM25" s="14">
        <f> SUM(O25:T25)/120</f>
        <v>0.1583333333</v>
      </c>
      <c r="AN25" s="14">
        <f>SUM(U25:AA25)/120</f>
        <v>0.1666666667</v>
      </c>
      <c r="AO25" s="14">
        <f>SUM(AB25:AI25)/120</f>
        <v>0.01666666667</v>
      </c>
    </row>
    <row r="26" ht="14.25" customHeight="1">
      <c r="A26" s="15">
        <v>45132.0</v>
      </c>
      <c r="B26" s="16" t="s">
        <v>44</v>
      </c>
      <c r="C26" s="16">
        <v>8.24</v>
      </c>
      <c r="D26" s="16">
        <v>13.5</v>
      </c>
      <c r="E26" s="16">
        <v>13.0</v>
      </c>
      <c r="F26" s="16">
        <v>28.0</v>
      </c>
      <c r="G26" s="16">
        <v>0.0</v>
      </c>
      <c r="H26" s="16">
        <v>39.0</v>
      </c>
      <c r="I26" s="16">
        <v>18.0</v>
      </c>
      <c r="J26" s="16">
        <v>6.0</v>
      </c>
      <c r="K26" s="16">
        <v>10.0</v>
      </c>
      <c r="L26" s="16">
        <v>0.0</v>
      </c>
      <c r="M26" s="16">
        <v>6.0</v>
      </c>
      <c r="N26" s="16">
        <v>0.0</v>
      </c>
      <c r="O26" s="16">
        <v>7.0</v>
      </c>
      <c r="P26" s="16">
        <v>0.0</v>
      </c>
      <c r="Q26" s="16">
        <v>0.0</v>
      </c>
      <c r="R26" s="16">
        <v>11.0</v>
      </c>
      <c r="S26" s="16">
        <v>1.0</v>
      </c>
      <c r="T26" s="16">
        <v>0.0</v>
      </c>
      <c r="U26" s="16">
        <v>5.0</v>
      </c>
      <c r="V26" s="16">
        <v>15.0</v>
      </c>
      <c r="W26" s="16">
        <v>0.0</v>
      </c>
      <c r="X26" s="16">
        <v>0.0</v>
      </c>
      <c r="Y26" s="16">
        <v>0.0</v>
      </c>
      <c r="Z26" s="16">
        <v>0.0</v>
      </c>
      <c r="AA26" s="16">
        <v>0.0</v>
      </c>
      <c r="AB26" s="16">
        <v>2.0</v>
      </c>
      <c r="AC26" s="16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>
        <v>0.0</v>
      </c>
      <c r="AJ26" s="16">
        <v>120.0</v>
      </c>
      <c r="AK26" s="17">
        <v>0.525</v>
      </c>
      <c r="AL26" s="17">
        <v>0.1333</v>
      </c>
      <c r="AM26" s="17">
        <v>0.1583</v>
      </c>
      <c r="AN26" s="17">
        <v>0.1667</v>
      </c>
      <c r="AO26" s="17">
        <v>0.0167</v>
      </c>
    </row>
    <row r="27" ht="14.25" customHeight="1">
      <c r="A27" s="13">
        <v>45133.0</v>
      </c>
      <c r="B27" s="11" t="s">
        <v>41</v>
      </c>
      <c r="C27" s="11">
        <v>12.5</v>
      </c>
      <c r="D27" s="11">
        <v>12.0</v>
      </c>
      <c r="E27" s="11">
        <v>12.7</v>
      </c>
      <c r="F27" s="11">
        <v>28.0</v>
      </c>
      <c r="G27" s="1"/>
      <c r="H27" s="11">
        <v>69.0</v>
      </c>
      <c r="I27" s="1"/>
      <c r="J27" s="1"/>
      <c r="K27" s="11">
        <v>9.0</v>
      </c>
      <c r="L27" s="1"/>
      <c r="M27" s="1"/>
      <c r="N27" s="1"/>
      <c r="O27" s="11">
        <v>15.0</v>
      </c>
      <c r="P27" s="11">
        <v>6.0</v>
      </c>
      <c r="Q27" s="11">
        <v>2.0</v>
      </c>
      <c r="R27" s="11">
        <v>12.0</v>
      </c>
      <c r="S27" s="11">
        <v>3.0</v>
      </c>
      <c r="T27" s="11"/>
      <c r="U27" s="11">
        <v>1.0</v>
      </c>
      <c r="V27" s="11">
        <v>3.0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>
        <f>SUM(G27:AH27)</f>
        <v>120</v>
      </c>
      <c r="AK27" s="14">
        <f>SUM(G27:J27)/120</f>
        <v>0.575</v>
      </c>
      <c r="AL27" s="14">
        <f>SUM(K27:N27)/120</f>
        <v>0.075</v>
      </c>
      <c r="AM27" s="14">
        <f> SUM(O27:T27)/120</f>
        <v>0.3166666667</v>
      </c>
      <c r="AN27" s="14">
        <f>SUM(U27:AA27)/120</f>
        <v>0.03333333333</v>
      </c>
      <c r="AO27" s="14">
        <f>SUM(AB27:AI27)/120</f>
        <v>0</v>
      </c>
    </row>
    <row r="28" ht="14.25" customHeight="1">
      <c r="A28" s="15">
        <v>45133.0</v>
      </c>
      <c r="B28" s="18" t="s">
        <v>41</v>
      </c>
      <c r="C28" s="16">
        <v>12.5</v>
      </c>
      <c r="D28" s="16">
        <v>12.0</v>
      </c>
      <c r="E28" s="16">
        <v>12.7</v>
      </c>
      <c r="F28" s="16">
        <v>28.0</v>
      </c>
      <c r="G28" s="16">
        <v>0.0</v>
      </c>
      <c r="H28" s="16">
        <v>69.0</v>
      </c>
      <c r="I28" s="16"/>
      <c r="J28" s="16"/>
      <c r="K28" s="16">
        <v>9.0</v>
      </c>
      <c r="L28" s="16">
        <v>0.0</v>
      </c>
      <c r="M28" s="16">
        <v>0.0</v>
      </c>
      <c r="N28" s="16">
        <v>0.0</v>
      </c>
      <c r="O28" s="16">
        <v>15.0</v>
      </c>
      <c r="P28" s="16">
        <v>6.0</v>
      </c>
      <c r="Q28" s="16">
        <v>2.0</v>
      </c>
      <c r="R28" s="16">
        <v>12.0</v>
      </c>
      <c r="S28" s="16">
        <v>3.0</v>
      </c>
      <c r="T28" s="16">
        <v>0.0</v>
      </c>
      <c r="U28" s="16">
        <v>1.0</v>
      </c>
      <c r="V28" s="16">
        <v>3.0</v>
      </c>
      <c r="W28" s="16">
        <v>0.0</v>
      </c>
      <c r="X28" s="16">
        <v>0.0</v>
      </c>
      <c r="Y28" s="16">
        <v>0.0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120.0</v>
      </c>
      <c r="AK28" s="17">
        <v>0.575</v>
      </c>
      <c r="AL28" s="17">
        <v>0.075</v>
      </c>
      <c r="AM28" s="17">
        <v>0.3167</v>
      </c>
      <c r="AN28" s="17">
        <v>0.0333</v>
      </c>
      <c r="AO28" s="17">
        <v>0.0</v>
      </c>
    </row>
    <row r="29" ht="14.25" customHeight="1">
      <c r="A29" s="13">
        <v>45133.0</v>
      </c>
      <c r="B29" s="11" t="s">
        <v>45</v>
      </c>
      <c r="C29" s="11">
        <v>13.02</v>
      </c>
      <c r="D29" s="11">
        <v>11.8</v>
      </c>
      <c r="E29" s="11">
        <v>10.5</v>
      </c>
      <c r="F29" s="11">
        <v>28.0</v>
      </c>
      <c r="G29" s="1"/>
      <c r="H29" s="11">
        <v>35.0</v>
      </c>
      <c r="I29" s="11">
        <v>13.0</v>
      </c>
      <c r="J29" s="1"/>
      <c r="K29" s="11">
        <v>16.0</v>
      </c>
      <c r="L29" s="1"/>
      <c r="M29" s="1"/>
      <c r="N29" s="1"/>
      <c r="O29" s="11">
        <v>25.0</v>
      </c>
      <c r="P29" s="1"/>
      <c r="Q29" s="11">
        <v>3.0</v>
      </c>
      <c r="R29" s="11">
        <v>20.0</v>
      </c>
      <c r="S29" s="11">
        <v>3.0</v>
      </c>
      <c r="T29" s="11"/>
      <c r="U29" s="11">
        <v>4.0</v>
      </c>
      <c r="V29" s="1"/>
      <c r="W29" s="1"/>
      <c r="X29" s="1"/>
      <c r="Y29" s="1"/>
      <c r="Z29" s="1"/>
      <c r="AA29" s="1"/>
      <c r="AB29" s="11">
        <v>1.0</v>
      </c>
      <c r="AC29" s="11"/>
      <c r="AD29" s="1"/>
      <c r="AE29" s="1"/>
      <c r="AF29" s="1"/>
      <c r="AG29" s="1"/>
      <c r="AH29" s="1"/>
      <c r="AI29" s="1"/>
      <c r="AJ29" s="1">
        <f>SUM(G29:AH29)</f>
        <v>120</v>
      </c>
      <c r="AK29" s="14">
        <f>SUM(G29:J29)/120</f>
        <v>0.4</v>
      </c>
      <c r="AL29" s="14">
        <f>SUM(K29:N29)/120</f>
        <v>0.1333333333</v>
      </c>
      <c r="AM29" s="14">
        <f> SUM(O29:T29)/120</f>
        <v>0.425</v>
      </c>
      <c r="AN29" s="14">
        <f>SUM(U29:AA29)/120</f>
        <v>0.03333333333</v>
      </c>
      <c r="AO29" s="14">
        <f>SUM(AB29:AI29)/120</f>
        <v>0.008333333333</v>
      </c>
    </row>
    <row r="30" ht="14.25" customHeight="1">
      <c r="A30" s="15">
        <v>45133.0</v>
      </c>
      <c r="B30" s="16" t="s">
        <v>45</v>
      </c>
      <c r="C30" s="16">
        <v>13.02</v>
      </c>
      <c r="D30" s="16">
        <v>11.8</v>
      </c>
      <c r="E30" s="16">
        <v>10.5</v>
      </c>
      <c r="F30" s="16">
        <v>28.0</v>
      </c>
      <c r="G30" s="16">
        <v>0.0</v>
      </c>
      <c r="H30" s="16">
        <v>35.0</v>
      </c>
      <c r="I30" s="16">
        <v>13.0</v>
      </c>
      <c r="J30" s="16"/>
      <c r="K30" s="16">
        <v>16.0</v>
      </c>
      <c r="L30" s="16">
        <v>0.0</v>
      </c>
      <c r="M30" s="16">
        <v>0.0</v>
      </c>
      <c r="N30" s="16">
        <v>0.0</v>
      </c>
      <c r="O30" s="16">
        <v>25.0</v>
      </c>
      <c r="P30" s="16">
        <v>0.0</v>
      </c>
      <c r="Q30" s="16">
        <v>3.0</v>
      </c>
      <c r="R30" s="16">
        <v>20.0</v>
      </c>
      <c r="S30" s="16">
        <v>3.0</v>
      </c>
      <c r="T30" s="16">
        <v>0.0</v>
      </c>
      <c r="U30" s="16">
        <v>4.0</v>
      </c>
      <c r="V30" s="16">
        <v>0.0</v>
      </c>
      <c r="W30" s="16">
        <v>0.0</v>
      </c>
      <c r="X30" s="16">
        <v>0.0</v>
      </c>
      <c r="Y30" s="16">
        <v>0.0</v>
      </c>
      <c r="Z30" s="16">
        <v>0.0</v>
      </c>
      <c r="AA30" s="16">
        <v>0.0</v>
      </c>
      <c r="AB30" s="16">
        <v>1.0</v>
      </c>
      <c r="AC30" s="16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6">
        <v>0.0</v>
      </c>
      <c r="AJ30" s="16">
        <v>120.0</v>
      </c>
      <c r="AK30" s="17">
        <v>0.4</v>
      </c>
      <c r="AL30" s="17">
        <v>0.1333</v>
      </c>
      <c r="AM30" s="17">
        <v>0.425</v>
      </c>
      <c r="AN30" s="17">
        <v>0.0333</v>
      </c>
      <c r="AO30" s="17">
        <v>0.0083</v>
      </c>
    </row>
    <row r="31" ht="14.25" customHeight="1">
      <c r="A31" s="13">
        <v>45134.0</v>
      </c>
      <c r="B31" s="11" t="s">
        <v>42</v>
      </c>
      <c r="C31" s="11">
        <v>7.68</v>
      </c>
      <c r="D31" s="11">
        <v>13.5</v>
      </c>
      <c r="E31" s="11">
        <v>12.1</v>
      </c>
      <c r="F31" s="11">
        <v>28.0</v>
      </c>
      <c r="G31" s="1"/>
      <c r="H31" s="11">
        <v>51.0</v>
      </c>
      <c r="I31" s="1"/>
      <c r="J31" s="11">
        <v>4.0</v>
      </c>
      <c r="K31" s="11">
        <v>9.0</v>
      </c>
      <c r="L31" s="1"/>
      <c r="M31" s="11">
        <v>15.0</v>
      </c>
      <c r="N31" s="11">
        <v>5.0</v>
      </c>
      <c r="O31" s="11">
        <v>8.0</v>
      </c>
      <c r="P31" s="11">
        <v>1.0</v>
      </c>
      <c r="Q31" s="11">
        <v>2.0</v>
      </c>
      <c r="R31" s="11">
        <v>12.0</v>
      </c>
      <c r="S31" s="11">
        <v>1.0</v>
      </c>
      <c r="T31" s="11"/>
      <c r="U31" s="11">
        <v>3.0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1">
        <v>9.0</v>
      </c>
      <c r="AI31" s="1"/>
      <c r="AJ31" s="1">
        <f>SUM(G31:AH31)</f>
        <v>120</v>
      </c>
      <c r="AK31" s="14">
        <f>SUM(G31:J31)/120</f>
        <v>0.4583333333</v>
      </c>
      <c r="AL31" s="14">
        <f>SUM(K31:N31)/120</f>
        <v>0.2416666667</v>
      </c>
      <c r="AM31" s="14">
        <f> SUM(O31:T31)/120</f>
        <v>0.2</v>
      </c>
      <c r="AN31" s="14">
        <f>SUM(U31:AA31)/120</f>
        <v>0.025</v>
      </c>
      <c r="AO31" s="14">
        <f>SUM(AB31:AI31)/120</f>
        <v>0.075</v>
      </c>
    </row>
    <row r="32" ht="14.25" customHeight="1">
      <c r="A32" s="15">
        <v>45134.0</v>
      </c>
      <c r="B32" s="16" t="s">
        <v>42</v>
      </c>
      <c r="C32" s="16">
        <v>7.68</v>
      </c>
      <c r="D32" s="16">
        <v>13.5</v>
      </c>
      <c r="E32" s="16">
        <v>12.1</v>
      </c>
      <c r="F32" s="16">
        <v>28.0</v>
      </c>
      <c r="G32" s="16">
        <v>0.0</v>
      </c>
      <c r="H32" s="16">
        <v>51.0</v>
      </c>
      <c r="I32" s="16"/>
      <c r="J32" s="16">
        <v>4.0</v>
      </c>
      <c r="K32" s="16">
        <v>9.0</v>
      </c>
      <c r="L32" s="16">
        <v>0.0</v>
      </c>
      <c r="M32" s="16">
        <v>15.0</v>
      </c>
      <c r="N32" s="16">
        <v>5.0</v>
      </c>
      <c r="O32" s="16">
        <v>8.0</v>
      </c>
      <c r="P32" s="16">
        <v>1.0</v>
      </c>
      <c r="Q32" s="16">
        <v>2.0</v>
      </c>
      <c r="R32" s="16">
        <v>12.0</v>
      </c>
      <c r="S32" s="16">
        <v>1.0</v>
      </c>
      <c r="T32" s="16">
        <v>0.0</v>
      </c>
      <c r="U32" s="16">
        <v>3.0</v>
      </c>
      <c r="V32" s="16">
        <v>0.0</v>
      </c>
      <c r="W32" s="16">
        <v>0.0</v>
      </c>
      <c r="X32" s="16">
        <v>0.0</v>
      </c>
      <c r="Y32" s="16">
        <v>0.0</v>
      </c>
      <c r="Z32" s="16">
        <v>0.0</v>
      </c>
      <c r="AA32" s="16">
        <v>0.0</v>
      </c>
      <c r="AB32" s="16">
        <v>0.0</v>
      </c>
      <c r="AC32" s="16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6">
        <v>0.0</v>
      </c>
      <c r="AJ32" s="16">
        <v>111.0</v>
      </c>
      <c r="AK32" s="17">
        <v>0.4583</v>
      </c>
      <c r="AL32" s="17">
        <v>0.2</v>
      </c>
      <c r="AM32" s="17">
        <v>0.2</v>
      </c>
      <c r="AN32" s="17">
        <v>0.025</v>
      </c>
      <c r="AO32" s="17">
        <v>0.0</v>
      </c>
    </row>
    <row r="33" ht="14.25" customHeight="1">
      <c r="A33" s="13">
        <v>45134.0</v>
      </c>
      <c r="B33" s="11" t="s">
        <v>43</v>
      </c>
      <c r="C33" s="11">
        <v>8.96</v>
      </c>
      <c r="D33" s="11">
        <v>10.2</v>
      </c>
      <c r="E33" s="11">
        <v>10.2</v>
      </c>
      <c r="F33" s="11">
        <v>28.0</v>
      </c>
      <c r="G33" s="1"/>
      <c r="H33" s="11">
        <v>18.0</v>
      </c>
      <c r="I33" s="11">
        <v>6.0</v>
      </c>
      <c r="J33" s="11">
        <v>24.0</v>
      </c>
      <c r="K33" s="11">
        <v>21.0</v>
      </c>
      <c r="L33" s="1"/>
      <c r="M33" s="11">
        <v>10.0</v>
      </c>
      <c r="N33" s="11">
        <v>8.0</v>
      </c>
      <c r="O33" s="11">
        <v>6.0</v>
      </c>
      <c r="P33" s="1"/>
      <c r="Q33" s="11">
        <v>2.0</v>
      </c>
      <c r="R33" s="11">
        <v>9.0</v>
      </c>
      <c r="S33" s="1"/>
      <c r="T33" s="11"/>
      <c r="U33" s="11">
        <v>19.0</v>
      </c>
      <c r="V33" s="11">
        <v>2.0</v>
      </c>
      <c r="W33" s="1"/>
      <c r="X33" s="11">
        <v>1.0</v>
      </c>
      <c r="Y33" s="1"/>
      <c r="Z33" s="1"/>
      <c r="AA33" s="1"/>
      <c r="AB33" s="11">
        <v>1.0</v>
      </c>
      <c r="AC33" s="11"/>
      <c r="AD33" s="1"/>
      <c r="AE33" s="1"/>
      <c r="AF33" s="1"/>
      <c r="AG33" s="1"/>
      <c r="AH33" s="11">
        <v>1.0</v>
      </c>
      <c r="AI33" s="1"/>
      <c r="AJ33" s="1">
        <f>SUM(G33:AH33)</f>
        <v>128</v>
      </c>
      <c r="AK33" s="14">
        <f>SUM(G33:J33)/120</f>
        <v>0.4</v>
      </c>
      <c r="AL33" s="14">
        <f>SUM(K33:N33)/120</f>
        <v>0.325</v>
      </c>
      <c r="AM33" s="14">
        <f> SUM(O33:T33)/120</f>
        <v>0.1416666667</v>
      </c>
      <c r="AN33" s="14">
        <f>SUM(U33:AA33)/120</f>
        <v>0.1833333333</v>
      </c>
      <c r="AO33" s="14">
        <f>SUM(AB33:AI33)/120</f>
        <v>0.01666666667</v>
      </c>
    </row>
    <row r="34" ht="14.25" customHeight="1">
      <c r="A34" s="15">
        <v>45134.0</v>
      </c>
      <c r="B34" s="16" t="s">
        <v>43</v>
      </c>
      <c r="C34" s="16">
        <v>8.96</v>
      </c>
      <c r="D34" s="16">
        <v>10.2</v>
      </c>
      <c r="E34" s="16">
        <v>10.2</v>
      </c>
      <c r="F34" s="16">
        <v>28.0</v>
      </c>
      <c r="G34" s="16">
        <v>0.0</v>
      </c>
      <c r="H34" s="16">
        <v>18.0</v>
      </c>
      <c r="I34" s="16">
        <v>6.0</v>
      </c>
      <c r="J34" s="16">
        <v>24.0</v>
      </c>
      <c r="K34" s="16">
        <v>21.0</v>
      </c>
      <c r="L34" s="16">
        <v>0.0</v>
      </c>
      <c r="M34" s="16">
        <v>10.0</v>
      </c>
      <c r="N34" s="16">
        <v>8.0</v>
      </c>
      <c r="O34" s="16">
        <v>6.0</v>
      </c>
      <c r="P34" s="16">
        <v>0.0</v>
      </c>
      <c r="Q34" s="16">
        <v>2.0</v>
      </c>
      <c r="R34" s="16">
        <v>9.0</v>
      </c>
      <c r="S34" s="16">
        <v>0.0</v>
      </c>
      <c r="T34" s="16">
        <v>0.0</v>
      </c>
      <c r="U34" s="16">
        <v>19.0</v>
      </c>
      <c r="V34" s="16">
        <v>2.0</v>
      </c>
      <c r="W34" s="16">
        <v>0.0</v>
      </c>
      <c r="X34" s="16">
        <v>1.0</v>
      </c>
      <c r="Y34" s="16">
        <v>0.0</v>
      </c>
      <c r="Z34" s="16">
        <v>0.0</v>
      </c>
      <c r="AA34" s="16">
        <v>0.0</v>
      </c>
      <c r="AB34" s="16">
        <v>1.0</v>
      </c>
      <c r="AC34" s="16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6">
        <v>0.0</v>
      </c>
      <c r="AJ34" s="16">
        <v>127.0</v>
      </c>
      <c r="AK34" s="17">
        <v>0.4</v>
      </c>
      <c r="AL34" s="17">
        <v>0.2583</v>
      </c>
      <c r="AM34" s="17">
        <v>0.1417</v>
      </c>
      <c r="AN34" s="17">
        <v>0.1833</v>
      </c>
      <c r="AO34" s="17">
        <v>0.0083</v>
      </c>
    </row>
    <row r="35" ht="14.25" customHeight="1">
      <c r="A35" s="13">
        <v>45135.0</v>
      </c>
      <c r="B35" s="11" t="s">
        <v>42</v>
      </c>
      <c r="C35" s="11">
        <v>8.41</v>
      </c>
      <c r="D35" s="11">
        <v>13.5</v>
      </c>
      <c r="E35" s="11">
        <v>15.1</v>
      </c>
      <c r="F35" s="11">
        <v>30.0</v>
      </c>
      <c r="G35" s="11">
        <v>54.0</v>
      </c>
      <c r="H35" s="11"/>
      <c r="I35" s="11"/>
      <c r="J35" s="11">
        <v>4.0</v>
      </c>
      <c r="K35" s="11">
        <v>16.0</v>
      </c>
      <c r="L35" s="11"/>
      <c r="M35" s="11">
        <v>2.0</v>
      </c>
      <c r="N35" s="11">
        <v>3.0</v>
      </c>
      <c r="O35" s="11">
        <v>3.0</v>
      </c>
      <c r="P35" s="11"/>
      <c r="Q35" s="11"/>
      <c r="R35" s="11">
        <v>4.0</v>
      </c>
      <c r="S35" s="11"/>
      <c r="T35" s="11"/>
      <c r="U35" s="11"/>
      <c r="V35" s="11"/>
      <c r="W35" s="11">
        <v>1.0</v>
      </c>
      <c r="X35" s="11"/>
      <c r="Y35" s="11"/>
      <c r="Z35" s="11"/>
      <c r="AA35" s="11"/>
      <c r="AB35" s="11"/>
      <c r="AC35" s="11"/>
      <c r="AD35" s="11"/>
      <c r="AE35" s="11"/>
      <c r="AF35" s="11">
        <v>1.0</v>
      </c>
      <c r="AG35" s="11"/>
      <c r="AH35" s="11">
        <v>35.0</v>
      </c>
      <c r="AI35" s="11"/>
      <c r="AJ35" s="11">
        <f>SUM(G35:AH35)</f>
        <v>123</v>
      </c>
      <c r="AK35" s="14">
        <f>SUM(G35:J35)/120</f>
        <v>0.4833333333</v>
      </c>
      <c r="AL35" s="14">
        <f>SUM(K35:N35)/120</f>
        <v>0.175</v>
      </c>
      <c r="AM35" s="14">
        <f> SUM(O35:T35)/120</f>
        <v>0.05833333333</v>
      </c>
      <c r="AN35" s="14">
        <f>SUM(U35:AA35)/120</f>
        <v>0.008333333333</v>
      </c>
      <c r="AO35" s="14">
        <f>SUM(AB35:AI35)/120</f>
        <v>0.3</v>
      </c>
    </row>
    <row r="36" ht="14.25" customHeight="1">
      <c r="A36" s="15">
        <v>45135.0</v>
      </c>
      <c r="B36" s="16" t="s">
        <v>42</v>
      </c>
      <c r="C36" s="16">
        <v>8.41</v>
      </c>
      <c r="D36" s="16">
        <v>13.5</v>
      </c>
      <c r="E36" s="16">
        <v>15.1</v>
      </c>
      <c r="F36" s="16">
        <v>30.0</v>
      </c>
      <c r="G36" s="16">
        <v>54.0</v>
      </c>
      <c r="H36" s="16"/>
      <c r="I36" s="16"/>
      <c r="J36" s="16">
        <v>4.0</v>
      </c>
      <c r="K36" s="16">
        <v>16.0</v>
      </c>
      <c r="L36" s="16">
        <v>0.0</v>
      </c>
      <c r="M36" s="16">
        <v>2.0</v>
      </c>
      <c r="N36" s="16">
        <v>3.0</v>
      </c>
      <c r="O36" s="16">
        <v>3.0</v>
      </c>
      <c r="P36" s="16">
        <v>0.0</v>
      </c>
      <c r="Q36" s="16">
        <v>0.0</v>
      </c>
      <c r="R36" s="16">
        <v>4.0</v>
      </c>
      <c r="S36" s="16">
        <v>0.0</v>
      </c>
      <c r="T36" s="16">
        <v>0.0</v>
      </c>
      <c r="U36" s="16">
        <v>0.0</v>
      </c>
      <c r="V36" s="16">
        <v>0.0</v>
      </c>
      <c r="W36" s="16">
        <v>1.0</v>
      </c>
      <c r="X36" s="16">
        <v>0.0</v>
      </c>
      <c r="Y36" s="16">
        <v>0.0</v>
      </c>
      <c r="Z36" s="16">
        <v>0.0</v>
      </c>
      <c r="AA36" s="16">
        <v>0.0</v>
      </c>
      <c r="AB36" s="16">
        <v>0.0</v>
      </c>
      <c r="AC36" s="16">
        <v>0.0</v>
      </c>
      <c r="AD36" s="16">
        <v>0.0</v>
      </c>
      <c r="AE36" s="16">
        <v>0.0</v>
      </c>
      <c r="AF36" s="16">
        <v>0.0</v>
      </c>
      <c r="AG36" s="16">
        <v>1.0</v>
      </c>
      <c r="AH36" s="16">
        <v>0.0</v>
      </c>
      <c r="AI36" s="16">
        <v>0.0</v>
      </c>
      <c r="AJ36" s="16">
        <v>88.0</v>
      </c>
      <c r="AK36" s="17">
        <v>0.4833</v>
      </c>
      <c r="AL36" s="17">
        <v>0.15</v>
      </c>
      <c r="AM36" s="17">
        <v>0.0583</v>
      </c>
      <c r="AN36" s="17">
        <v>0.0083</v>
      </c>
      <c r="AO36" s="17">
        <v>0.0083</v>
      </c>
    </row>
    <row r="37" ht="14.25" customHeight="1">
      <c r="A37" s="13">
        <v>45135.0</v>
      </c>
      <c r="B37" s="11" t="s">
        <v>44</v>
      </c>
      <c r="C37" s="11">
        <v>13.49</v>
      </c>
      <c r="D37" s="11">
        <v>15.1</v>
      </c>
      <c r="E37" s="11">
        <v>14.6</v>
      </c>
      <c r="F37" s="11">
        <v>30.0</v>
      </c>
      <c r="G37" s="11"/>
      <c r="H37" s="11">
        <v>67.0</v>
      </c>
      <c r="I37" s="11">
        <v>3.0</v>
      </c>
      <c r="J37" s="11"/>
      <c r="K37" s="11">
        <v>7.0</v>
      </c>
      <c r="L37" s="11"/>
      <c r="M37" s="11">
        <v>5.0</v>
      </c>
      <c r="N37" s="11">
        <v>7.0</v>
      </c>
      <c r="O37" s="11">
        <v>11.0</v>
      </c>
      <c r="P37" s="11"/>
      <c r="Q37" s="11">
        <v>4.0</v>
      </c>
      <c r="R37" s="11">
        <v>9.0</v>
      </c>
      <c r="S37" s="11">
        <v>2.0</v>
      </c>
      <c r="T37" s="11"/>
      <c r="U37" s="11">
        <v>2.0</v>
      </c>
      <c r="V37" s="11">
        <v>3.0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>
        <f>SUM(G37:AH37)</f>
        <v>120</v>
      </c>
      <c r="AK37" s="14">
        <f>SUM(G37:J37)/120</f>
        <v>0.5833333333</v>
      </c>
      <c r="AL37" s="14">
        <f>SUM(K37:N37)/120</f>
        <v>0.1583333333</v>
      </c>
      <c r="AM37" s="14">
        <f> SUM(O37:T37)/120</f>
        <v>0.2166666667</v>
      </c>
      <c r="AN37" s="14">
        <f>SUM(U37:AA37)/120</f>
        <v>0.04166666667</v>
      </c>
      <c r="AO37" s="14">
        <f>SUM(AB37:AI37)/120</f>
        <v>0</v>
      </c>
    </row>
    <row r="38" ht="14.25" customHeight="1">
      <c r="A38" s="15">
        <v>45135.0</v>
      </c>
      <c r="B38" s="16" t="s">
        <v>44</v>
      </c>
      <c r="C38" s="16">
        <v>13.49</v>
      </c>
      <c r="D38" s="16">
        <v>15.1</v>
      </c>
      <c r="E38" s="16">
        <v>14.6</v>
      </c>
      <c r="F38" s="16">
        <v>30.0</v>
      </c>
      <c r="G38" s="16">
        <v>0.0</v>
      </c>
      <c r="H38" s="16">
        <v>67.0</v>
      </c>
      <c r="I38" s="16">
        <v>3.0</v>
      </c>
      <c r="J38" s="16"/>
      <c r="K38" s="16">
        <v>7.0</v>
      </c>
      <c r="L38" s="16">
        <v>0.0</v>
      </c>
      <c r="M38" s="16">
        <v>5.0</v>
      </c>
      <c r="N38" s="16">
        <v>7.0</v>
      </c>
      <c r="O38" s="16">
        <v>11.0</v>
      </c>
      <c r="P38" s="16">
        <v>0.0</v>
      </c>
      <c r="Q38" s="16">
        <v>4.0</v>
      </c>
      <c r="R38" s="16">
        <v>9.0</v>
      </c>
      <c r="S38" s="16">
        <v>2.0</v>
      </c>
      <c r="T38" s="16">
        <v>0.0</v>
      </c>
      <c r="U38" s="16">
        <v>2.0</v>
      </c>
      <c r="V38" s="16">
        <v>3.0</v>
      </c>
      <c r="W38" s="16">
        <v>0.0</v>
      </c>
      <c r="X38" s="16">
        <v>0.0</v>
      </c>
      <c r="Y38" s="16">
        <v>0.0</v>
      </c>
      <c r="Z38" s="16">
        <v>0.0</v>
      </c>
      <c r="AA38" s="16">
        <v>0.0</v>
      </c>
      <c r="AB38" s="16">
        <v>0.0</v>
      </c>
      <c r="AC38" s="16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6">
        <v>0.0</v>
      </c>
      <c r="AJ38" s="16">
        <v>120.0</v>
      </c>
      <c r="AK38" s="17">
        <v>0.5833</v>
      </c>
      <c r="AL38" s="17">
        <v>0.1</v>
      </c>
      <c r="AM38" s="17">
        <v>0.2167</v>
      </c>
      <c r="AN38" s="17">
        <v>0.0417</v>
      </c>
      <c r="AO38" s="17">
        <v>0.0</v>
      </c>
    </row>
    <row r="39" ht="14.25" customHeight="1">
      <c r="A39" s="13">
        <v>45138.0</v>
      </c>
      <c r="B39" s="11" t="s">
        <v>43</v>
      </c>
      <c r="C39" s="11">
        <v>10.28</v>
      </c>
      <c r="D39" s="11">
        <v>9.1</v>
      </c>
      <c r="E39" s="11">
        <v>9.1</v>
      </c>
      <c r="F39" s="11">
        <v>29.0</v>
      </c>
      <c r="G39" s="11">
        <v>37.0</v>
      </c>
      <c r="H39" s="11"/>
      <c r="I39" s="11">
        <v>9.0</v>
      </c>
      <c r="J39" s="11">
        <v>15.0</v>
      </c>
      <c r="K39" s="11">
        <v>9.0</v>
      </c>
      <c r="L39" s="11"/>
      <c r="M39" s="11">
        <v>11.0</v>
      </c>
      <c r="N39" s="11">
        <v>8.0</v>
      </c>
      <c r="O39" s="11">
        <v>9.0</v>
      </c>
      <c r="P39" s="11"/>
      <c r="Q39" s="11">
        <v>1.0</v>
      </c>
      <c r="R39" s="11">
        <v>8.0</v>
      </c>
      <c r="S39" s="11">
        <v>1.0</v>
      </c>
      <c r="T39" s="11"/>
      <c r="U39" s="11">
        <v>12.0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>
        <f>SUM(G39:AH39)</f>
        <v>120</v>
      </c>
      <c r="AK39" s="14">
        <f>SUM(G39:J39)/120</f>
        <v>0.5083333333</v>
      </c>
      <c r="AL39" s="14">
        <f>SUM(K39:N39)/120</f>
        <v>0.2333333333</v>
      </c>
      <c r="AM39" s="14">
        <f> SUM(O39:T39)/120</f>
        <v>0.1583333333</v>
      </c>
      <c r="AN39" s="14">
        <f>SUM(U39:AA39)/120</f>
        <v>0.1</v>
      </c>
      <c r="AO39" s="14">
        <f>SUM(AB39:AI39)/120</f>
        <v>0</v>
      </c>
    </row>
    <row r="40" ht="14.25" customHeight="1">
      <c r="A40" s="15">
        <v>45138.0</v>
      </c>
      <c r="B40" s="16" t="s">
        <v>43</v>
      </c>
      <c r="C40" s="16">
        <v>10.28</v>
      </c>
      <c r="D40" s="16">
        <v>9.1</v>
      </c>
      <c r="E40" s="16">
        <v>9.1</v>
      </c>
      <c r="F40" s="16">
        <v>29.0</v>
      </c>
      <c r="G40" s="16">
        <v>37.0</v>
      </c>
      <c r="H40" s="16"/>
      <c r="I40" s="16">
        <v>9.0</v>
      </c>
      <c r="J40" s="16">
        <v>15.0</v>
      </c>
      <c r="K40" s="16">
        <v>9.0</v>
      </c>
      <c r="L40" s="16">
        <v>0.0</v>
      </c>
      <c r="M40" s="16">
        <v>11.0</v>
      </c>
      <c r="N40" s="16">
        <v>8.0</v>
      </c>
      <c r="O40" s="16">
        <v>9.0</v>
      </c>
      <c r="P40" s="16">
        <v>0.0</v>
      </c>
      <c r="Q40" s="16">
        <v>1.0</v>
      </c>
      <c r="R40" s="16">
        <v>8.0</v>
      </c>
      <c r="S40" s="16">
        <v>1.0</v>
      </c>
      <c r="T40" s="16">
        <v>0.0</v>
      </c>
      <c r="U40" s="16">
        <v>12.0</v>
      </c>
      <c r="V40" s="16">
        <v>0.0</v>
      </c>
      <c r="W40" s="16">
        <v>0.0</v>
      </c>
      <c r="X40" s="16">
        <v>0.0</v>
      </c>
      <c r="Y40" s="16">
        <v>0.0</v>
      </c>
      <c r="Z40" s="16">
        <v>0.0</v>
      </c>
      <c r="AA40" s="16">
        <v>0.0</v>
      </c>
      <c r="AB40" s="16">
        <v>0.0</v>
      </c>
      <c r="AC40" s="16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6">
        <v>0.0</v>
      </c>
      <c r="AJ40" s="16">
        <v>120.0</v>
      </c>
      <c r="AK40" s="17">
        <v>0.5083</v>
      </c>
      <c r="AL40" s="17">
        <v>0.1667</v>
      </c>
      <c r="AM40" s="17">
        <v>0.1583</v>
      </c>
      <c r="AN40" s="17">
        <v>0.1</v>
      </c>
      <c r="AO40" s="17">
        <v>0.0</v>
      </c>
    </row>
    <row r="41" ht="14.25" customHeight="1">
      <c r="A41" s="13">
        <v>45138.0</v>
      </c>
      <c r="B41" s="11" t="s">
        <v>44</v>
      </c>
      <c r="C41" s="11">
        <v>11.12</v>
      </c>
      <c r="D41" s="11">
        <v>10.9</v>
      </c>
      <c r="E41" s="11">
        <v>10.1</v>
      </c>
      <c r="F41" s="11">
        <v>29.0</v>
      </c>
      <c r="G41" s="1"/>
      <c r="H41" s="11">
        <v>53.0</v>
      </c>
      <c r="I41" s="11">
        <v>18.0</v>
      </c>
      <c r="J41" s="11">
        <v>7.0</v>
      </c>
      <c r="K41" s="11">
        <v>10.0</v>
      </c>
      <c r="L41" s="1"/>
      <c r="M41" s="11">
        <v>8.0</v>
      </c>
      <c r="N41" s="1"/>
      <c r="O41" s="11">
        <v>7.0</v>
      </c>
      <c r="P41" s="11">
        <v>2.0</v>
      </c>
      <c r="Q41" s="11">
        <v>1.0</v>
      </c>
      <c r="R41" s="11">
        <v>4.0</v>
      </c>
      <c r="S41" s="11">
        <v>2.0</v>
      </c>
      <c r="T41" s="11"/>
      <c r="U41" s="11">
        <v>8.0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1"/>
      <c r="AJ41" s="11">
        <f>SUM(G41:AH41)</f>
        <v>120</v>
      </c>
      <c r="AK41" s="14">
        <f>SUM(G41:J41)/120</f>
        <v>0.65</v>
      </c>
      <c r="AL41" s="14">
        <f>SUM(K41:N41)/120</f>
        <v>0.15</v>
      </c>
      <c r="AM41" s="14">
        <f> SUM(O41:T41)/120</f>
        <v>0.1333333333</v>
      </c>
      <c r="AN41" s="14">
        <f>SUM(U41:AA41)/120</f>
        <v>0.06666666667</v>
      </c>
      <c r="AO41" s="14">
        <f>SUM(AB41:AI41)/120</f>
        <v>0</v>
      </c>
    </row>
    <row r="42" ht="14.25" customHeight="1">
      <c r="A42" s="15">
        <v>45138.0</v>
      </c>
      <c r="B42" s="16" t="s">
        <v>44</v>
      </c>
      <c r="C42" s="16">
        <v>11.12</v>
      </c>
      <c r="D42" s="16">
        <v>10.9</v>
      </c>
      <c r="E42" s="16">
        <v>10.1</v>
      </c>
      <c r="F42" s="16">
        <v>29.0</v>
      </c>
      <c r="G42" s="16">
        <v>0.0</v>
      </c>
      <c r="H42" s="16">
        <v>53.0</v>
      </c>
      <c r="I42" s="16">
        <v>18.0</v>
      </c>
      <c r="J42" s="16">
        <v>7.0</v>
      </c>
      <c r="K42" s="16">
        <v>10.0</v>
      </c>
      <c r="L42" s="16">
        <v>0.0</v>
      </c>
      <c r="M42" s="16">
        <v>8.0</v>
      </c>
      <c r="N42" s="16">
        <v>0.0</v>
      </c>
      <c r="O42" s="16">
        <v>7.0</v>
      </c>
      <c r="P42" s="16">
        <v>2.0</v>
      </c>
      <c r="Q42" s="16">
        <v>1.0</v>
      </c>
      <c r="R42" s="16">
        <v>4.0</v>
      </c>
      <c r="S42" s="16">
        <v>2.0</v>
      </c>
      <c r="T42" s="16">
        <v>0.0</v>
      </c>
      <c r="U42" s="16">
        <v>8.0</v>
      </c>
      <c r="V42" s="16">
        <v>0.0</v>
      </c>
      <c r="W42" s="16">
        <v>0.0</v>
      </c>
      <c r="X42" s="16">
        <v>0.0</v>
      </c>
      <c r="Y42" s="16">
        <v>0.0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>
        <v>0.0</v>
      </c>
      <c r="AJ42" s="16">
        <v>120.0</v>
      </c>
      <c r="AK42" s="17">
        <v>0.65</v>
      </c>
      <c r="AL42" s="17">
        <v>0.15</v>
      </c>
      <c r="AM42" s="17">
        <v>0.1333</v>
      </c>
      <c r="AN42" s="17">
        <v>0.0667</v>
      </c>
      <c r="AO42" s="17">
        <v>0.0</v>
      </c>
    </row>
    <row r="43" ht="14.25" customHeight="1">
      <c r="A43" s="13">
        <v>45139.0</v>
      </c>
      <c r="B43" s="11" t="s">
        <v>42</v>
      </c>
      <c r="C43" s="11">
        <v>10.08</v>
      </c>
      <c r="D43" s="11">
        <v>7.2</v>
      </c>
      <c r="E43" s="11">
        <v>10.3</v>
      </c>
      <c r="F43" s="11">
        <v>30.0</v>
      </c>
      <c r="G43" s="11">
        <v>30.0</v>
      </c>
      <c r="H43" s="1"/>
      <c r="I43" s="11">
        <v>19.0</v>
      </c>
      <c r="J43" s="11">
        <v>14.0</v>
      </c>
      <c r="K43" s="11">
        <v>14.0</v>
      </c>
      <c r="L43" s="1"/>
      <c r="M43" s="11">
        <v>10.0</v>
      </c>
      <c r="N43" s="11">
        <v>8.0</v>
      </c>
      <c r="O43" s="11">
        <v>8.0</v>
      </c>
      <c r="P43" s="1"/>
      <c r="Q43" s="1"/>
      <c r="R43" s="11">
        <v>10.0</v>
      </c>
      <c r="S43" s="11">
        <v>3.0</v>
      </c>
      <c r="T43" s="11"/>
      <c r="U43" s="11">
        <v>3.0</v>
      </c>
      <c r="V43" s="11">
        <v>1.0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1"/>
      <c r="AJ43" s="11">
        <f>SUM(G43:AH43)</f>
        <v>120</v>
      </c>
      <c r="AK43" s="14">
        <f>SUM(G43:J43)/120</f>
        <v>0.525</v>
      </c>
      <c r="AL43" s="14">
        <f>SUM(K43:N43)/120</f>
        <v>0.2666666667</v>
      </c>
      <c r="AM43" s="14">
        <f> SUM(O43:T43)/120</f>
        <v>0.175</v>
      </c>
      <c r="AN43" s="14">
        <f>SUM(U43:AA43)/120</f>
        <v>0.03333333333</v>
      </c>
      <c r="AO43" s="14">
        <f>SUM(AB43:AI43)/120</f>
        <v>0</v>
      </c>
    </row>
    <row r="44" ht="14.25" customHeight="1">
      <c r="A44" s="15">
        <v>45139.0</v>
      </c>
      <c r="B44" s="16" t="s">
        <v>42</v>
      </c>
      <c r="C44" s="16">
        <v>10.08</v>
      </c>
      <c r="D44" s="16">
        <v>7.2</v>
      </c>
      <c r="E44" s="16">
        <v>10.3</v>
      </c>
      <c r="F44" s="16">
        <v>30.0</v>
      </c>
      <c r="G44" s="16">
        <v>30.0</v>
      </c>
      <c r="H44" s="16"/>
      <c r="I44" s="16">
        <v>19.0</v>
      </c>
      <c r="J44" s="16">
        <v>14.0</v>
      </c>
      <c r="K44" s="16">
        <v>14.0</v>
      </c>
      <c r="L44" s="16">
        <v>0.0</v>
      </c>
      <c r="M44" s="16">
        <v>10.0</v>
      </c>
      <c r="N44" s="16">
        <v>8.0</v>
      </c>
      <c r="O44" s="16">
        <v>8.0</v>
      </c>
      <c r="P44" s="16">
        <v>0.0</v>
      </c>
      <c r="Q44" s="16"/>
      <c r="R44" s="16">
        <v>10.0</v>
      </c>
      <c r="S44" s="16">
        <v>3.0</v>
      </c>
      <c r="T44" s="16">
        <v>0.0</v>
      </c>
      <c r="U44" s="16">
        <v>3.0</v>
      </c>
      <c r="V44" s="16">
        <v>1.0</v>
      </c>
      <c r="W44" s="16">
        <v>0.0</v>
      </c>
      <c r="X44" s="16">
        <v>0.0</v>
      </c>
      <c r="Y44" s="16">
        <v>0.0</v>
      </c>
      <c r="Z44" s="16">
        <v>0.0</v>
      </c>
      <c r="AA44" s="16">
        <v>0.0</v>
      </c>
      <c r="AB44" s="16">
        <v>0.0</v>
      </c>
      <c r="AC44" s="16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6">
        <v>0.0</v>
      </c>
      <c r="AJ44" s="16">
        <v>120.0</v>
      </c>
      <c r="AK44" s="17">
        <v>0.525</v>
      </c>
      <c r="AL44" s="17">
        <v>0.2</v>
      </c>
      <c r="AM44" s="17">
        <v>0.175</v>
      </c>
      <c r="AN44" s="17">
        <v>0.0333</v>
      </c>
      <c r="AO44" s="17">
        <v>0.0</v>
      </c>
    </row>
    <row r="45" ht="14.25" customHeight="1">
      <c r="A45" s="13">
        <v>45140.0</v>
      </c>
      <c r="B45" s="11" t="s">
        <v>41</v>
      </c>
      <c r="C45" s="11">
        <v>12.76</v>
      </c>
      <c r="D45" s="11">
        <v>7.1</v>
      </c>
      <c r="E45" s="11" t="s">
        <v>46</v>
      </c>
      <c r="F45" s="11">
        <v>30.0</v>
      </c>
      <c r="G45" s="11"/>
      <c r="H45" s="11">
        <v>65.0</v>
      </c>
      <c r="I45" s="11">
        <v>7.0</v>
      </c>
      <c r="J45" s="11">
        <v>2.0</v>
      </c>
      <c r="K45" s="11">
        <v>6.0</v>
      </c>
      <c r="L45" s="1"/>
      <c r="M45" s="11">
        <v>1.0</v>
      </c>
      <c r="N45" s="11">
        <v>1.0</v>
      </c>
      <c r="O45" s="11">
        <v>18.0</v>
      </c>
      <c r="P45" s="11">
        <v>6.0</v>
      </c>
      <c r="Q45" s="11">
        <v>1.0</v>
      </c>
      <c r="R45" s="11">
        <v>5.0</v>
      </c>
      <c r="S45" s="11">
        <v>1.0</v>
      </c>
      <c r="T45" s="11"/>
      <c r="U45" s="11">
        <v>6.0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1">
        <v>1.0</v>
      </c>
      <c r="AI45" s="11"/>
      <c r="AJ45" s="11">
        <f>SUM(G45:AH45)</f>
        <v>120</v>
      </c>
      <c r="AK45" s="14">
        <f>SUM(G45:J45)/120</f>
        <v>0.6166666667</v>
      </c>
      <c r="AL45" s="14">
        <f>SUM(K45:N45)/120</f>
        <v>0.06666666667</v>
      </c>
      <c r="AM45" s="14">
        <f> SUM(O45:T45)/120</f>
        <v>0.2583333333</v>
      </c>
      <c r="AN45" s="14">
        <f>SUM(U45:AA45)/120</f>
        <v>0.05</v>
      </c>
      <c r="AO45" s="14">
        <f>SUM(AB45:AI45)/120</f>
        <v>0.008333333333</v>
      </c>
    </row>
    <row r="46" ht="14.25" customHeight="1">
      <c r="A46" s="15">
        <v>45140.0</v>
      </c>
      <c r="B46" s="18" t="s">
        <v>41</v>
      </c>
      <c r="C46" s="16">
        <v>12.76</v>
      </c>
      <c r="D46" s="16">
        <v>7.1</v>
      </c>
      <c r="E46" s="16" t="s">
        <v>46</v>
      </c>
      <c r="F46" s="16">
        <v>30.0</v>
      </c>
      <c r="G46" s="16">
        <v>0.0</v>
      </c>
      <c r="H46" s="16">
        <v>65.0</v>
      </c>
      <c r="I46" s="16">
        <v>7.0</v>
      </c>
      <c r="J46" s="16">
        <v>2.0</v>
      </c>
      <c r="K46" s="16">
        <v>6.0</v>
      </c>
      <c r="L46" s="16">
        <v>0.0</v>
      </c>
      <c r="M46" s="16">
        <v>1.0</v>
      </c>
      <c r="N46" s="16">
        <v>1.0</v>
      </c>
      <c r="O46" s="16">
        <v>18.0</v>
      </c>
      <c r="P46" s="16">
        <v>6.0</v>
      </c>
      <c r="Q46" s="16">
        <v>1.0</v>
      </c>
      <c r="R46" s="16">
        <v>5.0</v>
      </c>
      <c r="S46" s="16">
        <v>1.0</v>
      </c>
      <c r="T46" s="16">
        <v>0.0</v>
      </c>
      <c r="U46" s="16">
        <v>6.0</v>
      </c>
      <c r="V46" s="16">
        <v>0.0</v>
      </c>
      <c r="W46" s="16">
        <v>0.0</v>
      </c>
      <c r="X46" s="16">
        <v>0.0</v>
      </c>
      <c r="Y46" s="16">
        <v>0.0</v>
      </c>
      <c r="Z46" s="16">
        <v>0.0</v>
      </c>
      <c r="AA46" s="16">
        <v>0.0</v>
      </c>
      <c r="AB46" s="16">
        <v>0.0</v>
      </c>
      <c r="AC46" s="16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6">
        <v>0.0</v>
      </c>
      <c r="AJ46" s="16">
        <v>119.0</v>
      </c>
      <c r="AK46" s="17">
        <v>0.6167</v>
      </c>
      <c r="AL46" s="17">
        <v>0.0583</v>
      </c>
      <c r="AM46" s="17">
        <v>0.2583</v>
      </c>
      <c r="AN46" s="17">
        <v>0.05</v>
      </c>
      <c r="AO46" s="17">
        <v>0.0</v>
      </c>
    </row>
    <row r="47" ht="14.25" customHeight="1">
      <c r="A47" s="13">
        <v>45141.0</v>
      </c>
      <c r="B47" s="11" t="s">
        <v>41</v>
      </c>
      <c r="C47" s="11">
        <v>10.8</v>
      </c>
      <c r="D47" s="11">
        <v>11.5</v>
      </c>
      <c r="E47" s="11">
        <v>11.7</v>
      </c>
      <c r="F47" s="11">
        <v>30.9</v>
      </c>
      <c r="G47" s="1"/>
      <c r="H47" s="11">
        <v>50.0</v>
      </c>
      <c r="I47" s="11">
        <v>2.0</v>
      </c>
      <c r="J47" s="1"/>
      <c r="K47" s="11">
        <v>8.0</v>
      </c>
      <c r="L47" s="1"/>
      <c r="M47" s="11">
        <v>3.0</v>
      </c>
      <c r="N47" s="11">
        <v>5.0</v>
      </c>
      <c r="O47" s="11">
        <v>14.0</v>
      </c>
      <c r="P47" s="1"/>
      <c r="Q47" s="11">
        <v>3.0</v>
      </c>
      <c r="R47" s="11">
        <v>4.0</v>
      </c>
      <c r="S47" s="11">
        <v>2.0</v>
      </c>
      <c r="T47" s="11"/>
      <c r="U47" s="11">
        <v>12.0</v>
      </c>
      <c r="V47" s="11">
        <v>13.0</v>
      </c>
      <c r="W47" s="1"/>
      <c r="X47" s="11">
        <v>1.0</v>
      </c>
      <c r="Y47" s="11">
        <v>1.0</v>
      </c>
      <c r="Z47" s="1"/>
      <c r="AA47" s="1"/>
      <c r="AB47" s="11">
        <v>2.0</v>
      </c>
      <c r="AC47" s="11">
        <v>1.0</v>
      </c>
      <c r="AD47" s="1"/>
      <c r="AE47" s="1"/>
      <c r="AF47" s="1"/>
      <c r="AG47" s="1"/>
      <c r="AH47" s="1"/>
      <c r="AI47" s="1"/>
      <c r="AJ47" s="1">
        <f>SUM(G47:AH47)</f>
        <v>121</v>
      </c>
      <c r="AK47" s="14">
        <f>SUM(G47:J47)/120</f>
        <v>0.4333333333</v>
      </c>
      <c r="AL47" s="14">
        <f>SUM(K47:N47)/120</f>
        <v>0.1333333333</v>
      </c>
      <c r="AM47" s="14">
        <f> SUM(O47:T47)/120</f>
        <v>0.1916666667</v>
      </c>
      <c r="AN47" s="14">
        <f>SUM(U47:AA47)/120</f>
        <v>0.225</v>
      </c>
      <c r="AO47" s="14">
        <f>SUM(AB47:AI47)/120</f>
        <v>0.025</v>
      </c>
    </row>
    <row r="48" ht="14.25" customHeight="1">
      <c r="A48" s="15">
        <v>45141.0</v>
      </c>
      <c r="B48" s="18" t="s">
        <v>41</v>
      </c>
      <c r="C48" s="16">
        <v>10.8</v>
      </c>
      <c r="D48" s="16">
        <v>11.5</v>
      </c>
      <c r="E48" s="16">
        <v>11.7</v>
      </c>
      <c r="F48" s="16">
        <v>30.9</v>
      </c>
      <c r="G48" s="16">
        <v>0.0</v>
      </c>
      <c r="H48" s="16">
        <v>50.0</v>
      </c>
      <c r="I48" s="16">
        <v>2.0</v>
      </c>
      <c r="J48" s="16"/>
      <c r="K48" s="16">
        <v>8.0</v>
      </c>
      <c r="L48" s="16">
        <v>0.0</v>
      </c>
      <c r="M48" s="16">
        <v>3.0</v>
      </c>
      <c r="N48" s="16">
        <v>5.0</v>
      </c>
      <c r="O48" s="16">
        <v>14.0</v>
      </c>
      <c r="P48" s="16">
        <v>0.0</v>
      </c>
      <c r="Q48" s="16">
        <v>3.0</v>
      </c>
      <c r="R48" s="16">
        <v>4.0</v>
      </c>
      <c r="S48" s="16">
        <v>2.0</v>
      </c>
      <c r="T48" s="16">
        <v>0.0</v>
      </c>
      <c r="U48" s="16">
        <v>12.0</v>
      </c>
      <c r="V48" s="16">
        <v>13.0</v>
      </c>
      <c r="W48" s="16">
        <v>0.0</v>
      </c>
      <c r="X48" s="16">
        <v>1.0</v>
      </c>
      <c r="Y48" s="16">
        <v>1.0</v>
      </c>
      <c r="Z48" s="16">
        <v>0.0</v>
      </c>
      <c r="AA48" s="16">
        <v>0.0</v>
      </c>
      <c r="AB48" s="16">
        <v>2.0</v>
      </c>
      <c r="AC48" s="16">
        <v>1.0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6">
        <v>0.0</v>
      </c>
      <c r="AJ48" s="16">
        <v>121.0</v>
      </c>
      <c r="AK48" s="17">
        <v>0.4333</v>
      </c>
      <c r="AL48" s="17">
        <v>0.0917</v>
      </c>
      <c r="AM48" s="17">
        <v>0.1917</v>
      </c>
      <c r="AN48" s="17">
        <v>0.225</v>
      </c>
      <c r="AO48" s="17">
        <v>0.025</v>
      </c>
    </row>
    <row r="49" ht="14.25" customHeight="1">
      <c r="A49" s="13">
        <v>45141.0</v>
      </c>
      <c r="B49" s="11" t="s">
        <v>44</v>
      </c>
      <c r="C49" s="11">
        <v>17.8</v>
      </c>
      <c r="D49" s="11">
        <v>12.0</v>
      </c>
      <c r="E49" s="11">
        <v>12.2</v>
      </c>
      <c r="F49" s="11">
        <v>30.9</v>
      </c>
      <c r="G49" s="1"/>
      <c r="H49" s="11">
        <v>36.0</v>
      </c>
      <c r="I49" s="19">
        <v>3.0</v>
      </c>
      <c r="J49" s="11">
        <v>1.0</v>
      </c>
      <c r="K49" s="11">
        <v>10.0</v>
      </c>
      <c r="L49" s="1"/>
      <c r="M49" s="11">
        <v>13.0</v>
      </c>
      <c r="N49" s="11">
        <v>1.0</v>
      </c>
      <c r="O49" s="11">
        <v>11.0</v>
      </c>
      <c r="P49" s="11">
        <v>10.0</v>
      </c>
      <c r="Q49" s="11">
        <v>3.0</v>
      </c>
      <c r="R49" s="11">
        <v>9.0</v>
      </c>
      <c r="S49" s="1"/>
      <c r="T49" s="11"/>
      <c r="U49" s="11">
        <v>4.0</v>
      </c>
      <c r="V49" s="11">
        <v>17.0</v>
      </c>
      <c r="W49" s="11">
        <v>1.0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>
        <f>SUM(G49:AH49)</f>
        <v>119</v>
      </c>
      <c r="AK49" s="14">
        <f>SUM(G49:J49)/120</f>
        <v>0.3333333333</v>
      </c>
      <c r="AL49" s="14">
        <f>SUM(K49:N49)/120</f>
        <v>0.2</v>
      </c>
      <c r="AM49" s="14">
        <f> SUM(O49:T49)/120</f>
        <v>0.275</v>
      </c>
      <c r="AN49" s="14">
        <f>SUM(U49:AA49)/120</f>
        <v>0.1833333333</v>
      </c>
      <c r="AO49" s="14">
        <f>SUM(AB49:AI49)/120</f>
        <v>0</v>
      </c>
    </row>
    <row r="50" ht="14.25" customHeight="1">
      <c r="A50" s="15">
        <v>45141.0</v>
      </c>
      <c r="B50" s="16" t="s">
        <v>44</v>
      </c>
      <c r="C50" s="16">
        <v>17.8</v>
      </c>
      <c r="D50" s="16">
        <v>12.0</v>
      </c>
      <c r="E50" s="16">
        <v>12.2</v>
      </c>
      <c r="F50" s="16">
        <v>30.9</v>
      </c>
      <c r="G50" s="20">
        <v>0.0</v>
      </c>
      <c r="H50" s="16">
        <v>36.0</v>
      </c>
      <c r="I50" s="16">
        <v>3.0</v>
      </c>
      <c r="J50" s="16">
        <v>1.0</v>
      </c>
      <c r="K50" s="16">
        <v>10.0</v>
      </c>
      <c r="L50" s="16">
        <v>0.0</v>
      </c>
      <c r="M50" s="16">
        <v>13.0</v>
      </c>
      <c r="N50" s="16">
        <v>1.0</v>
      </c>
      <c r="O50" s="16">
        <v>11.0</v>
      </c>
      <c r="P50" s="16">
        <v>10.0</v>
      </c>
      <c r="Q50" s="16">
        <v>3.0</v>
      </c>
      <c r="R50" s="16">
        <v>9.0</v>
      </c>
      <c r="S50" s="16">
        <v>0.0</v>
      </c>
      <c r="T50" s="16">
        <v>0.0</v>
      </c>
      <c r="U50" s="16">
        <v>4.0</v>
      </c>
      <c r="V50" s="16">
        <v>17.0</v>
      </c>
      <c r="W50" s="16">
        <v>1.0</v>
      </c>
      <c r="X50" s="16">
        <v>0.0</v>
      </c>
      <c r="Y50" s="16">
        <v>0.0</v>
      </c>
      <c r="Z50" s="16">
        <v>0.0</v>
      </c>
      <c r="AA50" s="16">
        <v>0.0</v>
      </c>
      <c r="AB50" s="16">
        <v>0.0</v>
      </c>
      <c r="AC50" s="16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6">
        <v>0.0</v>
      </c>
      <c r="AJ50" s="16">
        <v>119.0</v>
      </c>
      <c r="AK50" s="17">
        <v>0.3333</v>
      </c>
      <c r="AL50" s="17">
        <v>0.1917</v>
      </c>
      <c r="AM50" s="17">
        <v>0.275</v>
      </c>
      <c r="AN50" s="17">
        <v>0.1833</v>
      </c>
      <c r="AO50" s="17">
        <v>0.0</v>
      </c>
    </row>
    <row r="51" ht="14.25" customHeight="1">
      <c r="A51" s="21">
        <v>45252.0</v>
      </c>
      <c r="B51" s="11" t="s">
        <v>42</v>
      </c>
      <c r="C51" s="11">
        <v>10.2</v>
      </c>
      <c r="D51" s="11">
        <v>10.4</v>
      </c>
      <c r="E51" s="11">
        <v>11.2</v>
      </c>
      <c r="F51" s="11">
        <v>29.0</v>
      </c>
      <c r="G51" s="1"/>
      <c r="H51" s="11">
        <v>37.0</v>
      </c>
      <c r="I51" s="11">
        <v>17.0</v>
      </c>
      <c r="J51" s="1"/>
      <c r="K51" s="11">
        <v>25.0</v>
      </c>
      <c r="L51" s="1"/>
      <c r="M51" s="1"/>
      <c r="N51" s="11">
        <v>7.0</v>
      </c>
      <c r="O51" s="11">
        <v>7.0</v>
      </c>
      <c r="P51" s="1"/>
      <c r="Q51" s="1"/>
      <c r="R51" s="11">
        <v>11.0</v>
      </c>
      <c r="S51" s="1"/>
      <c r="T51" s="11"/>
      <c r="U51" s="11">
        <v>4.0</v>
      </c>
      <c r="V51" s="11">
        <v>1.0</v>
      </c>
      <c r="W51" s="1"/>
      <c r="X51" s="1"/>
      <c r="Y51" s="1"/>
      <c r="Z51" s="1"/>
      <c r="AA51" s="1"/>
      <c r="AB51" s="1"/>
      <c r="AC51" s="11">
        <v>10.0</v>
      </c>
      <c r="AD51" s="1"/>
      <c r="AE51" s="1"/>
      <c r="AF51" s="1"/>
      <c r="AG51" s="11">
        <v>1.0</v>
      </c>
      <c r="AH51" s="1"/>
      <c r="AI51" s="1"/>
      <c r="AJ51" s="1">
        <f t="shared" ref="AJ51:AJ52" si="13">SUM(G51:AH51)</f>
        <v>120</v>
      </c>
      <c r="AK51" s="14">
        <f t="shared" ref="AK51:AK52" si="14">SUM(G51:J51)/120</f>
        <v>0.45</v>
      </c>
      <c r="AL51" s="14">
        <f t="shared" ref="AL51:AL52" si="15">SUM(K51:N51)/120</f>
        <v>0.2666666667</v>
      </c>
      <c r="AM51" s="14">
        <f t="shared" ref="AM51:AM52" si="16"> SUM(O51:T51)/120</f>
        <v>0.15</v>
      </c>
      <c r="AN51" s="14">
        <f t="shared" ref="AN51:AN52" si="17">SUM(U51:AA51)/120</f>
        <v>0.04166666667</v>
      </c>
      <c r="AO51" s="14">
        <f t="shared" ref="AO51:AO52" si="18">SUM(AB51:AI51)/120</f>
        <v>0.09166666667</v>
      </c>
    </row>
    <row r="52" ht="14.25" customHeight="1">
      <c r="A52" s="21">
        <v>45252.0</v>
      </c>
      <c r="B52" s="11" t="s">
        <v>42</v>
      </c>
      <c r="C52" s="11">
        <v>10.8</v>
      </c>
      <c r="D52" s="11">
        <v>8.2</v>
      </c>
      <c r="E52" s="11">
        <v>9.4</v>
      </c>
      <c r="F52" s="11">
        <v>29.0</v>
      </c>
      <c r="G52" s="1"/>
      <c r="H52" s="11">
        <v>19.0</v>
      </c>
      <c r="I52" s="11">
        <v>25.0</v>
      </c>
      <c r="J52" s="1"/>
      <c r="K52" s="11">
        <v>20.0</v>
      </c>
      <c r="L52" s="1"/>
      <c r="M52" s="1"/>
      <c r="N52" s="11">
        <v>4.0</v>
      </c>
      <c r="O52" s="11">
        <v>19.0</v>
      </c>
      <c r="P52" s="1"/>
      <c r="Q52" s="1"/>
      <c r="R52" s="11">
        <v>13.0</v>
      </c>
      <c r="S52" s="11">
        <v>3.0</v>
      </c>
      <c r="T52" s="11"/>
      <c r="U52" s="11">
        <v>5.0</v>
      </c>
      <c r="V52" s="11">
        <v>2.0</v>
      </c>
      <c r="W52" s="1"/>
      <c r="X52" s="1"/>
      <c r="Y52" s="1"/>
      <c r="Z52" s="1"/>
      <c r="AA52" s="1"/>
      <c r="AB52" s="11">
        <v>4.0</v>
      </c>
      <c r="AC52" s="11">
        <v>4.0</v>
      </c>
      <c r="AD52" s="1"/>
      <c r="AE52" s="1"/>
      <c r="AF52" s="1"/>
      <c r="AG52" s="11">
        <v>2.0</v>
      </c>
      <c r="AH52" s="1"/>
      <c r="AI52" s="1"/>
      <c r="AJ52" s="1">
        <f t="shared" si="13"/>
        <v>120</v>
      </c>
      <c r="AK52" s="14">
        <f t="shared" si="14"/>
        <v>0.3666666667</v>
      </c>
      <c r="AL52" s="14">
        <f t="shared" si="15"/>
        <v>0.2</v>
      </c>
      <c r="AM52" s="14">
        <f t="shared" si="16"/>
        <v>0.2916666667</v>
      </c>
      <c r="AN52" s="14">
        <f t="shared" si="17"/>
        <v>0.05833333333</v>
      </c>
      <c r="AO52" s="14">
        <f t="shared" si="18"/>
        <v>0.08333333333</v>
      </c>
    </row>
    <row r="53" ht="14.25" customHeight="1">
      <c r="A53" s="22">
        <v>45252.0</v>
      </c>
      <c r="B53" s="16" t="s">
        <v>42</v>
      </c>
      <c r="C53" s="16">
        <v>10.2</v>
      </c>
      <c r="D53" s="16">
        <v>10.4</v>
      </c>
      <c r="E53" s="16">
        <v>11.2</v>
      </c>
      <c r="F53" s="16">
        <v>29.0</v>
      </c>
      <c r="G53" s="16">
        <v>0.0</v>
      </c>
      <c r="H53" s="16">
        <v>37.0</v>
      </c>
      <c r="I53" s="16">
        <v>17.0</v>
      </c>
      <c r="J53" s="16"/>
      <c r="K53" s="16">
        <v>25.0</v>
      </c>
      <c r="L53" s="16">
        <v>0.0</v>
      </c>
      <c r="M53" s="16">
        <v>0.0</v>
      </c>
      <c r="N53" s="16">
        <v>7.0</v>
      </c>
      <c r="O53" s="16">
        <v>7.0</v>
      </c>
      <c r="P53" s="16">
        <v>0.0</v>
      </c>
      <c r="Q53" s="16">
        <v>0.0</v>
      </c>
      <c r="R53" s="16">
        <v>11.0</v>
      </c>
      <c r="S53" s="16">
        <v>0.0</v>
      </c>
      <c r="T53" s="16">
        <v>0.0</v>
      </c>
      <c r="U53" s="16">
        <v>4.0</v>
      </c>
      <c r="V53" s="16">
        <v>1.0</v>
      </c>
      <c r="W53" s="16">
        <v>0.0</v>
      </c>
      <c r="X53" s="16">
        <v>0.0</v>
      </c>
      <c r="Y53" s="16">
        <v>0.0</v>
      </c>
      <c r="Z53" s="16">
        <v>0.0</v>
      </c>
      <c r="AA53" s="16">
        <v>0.0</v>
      </c>
      <c r="AB53" s="16">
        <v>0.0</v>
      </c>
      <c r="AC53" s="16">
        <v>10.0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1.0</v>
      </c>
      <c r="AI53" s="16">
        <v>0.0</v>
      </c>
      <c r="AJ53" s="16">
        <v>120.0</v>
      </c>
      <c r="AK53" s="17">
        <v>0.45</v>
      </c>
      <c r="AL53" s="17">
        <v>0.2083</v>
      </c>
      <c r="AM53" s="17">
        <v>0.15</v>
      </c>
      <c r="AN53" s="17">
        <v>0.0417</v>
      </c>
      <c r="AO53" s="17">
        <v>0.0917</v>
      </c>
    </row>
    <row r="54" ht="14.25" customHeight="1">
      <c r="A54" s="22">
        <v>45252.0</v>
      </c>
      <c r="B54" s="16" t="s">
        <v>42</v>
      </c>
      <c r="C54" s="16">
        <v>10.8</v>
      </c>
      <c r="D54" s="16">
        <v>8.2</v>
      </c>
      <c r="E54" s="16">
        <v>9.4</v>
      </c>
      <c r="F54" s="16">
        <v>29.0</v>
      </c>
      <c r="G54" s="16">
        <v>0.0</v>
      </c>
      <c r="H54" s="16">
        <v>19.0</v>
      </c>
      <c r="I54" s="16">
        <v>25.0</v>
      </c>
      <c r="J54" s="16"/>
      <c r="K54" s="16">
        <v>20.0</v>
      </c>
      <c r="L54" s="16">
        <v>0.0</v>
      </c>
      <c r="M54" s="16">
        <v>0.0</v>
      </c>
      <c r="N54" s="16">
        <v>4.0</v>
      </c>
      <c r="O54" s="16">
        <v>19.0</v>
      </c>
      <c r="P54" s="16">
        <v>0.0</v>
      </c>
      <c r="Q54" s="16">
        <v>0.0</v>
      </c>
      <c r="R54" s="16">
        <v>13.0</v>
      </c>
      <c r="S54" s="16">
        <v>3.0</v>
      </c>
      <c r="T54" s="16">
        <v>0.0</v>
      </c>
      <c r="U54" s="16">
        <v>5.0</v>
      </c>
      <c r="V54" s="16">
        <v>2.0</v>
      </c>
      <c r="W54" s="16">
        <v>0.0</v>
      </c>
      <c r="X54" s="16">
        <v>0.0</v>
      </c>
      <c r="Y54" s="16">
        <v>0.0</v>
      </c>
      <c r="Z54" s="16">
        <v>0.0</v>
      </c>
      <c r="AA54" s="16">
        <v>0.0</v>
      </c>
      <c r="AB54" s="16">
        <v>4.0</v>
      </c>
      <c r="AC54" s="16">
        <v>4.0</v>
      </c>
      <c r="AD54" s="16">
        <v>0.0</v>
      </c>
      <c r="AE54" s="16">
        <v>0.0</v>
      </c>
      <c r="AF54" s="16">
        <v>0.0</v>
      </c>
      <c r="AG54" s="16">
        <v>0.0</v>
      </c>
      <c r="AH54" s="16">
        <v>2.0</v>
      </c>
      <c r="AI54" s="16">
        <v>0.0</v>
      </c>
      <c r="AJ54" s="16">
        <v>120.0</v>
      </c>
      <c r="AK54" s="17">
        <v>0.3667</v>
      </c>
      <c r="AL54" s="17">
        <v>0.1667</v>
      </c>
      <c r="AM54" s="17">
        <v>0.2917</v>
      </c>
      <c r="AN54" s="17">
        <v>0.0583</v>
      </c>
      <c r="AO54" s="17">
        <v>0.0833</v>
      </c>
    </row>
    <row r="55" ht="14.25" customHeight="1">
      <c r="A55" s="13">
        <v>45265.0</v>
      </c>
      <c r="B55" s="11" t="s">
        <v>42</v>
      </c>
      <c r="C55" s="11">
        <v>13.2</v>
      </c>
      <c r="D55" s="11">
        <v>6.6</v>
      </c>
      <c r="E55" s="11">
        <v>6.8</v>
      </c>
      <c r="F55" s="11">
        <v>29.0</v>
      </c>
      <c r="G55" s="11">
        <v>2.0</v>
      </c>
      <c r="H55" s="11">
        <v>24.0</v>
      </c>
      <c r="I55" s="11">
        <v>14.0</v>
      </c>
      <c r="J55" s="11">
        <v>2.0</v>
      </c>
      <c r="K55" s="11">
        <v>12.0</v>
      </c>
      <c r="L55" s="1"/>
      <c r="M55" s="1"/>
      <c r="N55" s="1"/>
      <c r="O55" s="11">
        <v>9.0</v>
      </c>
      <c r="P55" s="1"/>
      <c r="Q55" s="11">
        <v>12.0</v>
      </c>
      <c r="R55" s="11">
        <v>8.0</v>
      </c>
      <c r="S55" s="11">
        <v>3.0</v>
      </c>
      <c r="T55" s="11">
        <v>2.0</v>
      </c>
      <c r="U55" s="11">
        <v>11.0</v>
      </c>
      <c r="V55" s="11">
        <v>2.0</v>
      </c>
      <c r="W55" s="1"/>
      <c r="X55" s="11">
        <v>4.0</v>
      </c>
      <c r="Y55" s="1"/>
      <c r="Z55" s="1"/>
      <c r="AA55" s="1"/>
      <c r="AB55" s="11">
        <v>6.0</v>
      </c>
      <c r="AC55" s="1"/>
      <c r="AD55" s="1"/>
      <c r="AE55" s="1"/>
      <c r="AF55" s="11">
        <v>1.0</v>
      </c>
      <c r="AG55" s="1"/>
      <c r="AH55" s="1"/>
      <c r="AI55" s="11">
        <v>8.0</v>
      </c>
      <c r="AJ55" s="1">
        <f>SUM(G55:AI55)</f>
        <v>120</v>
      </c>
      <c r="AK55" s="14">
        <f>SUM(G55:J55)/120</f>
        <v>0.35</v>
      </c>
      <c r="AL55" s="14">
        <f>SUM(K55:N55)/120</f>
        <v>0.1</v>
      </c>
      <c r="AM55" s="14">
        <f> SUM(O55:T55)/120</f>
        <v>0.2833333333</v>
      </c>
      <c r="AN55" s="14">
        <f>SUM(U55:AA55)/120</f>
        <v>0.1416666667</v>
      </c>
      <c r="AO55" s="14">
        <f>SUM(AB55:AI55)/120</f>
        <v>0.125</v>
      </c>
    </row>
    <row r="56" ht="14.25" customHeight="1">
      <c r="A56" s="15">
        <v>45265.0</v>
      </c>
      <c r="B56" s="16" t="s">
        <v>42</v>
      </c>
      <c r="C56" s="16">
        <v>13.2</v>
      </c>
      <c r="D56" s="16">
        <v>6.6</v>
      </c>
      <c r="E56" s="16">
        <v>6.8</v>
      </c>
      <c r="F56" s="16">
        <v>29.0</v>
      </c>
      <c r="G56" s="16">
        <v>2.0</v>
      </c>
      <c r="H56" s="16">
        <v>24.0</v>
      </c>
      <c r="I56" s="16">
        <v>14.0</v>
      </c>
      <c r="J56" s="16">
        <v>2.0</v>
      </c>
      <c r="K56" s="16">
        <v>12.0</v>
      </c>
      <c r="L56" s="16">
        <v>0.0</v>
      </c>
      <c r="M56" s="16">
        <v>0.0</v>
      </c>
      <c r="N56" s="16">
        <v>0.0</v>
      </c>
      <c r="O56" s="16">
        <v>9.0</v>
      </c>
      <c r="P56" s="16">
        <v>0.0</v>
      </c>
      <c r="Q56" s="16">
        <v>12.0</v>
      </c>
      <c r="R56" s="16">
        <v>8.0</v>
      </c>
      <c r="S56" s="16">
        <v>3.0</v>
      </c>
      <c r="T56" s="16">
        <v>2.0</v>
      </c>
      <c r="U56" s="16">
        <v>11.0</v>
      </c>
      <c r="V56" s="16">
        <v>2.0</v>
      </c>
      <c r="W56" s="16">
        <v>0.0</v>
      </c>
      <c r="X56" s="16">
        <v>4.0</v>
      </c>
      <c r="Y56" s="16">
        <v>0.0</v>
      </c>
      <c r="Z56" s="16">
        <v>0.0</v>
      </c>
      <c r="AA56" s="16">
        <v>0.0</v>
      </c>
      <c r="AB56" s="16">
        <v>6.0</v>
      </c>
      <c r="AC56" s="16">
        <v>0.0</v>
      </c>
      <c r="AD56" s="16">
        <v>0.0</v>
      </c>
      <c r="AE56" s="16">
        <v>0.0</v>
      </c>
      <c r="AF56" s="16">
        <v>0.0</v>
      </c>
      <c r="AG56" s="16">
        <v>1.0</v>
      </c>
      <c r="AH56" s="16">
        <v>0.0</v>
      </c>
      <c r="AI56" s="16">
        <v>0.0</v>
      </c>
      <c r="AJ56" s="16">
        <v>112.0</v>
      </c>
      <c r="AK56" s="17">
        <v>0.35</v>
      </c>
      <c r="AL56" s="17">
        <v>0.1</v>
      </c>
      <c r="AM56" s="17">
        <v>0.2667</v>
      </c>
      <c r="AN56" s="17">
        <v>0.1417</v>
      </c>
      <c r="AO56" s="17">
        <v>0.0583</v>
      </c>
    </row>
    <row r="57" ht="14.25" customHeight="1">
      <c r="A57" s="13">
        <v>45267.0</v>
      </c>
      <c r="B57" s="11" t="s">
        <v>42</v>
      </c>
      <c r="C57" s="11">
        <v>9.7</v>
      </c>
      <c r="D57" s="11">
        <v>14.0</v>
      </c>
      <c r="E57" s="11">
        <v>13.0</v>
      </c>
      <c r="F57" s="11">
        <v>29.0</v>
      </c>
      <c r="G57" s="1"/>
      <c r="H57" s="19">
        <v>59.0</v>
      </c>
      <c r="I57" s="1"/>
      <c r="J57" s="1"/>
      <c r="K57" s="11">
        <v>14.0</v>
      </c>
      <c r="L57" s="1"/>
      <c r="M57" s="11">
        <v>13.0</v>
      </c>
      <c r="N57" s="11">
        <v>3.0</v>
      </c>
      <c r="O57" s="11">
        <v>8.0</v>
      </c>
      <c r="P57" s="1"/>
      <c r="Q57" s="1"/>
      <c r="R57" s="11">
        <v>13.0</v>
      </c>
      <c r="S57" s="11">
        <v>1.0</v>
      </c>
      <c r="T57" s="1"/>
      <c r="U57" s="11">
        <v>5.0</v>
      </c>
      <c r="V57" s="1"/>
      <c r="W57" s="1"/>
      <c r="X57" s="1"/>
      <c r="Y57" s="1"/>
      <c r="Z57" s="1"/>
      <c r="AA57" s="11">
        <v>2.0</v>
      </c>
      <c r="AB57" s="1"/>
      <c r="AC57" s="1"/>
      <c r="AD57" s="1"/>
      <c r="AE57" s="1"/>
      <c r="AF57" s="1"/>
      <c r="AG57" s="1"/>
      <c r="AH57" s="1"/>
      <c r="AI57" s="1"/>
      <c r="AJ57" s="1">
        <f>SUM(G57:AI57)</f>
        <v>118</v>
      </c>
      <c r="AK57" s="14">
        <f>SUM(G57:J57)/120</f>
        <v>0.4916666667</v>
      </c>
      <c r="AL57" s="14">
        <f>SUM(K57:N57)/120</f>
        <v>0.25</v>
      </c>
      <c r="AM57" s="14">
        <f> SUM(O57:T57)/120</f>
        <v>0.1833333333</v>
      </c>
      <c r="AN57" s="14">
        <f>SUM(U57:AA57)/120</f>
        <v>0.05833333333</v>
      </c>
      <c r="AO57" s="14">
        <f>SUM(AB57:AI57)/120</f>
        <v>0</v>
      </c>
    </row>
    <row r="58" ht="14.25" customHeight="1">
      <c r="A58" s="15">
        <v>45267.0</v>
      </c>
      <c r="B58" s="16" t="s">
        <v>42</v>
      </c>
      <c r="C58" s="16">
        <v>9.7</v>
      </c>
      <c r="D58" s="16">
        <v>14.0</v>
      </c>
      <c r="E58" s="16">
        <v>13.0</v>
      </c>
      <c r="F58" s="20">
        <v>29.0</v>
      </c>
      <c r="G58" s="16">
        <v>0.0</v>
      </c>
      <c r="H58" s="16">
        <v>59.0</v>
      </c>
      <c r="I58" s="16"/>
      <c r="J58" s="16"/>
      <c r="K58" s="16">
        <v>14.0</v>
      </c>
      <c r="L58" s="16">
        <v>0.0</v>
      </c>
      <c r="M58" s="16">
        <v>13.0</v>
      </c>
      <c r="N58" s="16">
        <v>3.0</v>
      </c>
      <c r="O58" s="16">
        <v>8.0</v>
      </c>
      <c r="P58" s="16">
        <v>0.0</v>
      </c>
      <c r="Q58" s="16">
        <v>0.0</v>
      </c>
      <c r="R58" s="16">
        <v>13.0</v>
      </c>
      <c r="S58" s="16">
        <v>1.0</v>
      </c>
      <c r="T58" s="16">
        <v>0.0</v>
      </c>
      <c r="U58" s="16">
        <v>5.0</v>
      </c>
      <c r="V58" s="16">
        <v>0.0</v>
      </c>
      <c r="W58" s="16">
        <v>0.0</v>
      </c>
      <c r="X58" s="16">
        <v>0.0</v>
      </c>
      <c r="Y58" s="16">
        <v>0.0</v>
      </c>
      <c r="Z58" s="16">
        <v>0.0</v>
      </c>
      <c r="AA58" s="16">
        <v>0.0</v>
      </c>
      <c r="AB58" s="16">
        <v>0.0</v>
      </c>
      <c r="AC58" s="16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6">
        <v>0.0</v>
      </c>
      <c r="AJ58" s="16">
        <v>116.0</v>
      </c>
      <c r="AK58" s="17">
        <v>0.4917</v>
      </c>
      <c r="AL58" s="17">
        <v>0.225</v>
      </c>
      <c r="AM58" s="17">
        <v>0.1833</v>
      </c>
      <c r="AN58" s="17">
        <v>0.0417</v>
      </c>
      <c r="AO58" s="17">
        <v>0.0</v>
      </c>
    </row>
    <row r="59" ht="14.25" customHeight="1">
      <c r="A59" s="21">
        <v>45267.0</v>
      </c>
      <c r="B59" s="11" t="s">
        <v>43</v>
      </c>
      <c r="C59" s="11">
        <v>9.4</v>
      </c>
      <c r="D59" s="11">
        <v>3.0</v>
      </c>
      <c r="E59" s="11">
        <v>3.0</v>
      </c>
      <c r="F59" s="11">
        <v>29.0</v>
      </c>
      <c r="G59" s="1"/>
      <c r="H59" s="11">
        <v>49.0</v>
      </c>
      <c r="I59" s="11">
        <v>7.0</v>
      </c>
      <c r="J59" s="11">
        <v>1.0</v>
      </c>
      <c r="K59" s="11">
        <v>5.0</v>
      </c>
      <c r="L59" s="1"/>
      <c r="M59" s="1"/>
      <c r="N59" s="1"/>
      <c r="O59" s="11">
        <v>12.0</v>
      </c>
      <c r="P59" s="1"/>
      <c r="Q59" s="11">
        <v>1.0</v>
      </c>
      <c r="R59" s="11">
        <v>2.0</v>
      </c>
      <c r="S59" s="11">
        <v>3.0</v>
      </c>
      <c r="T59" s="1"/>
      <c r="U59" s="11">
        <v>17.0</v>
      </c>
      <c r="V59" s="1"/>
      <c r="W59" s="1"/>
      <c r="X59" s="11">
        <v>1.0</v>
      </c>
      <c r="Y59" s="11">
        <v>2.0</v>
      </c>
      <c r="Z59" s="1"/>
      <c r="AA59" s="1"/>
      <c r="AB59" s="11">
        <v>19.0</v>
      </c>
      <c r="AC59" s="1"/>
      <c r="AD59" s="1"/>
      <c r="AE59" s="1"/>
      <c r="AF59" s="11">
        <v>1.0</v>
      </c>
      <c r="AG59" s="1"/>
      <c r="AH59" s="1"/>
      <c r="AI59" s="1"/>
      <c r="AJ59" s="11">
        <v>120.0</v>
      </c>
      <c r="AK59" s="14">
        <f>SUM(G59:J59)/120</f>
        <v>0.475</v>
      </c>
      <c r="AL59" s="14">
        <f>SUM(K59:N59)/120</f>
        <v>0.04166666667</v>
      </c>
      <c r="AM59" s="14">
        <f> SUM(O59:T59)/120</f>
        <v>0.15</v>
      </c>
      <c r="AN59" s="14">
        <f>SUM(U59:AA59)/120</f>
        <v>0.1666666667</v>
      </c>
      <c r="AO59" s="14">
        <f>SUM(AB59:AI59)/120</f>
        <v>0.1666666667</v>
      </c>
    </row>
    <row r="60" ht="14.25" customHeight="1">
      <c r="A60" s="22">
        <v>45267.0</v>
      </c>
      <c r="B60" s="16" t="s">
        <v>43</v>
      </c>
      <c r="C60" s="16">
        <v>9.4</v>
      </c>
      <c r="D60" s="16">
        <v>3.0</v>
      </c>
      <c r="E60" s="16">
        <v>3.0</v>
      </c>
      <c r="F60" s="16">
        <v>29.0</v>
      </c>
      <c r="G60" s="16">
        <v>0.0</v>
      </c>
      <c r="H60" s="16">
        <v>49.0</v>
      </c>
      <c r="I60" s="16">
        <v>7.0</v>
      </c>
      <c r="J60" s="16">
        <v>1.0</v>
      </c>
      <c r="K60" s="16">
        <v>5.0</v>
      </c>
      <c r="L60" s="16">
        <v>0.0</v>
      </c>
      <c r="M60" s="16">
        <v>0.0</v>
      </c>
      <c r="N60" s="16">
        <v>0.0</v>
      </c>
      <c r="O60" s="16">
        <v>12.0</v>
      </c>
      <c r="P60" s="16">
        <v>0.0</v>
      </c>
      <c r="Q60" s="16">
        <v>1.0</v>
      </c>
      <c r="R60" s="16">
        <v>2.0</v>
      </c>
      <c r="S60" s="16">
        <v>3.0</v>
      </c>
      <c r="T60" s="16">
        <v>0.0</v>
      </c>
      <c r="U60" s="16">
        <v>17.0</v>
      </c>
      <c r="V60" s="16">
        <v>0.0</v>
      </c>
      <c r="W60" s="16">
        <v>0.0</v>
      </c>
      <c r="X60" s="16">
        <v>1.0</v>
      </c>
      <c r="Y60" s="16">
        <v>2.0</v>
      </c>
      <c r="Z60" s="16">
        <v>0.0</v>
      </c>
      <c r="AA60" s="16">
        <v>0.0</v>
      </c>
      <c r="AB60" s="16">
        <v>19.0</v>
      </c>
      <c r="AC60" s="16">
        <v>0.0</v>
      </c>
      <c r="AD60" s="16">
        <v>0.0</v>
      </c>
      <c r="AE60" s="16">
        <v>0.0</v>
      </c>
      <c r="AF60" s="16">
        <v>0.0</v>
      </c>
      <c r="AG60" s="16">
        <v>1.0</v>
      </c>
      <c r="AH60" s="16">
        <v>0.0</v>
      </c>
      <c r="AI60" s="16">
        <v>0.0</v>
      </c>
      <c r="AJ60" s="16">
        <v>120.0</v>
      </c>
      <c r="AK60" s="17">
        <v>0.475</v>
      </c>
      <c r="AL60" s="17">
        <v>0.0417</v>
      </c>
      <c r="AM60" s="17">
        <v>0.15</v>
      </c>
      <c r="AN60" s="17">
        <v>0.1667</v>
      </c>
      <c r="AO60" s="17">
        <v>0.1667</v>
      </c>
    </row>
    <row r="61" ht="14.25" customHeight="1">
      <c r="A61" s="13">
        <v>45268.0</v>
      </c>
      <c r="B61" s="11" t="s">
        <v>42</v>
      </c>
      <c r="C61" s="11">
        <v>15.1</v>
      </c>
      <c r="D61" s="11">
        <v>10.2</v>
      </c>
      <c r="E61" s="11">
        <v>10.6</v>
      </c>
      <c r="F61" s="11">
        <v>29.0</v>
      </c>
      <c r="G61" s="1"/>
      <c r="H61" s="11">
        <v>43.0</v>
      </c>
      <c r="I61" s="11">
        <v>7.0</v>
      </c>
      <c r="J61" s="11">
        <v>0.0</v>
      </c>
      <c r="K61" s="11">
        <v>21.0</v>
      </c>
      <c r="L61" s="1"/>
      <c r="M61" s="11">
        <v>4.0</v>
      </c>
      <c r="N61" s="11">
        <v>1.0</v>
      </c>
      <c r="O61" s="11">
        <v>19.0</v>
      </c>
      <c r="P61" s="1"/>
      <c r="Q61" s="11">
        <v>2.0</v>
      </c>
      <c r="R61" s="11">
        <v>15.0</v>
      </c>
      <c r="S61" s="11">
        <v>2.0</v>
      </c>
      <c r="T61" s="1"/>
      <c r="U61" s="11">
        <v>2.0</v>
      </c>
      <c r="V61" s="11">
        <v>3.0</v>
      </c>
      <c r="W61" s="1"/>
      <c r="X61" s="1"/>
      <c r="Y61" s="1"/>
      <c r="Z61" s="1"/>
      <c r="AA61" s="1"/>
      <c r="AB61" s="1"/>
      <c r="AC61" s="1"/>
      <c r="AD61" s="1"/>
      <c r="AE61" s="1"/>
      <c r="AF61" s="11">
        <v>1.0</v>
      </c>
      <c r="AG61" s="1"/>
      <c r="AH61" s="1"/>
      <c r="AI61" s="1"/>
      <c r="AJ61" s="1">
        <f>SUM(G61:AI61)</f>
        <v>120</v>
      </c>
      <c r="AK61" s="14">
        <f>SUM(G61:J61)/120</f>
        <v>0.4166666667</v>
      </c>
      <c r="AL61" s="14">
        <f>SUM(K61:N61)/120</f>
        <v>0.2166666667</v>
      </c>
      <c r="AM61" s="14">
        <f> SUM(O61:T61)/120</f>
        <v>0.3166666667</v>
      </c>
      <c r="AN61" s="14">
        <f>SUM(U61:AA61)/120</f>
        <v>0.04166666667</v>
      </c>
      <c r="AO61" s="14">
        <f>SUM(AB61:AI61)/120</f>
        <v>0.008333333333</v>
      </c>
    </row>
    <row r="62" ht="14.25" customHeight="1">
      <c r="A62" s="15">
        <v>45268.0</v>
      </c>
      <c r="B62" s="16" t="s">
        <v>42</v>
      </c>
      <c r="C62" s="16">
        <v>15.1</v>
      </c>
      <c r="D62" s="16">
        <v>10.2</v>
      </c>
      <c r="E62" s="16">
        <v>10.6</v>
      </c>
      <c r="F62" s="16">
        <v>29.0</v>
      </c>
      <c r="G62" s="16">
        <v>0.0</v>
      </c>
      <c r="H62" s="16">
        <v>43.0</v>
      </c>
      <c r="I62" s="16">
        <v>7.0</v>
      </c>
      <c r="J62" s="16">
        <v>0.0</v>
      </c>
      <c r="K62" s="16">
        <v>21.0</v>
      </c>
      <c r="L62" s="16">
        <v>0.0</v>
      </c>
      <c r="M62" s="16">
        <v>4.0</v>
      </c>
      <c r="N62" s="16">
        <v>1.0</v>
      </c>
      <c r="O62" s="16">
        <v>19.0</v>
      </c>
      <c r="P62" s="16">
        <v>0.0</v>
      </c>
      <c r="Q62" s="16">
        <v>2.0</v>
      </c>
      <c r="R62" s="16">
        <v>15.0</v>
      </c>
      <c r="S62" s="16">
        <v>2.0</v>
      </c>
      <c r="T62" s="16">
        <v>0.0</v>
      </c>
      <c r="U62" s="16">
        <v>2.0</v>
      </c>
      <c r="V62" s="16">
        <v>3.0</v>
      </c>
      <c r="W62" s="16">
        <v>0.0</v>
      </c>
      <c r="X62" s="16">
        <v>0.0</v>
      </c>
      <c r="Y62" s="16">
        <v>0.0</v>
      </c>
      <c r="Z62" s="16">
        <v>0.0</v>
      </c>
      <c r="AA62" s="16">
        <v>0.0</v>
      </c>
      <c r="AB62" s="16">
        <v>0.0</v>
      </c>
      <c r="AC62" s="16">
        <v>0.0</v>
      </c>
      <c r="AD62" s="16">
        <v>0.0</v>
      </c>
      <c r="AE62" s="16">
        <v>0.0</v>
      </c>
      <c r="AF62" s="16">
        <v>0.0</v>
      </c>
      <c r="AG62" s="16">
        <v>1.0</v>
      </c>
      <c r="AH62" s="16">
        <v>0.0</v>
      </c>
      <c r="AI62" s="16">
        <v>0.0</v>
      </c>
      <c r="AJ62" s="16">
        <v>120.0</v>
      </c>
      <c r="AK62" s="17">
        <v>0.4167</v>
      </c>
      <c r="AL62" s="17">
        <v>0.2083</v>
      </c>
      <c r="AM62" s="17">
        <v>0.3167</v>
      </c>
      <c r="AN62" s="17">
        <v>0.0417</v>
      </c>
      <c r="AO62" s="17">
        <v>0.0083</v>
      </c>
    </row>
    <row r="63" ht="14.25" customHeight="1">
      <c r="A63" s="21">
        <v>45272.0</v>
      </c>
      <c r="B63" s="11" t="s">
        <v>42</v>
      </c>
      <c r="D63" s="11">
        <v>6.6</v>
      </c>
      <c r="E63" s="11">
        <v>5.0</v>
      </c>
      <c r="F63" s="11">
        <v>30.0</v>
      </c>
      <c r="G63" s="1"/>
      <c r="H63" s="11">
        <v>33.0</v>
      </c>
      <c r="I63" s="11">
        <v>17.0</v>
      </c>
      <c r="J63" s="11">
        <v>1.0</v>
      </c>
      <c r="K63" s="11">
        <v>10.0</v>
      </c>
      <c r="L63" s="11">
        <v>1.0</v>
      </c>
      <c r="M63" s="1"/>
      <c r="N63" s="1"/>
      <c r="O63" s="11">
        <v>20.0</v>
      </c>
      <c r="P63" s="11">
        <v>1.0</v>
      </c>
      <c r="Q63" s="11">
        <v>10.0</v>
      </c>
      <c r="R63" s="11">
        <v>2.0</v>
      </c>
      <c r="S63" s="11">
        <v>6.0</v>
      </c>
      <c r="T63" s="11">
        <v>2.0</v>
      </c>
      <c r="U63" s="1"/>
      <c r="V63" s="1"/>
      <c r="W63" s="1"/>
      <c r="X63" s="1"/>
      <c r="Y63" s="1"/>
      <c r="Z63" s="1"/>
      <c r="AA63" s="1"/>
      <c r="AB63" s="11">
        <v>12.0</v>
      </c>
      <c r="AC63" s="11">
        <v>2.0</v>
      </c>
      <c r="AD63" s="1"/>
      <c r="AE63" s="1"/>
      <c r="AF63" s="1"/>
      <c r="AG63" s="1"/>
      <c r="AH63" s="1"/>
      <c r="AI63" s="11">
        <v>1.0</v>
      </c>
      <c r="AJ63" s="1">
        <f>SUM(G63:AI63)</f>
        <v>118</v>
      </c>
      <c r="AK63" s="14">
        <f>SUM(G63:J63)/120</f>
        <v>0.425</v>
      </c>
      <c r="AL63" s="14">
        <f>SUM(K63:N63)/120</f>
        <v>0.09166666667</v>
      </c>
      <c r="AM63" s="14">
        <f> SUM(O63:T63)/120</f>
        <v>0.3416666667</v>
      </c>
      <c r="AN63" s="14">
        <f>SUM(U63:AA63)/120</f>
        <v>0</v>
      </c>
      <c r="AO63" s="14">
        <f>SUM(AB63:AI63)/120</f>
        <v>0.125</v>
      </c>
    </row>
    <row r="64" ht="14.25" customHeight="1">
      <c r="A64" s="22">
        <v>45272.0</v>
      </c>
      <c r="B64" s="16" t="s">
        <v>42</v>
      </c>
      <c r="C64" s="16"/>
      <c r="D64" s="16">
        <v>6.6</v>
      </c>
      <c r="E64" s="16">
        <v>5.0</v>
      </c>
      <c r="F64" s="16">
        <v>30.0</v>
      </c>
      <c r="G64" s="16">
        <v>0.0</v>
      </c>
      <c r="H64" s="16">
        <v>33.0</v>
      </c>
      <c r="I64" s="16">
        <v>17.0</v>
      </c>
      <c r="J64" s="16">
        <v>1.0</v>
      </c>
      <c r="K64" s="16">
        <v>10.0</v>
      </c>
      <c r="L64" s="16">
        <v>1.0</v>
      </c>
      <c r="M64" s="16">
        <v>0.0</v>
      </c>
      <c r="N64" s="16">
        <v>0.0</v>
      </c>
      <c r="O64" s="16">
        <v>20.0</v>
      </c>
      <c r="P64" s="16">
        <v>1.0</v>
      </c>
      <c r="Q64" s="16">
        <v>10.0</v>
      </c>
      <c r="R64" s="16">
        <v>2.0</v>
      </c>
      <c r="S64" s="16">
        <v>6.0</v>
      </c>
      <c r="T64" s="16">
        <v>2.0</v>
      </c>
      <c r="U64" s="16"/>
      <c r="V64" s="16">
        <v>0.0</v>
      </c>
      <c r="W64" s="16">
        <v>0.0</v>
      </c>
      <c r="X64" s="16">
        <v>0.0</v>
      </c>
      <c r="Y64" s="16">
        <v>0.0</v>
      </c>
      <c r="Z64" s="16">
        <v>0.0</v>
      </c>
      <c r="AA64" s="16">
        <v>0.0</v>
      </c>
      <c r="AB64" s="16">
        <v>12.0</v>
      </c>
      <c r="AC64" s="16">
        <v>2.0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6">
        <v>0.0</v>
      </c>
      <c r="AJ64" s="16">
        <v>119.0</v>
      </c>
      <c r="AK64" s="17">
        <v>0.425</v>
      </c>
      <c r="AL64" s="17">
        <v>0.1083</v>
      </c>
      <c r="AM64" s="17">
        <v>0.325</v>
      </c>
      <c r="AN64" s="17">
        <v>0.0</v>
      </c>
      <c r="AO64" s="17">
        <v>0.1167</v>
      </c>
    </row>
    <row r="65" ht="14.25" customHeight="1">
      <c r="A65" s="21">
        <v>45273.0</v>
      </c>
      <c r="B65" s="11" t="s">
        <v>44</v>
      </c>
      <c r="D65" s="11">
        <v>12.0</v>
      </c>
      <c r="E65" s="11">
        <v>12.3</v>
      </c>
      <c r="F65" s="11">
        <v>30.0</v>
      </c>
      <c r="G65" s="1"/>
      <c r="H65" s="11">
        <v>12.0</v>
      </c>
      <c r="I65" s="11">
        <v>12.0</v>
      </c>
      <c r="J65" s="1"/>
      <c r="K65" s="11">
        <v>25.0</v>
      </c>
      <c r="L65" s="1"/>
      <c r="M65" s="1"/>
      <c r="N65" s="11">
        <v>3.0</v>
      </c>
      <c r="O65" s="11">
        <v>11.0</v>
      </c>
      <c r="P65" s="1"/>
      <c r="Q65" s="11">
        <v>4.0</v>
      </c>
      <c r="R65" s="11">
        <v>4.0</v>
      </c>
      <c r="S65" s="1"/>
      <c r="T65" s="11">
        <v>2.0</v>
      </c>
      <c r="U65" s="11">
        <v>4.0</v>
      </c>
      <c r="V65" s="11">
        <v>12.0</v>
      </c>
      <c r="W65" s="1"/>
      <c r="X65" s="1"/>
      <c r="Y65" s="1"/>
      <c r="Z65" s="1"/>
      <c r="AA65" s="1"/>
      <c r="AB65" s="1"/>
      <c r="AC65" s="11">
        <v>19.0</v>
      </c>
      <c r="AD65" s="1"/>
      <c r="AE65" s="1"/>
      <c r="AF65" s="1"/>
      <c r="AG65" s="1"/>
      <c r="AH65" s="1"/>
      <c r="AI65" s="1"/>
      <c r="AJ65" s="1">
        <f>SUM(G65:AI65)</f>
        <v>108</v>
      </c>
      <c r="AK65" s="14">
        <f>SUM(G65:J65)/120</f>
        <v>0.2</v>
      </c>
      <c r="AL65" s="14">
        <f>SUM(K65:N65)/120</f>
        <v>0.2333333333</v>
      </c>
      <c r="AM65" s="14">
        <f> SUM(O65:T65)/120</f>
        <v>0.175</v>
      </c>
      <c r="AN65" s="14">
        <f>SUM(U65:AA65)/120</f>
        <v>0.1333333333</v>
      </c>
      <c r="AO65" s="14">
        <f>SUM(AB65:AI65)/120</f>
        <v>0.1583333333</v>
      </c>
    </row>
    <row r="66" ht="14.25" customHeight="1">
      <c r="A66" s="22">
        <v>45273.0</v>
      </c>
      <c r="B66" s="16" t="s">
        <v>44</v>
      </c>
      <c r="C66" s="16"/>
      <c r="D66" s="16">
        <v>12.0</v>
      </c>
      <c r="E66" s="16">
        <v>12.3</v>
      </c>
      <c r="F66" s="16">
        <v>30.0</v>
      </c>
      <c r="G66" s="16">
        <v>0.0</v>
      </c>
      <c r="H66" s="16">
        <v>12.0</v>
      </c>
      <c r="I66" s="16">
        <v>12.0</v>
      </c>
      <c r="J66" s="16"/>
      <c r="K66" s="16">
        <v>25.0</v>
      </c>
      <c r="L66" s="16">
        <v>0.0</v>
      </c>
      <c r="M66" s="16">
        <v>0.0</v>
      </c>
      <c r="N66" s="16">
        <v>3.0</v>
      </c>
      <c r="O66" s="16">
        <v>11.0</v>
      </c>
      <c r="P66" s="16">
        <v>0.0</v>
      </c>
      <c r="Q66" s="16">
        <v>4.0</v>
      </c>
      <c r="R66" s="16">
        <v>4.0</v>
      </c>
      <c r="S66" s="16">
        <v>0.0</v>
      </c>
      <c r="T66" s="16">
        <v>2.0</v>
      </c>
      <c r="U66" s="16">
        <v>4.0</v>
      </c>
      <c r="V66" s="16">
        <v>12.0</v>
      </c>
      <c r="W66" s="16">
        <v>0.0</v>
      </c>
      <c r="X66" s="16">
        <v>0.0</v>
      </c>
      <c r="Y66" s="16">
        <v>0.0</v>
      </c>
      <c r="Z66" s="16">
        <v>0.0</v>
      </c>
      <c r="AA66" s="16">
        <v>0.0</v>
      </c>
      <c r="AB66" s="16">
        <v>0.0</v>
      </c>
      <c r="AC66" s="16">
        <v>19.0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6">
        <v>0.0</v>
      </c>
      <c r="AJ66" s="16">
        <v>118.0</v>
      </c>
      <c r="AK66" s="17">
        <v>0.2</v>
      </c>
      <c r="AL66" s="17">
        <v>0.2917</v>
      </c>
      <c r="AM66" s="17">
        <v>0.1583</v>
      </c>
      <c r="AN66" s="17">
        <v>0.1333</v>
      </c>
      <c r="AO66" s="17">
        <v>0.1583</v>
      </c>
    </row>
    <row r="67" ht="14.25" customHeight="1">
      <c r="A67" s="21">
        <v>45279.0</v>
      </c>
      <c r="B67" s="11" t="s">
        <v>42</v>
      </c>
      <c r="C67" s="11">
        <v>9.2</v>
      </c>
      <c r="D67" s="1"/>
      <c r="E67" s="1"/>
      <c r="F67" s="11">
        <v>29.0</v>
      </c>
      <c r="G67" s="1"/>
      <c r="H67" s="11">
        <v>57.0</v>
      </c>
      <c r="I67" s="11">
        <v>5.0</v>
      </c>
      <c r="J67" s="11">
        <v>4.0</v>
      </c>
      <c r="K67" s="1"/>
      <c r="L67" s="1"/>
      <c r="M67" s="1"/>
      <c r="N67" s="11"/>
      <c r="O67" s="11">
        <v>33.0</v>
      </c>
      <c r="P67" s="1"/>
      <c r="Q67" s="11">
        <v>1.0</v>
      </c>
      <c r="R67" s="11">
        <v>4.0</v>
      </c>
      <c r="S67" s="11">
        <v>7.0</v>
      </c>
      <c r="T67" s="1"/>
      <c r="U67" s="11">
        <v>1.0</v>
      </c>
      <c r="V67" s="1"/>
      <c r="W67" s="1"/>
      <c r="X67" s="1"/>
      <c r="Y67" s="1"/>
      <c r="Z67" s="1"/>
      <c r="AA67" s="1"/>
      <c r="AB67" s="11">
        <v>8.0</v>
      </c>
      <c r="AC67" s="1"/>
      <c r="AD67" s="1"/>
      <c r="AE67" s="1"/>
      <c r="AF67" s="1"/>
      <c r="AG67" s="1"/>
      <c r="AH67" s="1"/>
      <c r="AI67" s="1"/>
      <c r="AJ67" s="1">
        <f>SUM(G67:AI67)</f>
        <v>120</v>
      </c>
      <c r="AK67" s="14">
        <f>SUM(G67:J67)/120</f>
        <v>0.55</v>
      </c>
      <c r="AL67" s="14">
        <f>SUM(K67:N67)/120</f>
        <v>0</v>
      </c>
      <c r="AM67" s="14">
        <f> SUM(O67:T67)/120</f>
        <v>0.375</v>
      </c>
      <c r="AN67" s="14">
        <f>SUM(U67:AA67)/120</f>
        <v>0.008333333333</v>
      </c>
      <c r="AO67" s="14">
        <f>SUM(AB67:AI67)/120</f>
        <v>0.06666666667</v>
      </c>
    </row>
    <row r="68" ht="14.25" customHeight="1">
      <c r="A68" s="22">
        <v>45279.0</v>
      </c>
      <c r="B68" s="16" t="s">
        <v>42</v>
      </c>
      <c r="C68" s="16">
        <v>9.2</v>
      </c>
      <c r="D68" s="16"/>
      <c r="E68" s="16"/>
      <c r="F68" s="16">
        <v>29.0</v>
      </c>
      <c r="G68" s="16">
        <v>0.0</v>
      </c>
      <c r="H68" s="16">
        <v>57.0</v>
      </c>
      <c r="I68" s="16">
        <v>5.0</v>
      </c>
      <c r="J68" s="16">
        <v>4.0</v>
      </c>
      <c r="K68" s="16"/>
      <c r="L68" s="16">
        <v>0.0</v>
      </c>
      <c r="M68" s="16">
        <v>0.0</v>
      </c>
      <c r="N68" s="16">
        <v>0.0</v>
      </c>
      <c r="O68" s="16">
        <v>33.0</v>
      </c>
      <c r="P68" s="16">
        <v>0.0</v>
      </c>
      <c r="Q68" s="16">
        <v>1.0</v>
      </c>
      <c r="R68" s="16">
        <v>4.0</v>
      </c>
      <c r="S68" s="16">
        <v>7.0</v>
      </c>
      <c r="T68" s="16">
        <v>0.0</v>
      </c>
      <c r="U68" s="16">
        <v>1.0</v>
      </c>
      <c r="V68" s="16">
        <v>0.0</v>
      </c>
      <c r="W68" s="16">
        <v>0.0</v>
      </c>
      <c r="X68" s="16">
        <v>0.0</v>
      </c>
      <c r="Y68" s="16">
        <v>0.0</v>
      </c>
      <c r="Z68" s="16">
        <v>0.0</v>
      </c>
      <c r="AA68" s="16">
        <v>0.0</v>
      </c>
      <c r="AB68" s="16">
        <v>8.0</v>
      </c>
      <c r="AC68" s="16">
        <v>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6">
        <v>0.0</v>
      </c>
      <c r="AJ68" s="16">
        <v>120.0</v>
      </c>
      <c r="AK68" s="17">
        <v>0.55</v>
      </c>
      <c r="AL68" s="17">
        <v>0.0</v>
      </c>
      <c r="AM68" s="17">
        <v>0.375</v>
      </c>
      <c r="AN68" s="17">
        <v>0.0083</v>
      </c>
      <c r="AO68" s="17">
        <v>0.0667</v>
      </c>
    </row>
    <row r="69" ht="14.25" customHeight="1">
      <c r="A69" s="21">
        <v>45287.0</v>
      </c>
      <c r="B69" s="11" t="s">
        <v>42</v>
      </c>
      <c r="C69" s="11">
        <v>11.5</v>
      </c>
      <c r="D69" s="11">
        <v>9.7</v>
      </c>
      <c r="E69" s="11">
        <v>10.3</v>
      </c>
      <c r="F69" s="11">
        <v>29.0</v>
      </c>
      <c r="G69" s="1"/>
      <c r="H69" s="11">
        <v>39.0</v>
      </c>
      <c r="I69" s="11">
        <v>30.0</v>
      </c>
      <c r="J69" s="11">
        <v>1.0</v>
      </c>
      <c r="K69" s="11">
        <v>4.0</v>
      </c>
      <c r="L69" s="1"/>
      <c r="M69" s="11">
        <v>8.0</v>
      </c>
      <c r="N69" s="1"/>
      <c r="O69" s="11">
        <v>25.0</v>
      </c>
      <c r="P69" s="11">
        <v>2.0</v>
      </c>
      <c r="Q69" s="11">
        <v>1.0</v>
      </c>
      <c r="R69" s="11">
        <v>7.0</v>
      </c>
      <c r="S69" s="11">
        <v>2.0</v>
      </c>
      <c r="T69" s="1"/>
      <c r="U69" s="11">
        <v>3.0</v>
      </c>
      <c r="V69" s="11">
        <v>2.0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3" t="s">
        <v>47</v>
      </c>
      <c r="AH69" s="1"/>
      <c r="AI69" s="1"/>
      <c r="AJ69" s="1">
        <f>SUM(G69:AI69)</f>
        <v>124</v>
      </c>
      <c r="AK69" s="14">
        <f>SUM(G69:J69)/120</f>
        <v>0.5833333333</v>
      </c>
      <c r="AL69" s="14">
        <f>SUM(K69:N69)/120</f>
        <v>0.1</v>
      </c>
      <c r="AM69" s="14">
        <f> SUM(O69:T69)/120</f>
        <v>0.3083333333</v>
      </c>
      <c r="AN69" s="14">
        <f>SUM(U69:AA69)/120</f>
        <v>0.04166666667</v>
      </c>
      <c r="AO69" s="14">
        <f>SUM(AB69:AI69)/120</f>
        <v>0</v>
      </c>
    </row>
    <row r="70" ht="14.25" customHeight="1">
      <c r="A70" s="22">
        <v>45287.0</v>
      </c>
      <c r="B70" s="16" t="s">
        <v>42</v>
      </c>
      <c r="C70" s="16">
        <v>11.5</v>
      </c>
      <c r="D70" s="16">
        <v>9.7</v>
      </c>
      <c r="E70" s="16">
        <v>10.3</v>
      </c>
      <c r="F70" s="16">
        <v>29.0</v>
      </c>
      <c r="G70" s="16">
        <v>0.0</v>
      </c>
      <c r="H70" s="16">
        <v>39.0</v>
      </c>
      <c r="I70" s="16">
        <v>30.0</v>
      </c>
      <c r="J70" s="16">
        <v>1.0</v>
      </c>
      <c r="K70" s="16">
        <v>4.0</v>
      </c>
      <c r="L70" s="16">
        <v>0.0</v>
      </c>
      <c r="M70" s="16">
        <v>8.0</v>
      </c>
      <c r="N70" s="16">
        <v>0.0</v>
      </c>
      <c r="O70" s="16">
        <v>25.0</v>
      </c>
      <c r="P70" s="16">
        <v>2.0</v>
      </c>
      <c r="Q70" s="16">
        <v>1.0</v>
      </c>
      <c r="R70" s="16">
        <v>7.0</v>
      </c>
      <c r="S70" s="16">
        <v>2.0</v>
      </c>
      <c r="T70" s="16">
        <v>0.0</v>
      </c>
      <c r="U70" s="16">
        <v>3.0</v>
      </c>
      <c r="V70" s="16">
        <v>2.0</v>
      </c>
      <c r="W70" s="16">
        <v>0.0</v>
      </c>
      <c r="X70" s="16">
        <v>0.0</v>
      </c>
      <c r="Y70" s="16">
        <v>0.0</v>
      </c>
      <c r="Z70" s="16">
        <v>0.0</v>
      </c>
      <c r="AA70" s="16">
        <v>0.0</v>
      </c>
      <c r="AB70" s="16">
        <v>0.0</v>
      </c>
      <c r="AC70" s="16">
        <v>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6">
        <v>0.0</v>
      </c>
      <c r="AJ70" s="16">
        <v>124.0</v>
      </c>
      <c r="AK70" s="17">
        <v>0.5833</v>
      </c>
      <c r="AL70" s="17">
        <v>0.1</v>
      </c>
      <c r="AM70" s="17">
        <v>0.3083</v>
      </c>
      <c r="AN70" s="17">
        <v>0.0417</v>
      </c>
      <c r="AO70" s="17">
        <v>0.0</v>
      </c>
    </row>
    <row r="71" ht="14.25" customHeight="1">
      <c r="A71" s="21">
        <v>45287.0</v>
      </c>
      <c r="B71" s="11" t="s">
        <v>43</v>
      </c>
      <c r="C71" s="11">
        <v>12.3</v>
      </c>
      <c r="D71" s="11">
        <v>3.3</v>
      </c>
      <c r="E71" s="11">
        <v>2.7</v>
      </c>
      <c r="F71" s="11">
        <v>29.0</v>
      </c>
      <c r="G71" s="1"/>
      <c r="H71" s="11">
        <v>30.0</v>
      </c>
      <c r="I71" s="11">
        <v>5.0</v>
      </c>
      <c r="J71" s="11">
        <v>5.0</v>
      </c>
      <c r="K71" s="11">
        <v>15.0</v>
      </c>
      <c r="L71" s="1"/>
      <c r="M71" s="11">
        <v>2.0</v>
      </c>
      <c r="N71" s="1"/>
      <c r="O71" s="11">
        <v>10.0</v>
      </c>
      <c r="P71" s="1"/>
      <c r="Q71" s="11">
        <v>1.0</v>
      </c>
      <c r="R71" s="11">
        <v>6.0</v>
      </c>
      <c r="S71" s="11">
        <v>5.0</v>
      </c>
      <c r="T71" s="1"/>
      <c r="U71" s="11">
        <v>12.0</v>
      </c>
      <c r="V71" s="11">
        <v>4.0</v>
      </c>
      <c r="W71" s="1"/>
      <c r="X71" s="1"/>
      <c r="Y71" s="1"/>
      <c r="Z71" s="1"/>
      <c r="AA71" s="1"/>
      <c r="AB71" s="11">
        <v>15.0</v>
      </c>
      <c r="AC71" s="1"/>
      <c r="AD71" s="11">
        <v>9.0</v>
      </c>
      <c r="AE71" s="11">
        <v>1.0</v>
      </c>
      <c r="AF71" s="1"/>
      <c r="AG71" s="1"/>
      <c r="AH71" s="1"/>
      <c r="AI71" s="1"/>
      <c r="AJ71" s="1">
        <f>SUM(G71:AI71)</f>
        <v>120</v>
      </c>
      <c r="AK71" s="14">
        <f>SUM(G71:J71)/120</f>
        <v>0.3333333333</v>
      </c>
      <c r="AL71" s="14">
        <f>SUM(K71:N71)/120</f>
        <v>0.1416666667</v>
      </c>
      <c r="AM71" s="14">
        <f> SUM(O71:T71)/120</f>
        <v>0.1833333333</v>
      </c>
      <c r="AN71" s="14">
        <f>SUM(U71:AA71)/120</f>
        <v>0.1333333333</v>
      </c>
      <c r="AO71" s="14">
        <f>SUM(AB71:AI71)/120</f>
        <v>0.2083333333</v>
      </c>
    </row>
    <row r="72" ht="14.25" customHeight="1">
      <c r="A72" s="22">
        <v>45287.0</v>
      </c>
      <c r="B72" s="16" t="s">
        <v>43</v>
      </c>
      <c r="C72" s="16">
        <v>12.3</v>
      </c>
      <c r="D72" s="16">
        <v>3.3</v>
      </c>
      <c r="E72" s="16">
        <v>2.7</v>
      </c>
      <c r="F72" s="16">
        <v>29.0</v>
      </c>
      <c r="G72" s="16">
        <v>0.0</v>
      </c>
      <c r="H72" s="16">
        <v>30.0</v>
      </c>
      <c r="I72" s="16">
        <v>5.0</v>
      </c>
      <c r="J72" s="16">
        <v>5.0</v>
      </c>
      <c r="K72" s="16">
        <v>15.0</v>
      </c>
      <c r="L72" s="16">
        <v>0.0</v>
      </c>
      <c r="M72" s="16">
        <v>2.0</v>
      </c>
      <c r="N72" s="16">
        <v>0.0</v>
      </c>
      <c r="O72" s="16">
        <v>10.0</v>
      </c>
      <c r="P72" s="16">
        <v>0.0</v>
      </c>
      <c r="Q72" s="16">
        <v>1.0</v>
      </c>
      <c r="R72" s="16">
        <v>6.0</v>
      </c>
      <c r="S72" s="16">
        <v>5.0</v>
      </c>
      <c r="T72" s="16">
        <v>0.0</v>
      </c>
      <c r="U72" s="16">
        <v>12.0</v>
      </c>
      <c r="V72" s="16">
        <v>4.0</v>
      </c>
      <c r="W72" s="16">
        <v>0.0</v>
      </c>
      <c r="X72" s="16">
        <v>0.0</v>
      </c>
      <c r="Y72" s="16">
        <v>0.0</v>
      </c>
      <c r="Z72" s="16">
        <v>0.0</v>
      </c>
      <c r="AA72" s="16">
        <v>0.0</v>
      </c>
      <c r="AB72" s="16">
        <v>15.0</v>
      </c>
      <c r="AC72" s="16">
        <v>0.0</v>
      </c>
      <c r="AD72" s="16">
        <v>9.0</v>
      </c>
      <c r="AE72" s="16">
        <v>1.0</v>
      </c>
      <c r="AF72" s="16">
        <v>0.0</v>
      </c>
      <c r="AG72" s="16">
        <v>0.0</v>
      </c>
      <c r="AH72" s="16">
        <v>0.0</v>
      </c>
      <c r="AI72" s="16">
        <v>0.0</v>
      </c>
      <c r="AJ72" s="16">
        <v>120.0</v>
      </c>
      <c r="AK72" s="17">
        <v>0.3333</v>
      </c>
      <c r="AL72" s="17">
        <v>0.1417</v>
      </c>
      <c r="AM72" s="17">
        <v>0.1833</v>
      </c>
      <c r="AN72" s="17">
        <v>0.1333</v>
      </c>
      <c r="AO72" s="17">
        <v>0.2083</v>
      </c>
    </row>
    <row r="73" ht="14.25" customHeight="1">
      <c r="A73" s="21">
        <v>45288.0</v>
      </c>
      <c r="B73" s="11" t="s">
        <v>41</v>
      </c>
      <c r="C73" s="11">
        <v>9.0</v>
      </c>
      <c r="D73" s="11">
        <v>12.3</v>
      </c>
      <c r="E73" s="11">
        <v>12.9</v>
      </c>
      <c r="F73" s="11">
        <v>29.0</v>
      </c>
      <c r="G73" s="1"/>
      <c r="H73" s="11">
        <v>56.0</v>
      </c>
      <c r="I73" s="11">
        <v>5.0</v>
      </c>
      <c r="J73" s="1"/>
      <c r="K73" s="11">
        <v>41.0</v>
      </c>
      <c r="L73" s="1"/>
      <c r="M73" s="1"/>
      <c r="N73" s="1"/>
      <c r="O73" s="11">
        <v>3.0</v>
      </c>
      <c r="P73" s="1"/>
      <c r="Q73" s="11">
        <v>1.0</v>
      </c>
      <c r="R73" s="11">
        <v>9.0</v>
      </c>
      <c r="S73" s="11">
        <v>3.0</v>
      </c>
      <c r="T73" s="1"/>
      <c r="U73" s="11">
        <v>1.0</v>
      </c>
      <c r="V73" s="11">
        <v>1.0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>
        <f>SUM(G73:AI73)</f>
        <v>120</v>
      </c>
      <c r="AK73" s="14">
        <f>SUM(G73:J73)/120</f>
        <v>0.5083333333</v>
      </c>
      <c r="AL73" s="14">
        <f>SUM(K73:N73)/120</f>
        <v>0.3416666667</v>
      </c>
      <c r="AM73" s="14">
        <f> SUM(O73:T73)/120</f>
        <v>0.1333333333</v>
      </c>
      <c r="AN73" s="14">
        <f>SUM(U73:AA73)/120</f>
        <v>0.01666666667</v>
      </c>
      <c r="AO73" s="14">
        <f>SUM(AB73:AI73)/120</f>
        <v>0</v>
      </c>
    </row>
    <row r="74" ht="14.25" customHeight="1">
      <c r="A74" s="22">
        <v>45288.0</v>
      </c>
      <c r="B74" s="18" t="s">
        <v>41</v>
      </c>
      <c r="C74" s="16">
        <v>9.0</v>
      </c>
      <c r="D74" s="16">
        <v>12.3</v>
      </c>
      <c r="E74" s="16">
        <v>12.9</v>
      </c>
      <c r="F74" s="16">
        <v>29.0</v>
      </c>
      <c r="G74" s="16">
        <v>0.0</v>
      </c>
      <c r="H74" s="16">
        <v>56.0</v>
      </c>
      <c r="I74" s="16">
        <v>5.0</v>
      </c>
      <c r="J74" s="16"/>
      <c r="K74" s="16">
        <v>41.0</v>
      </c>
      <c r="L74" s="16">
        <v>0.0</v>
      </c>
      <c r="M74" s="16">
        <v>0.0</v>
      </c>
      <c r="N74" s="16">
        <v>0.0</v>
      </c>
      <c r="O74" s="16">
        <v>3.0</v>
      </c>
      <c r="P74" s="16">
        <v>0.0</v>
      </c>
      <c r="Q74" s="16">
        <v>1.0</v>
      </c>
      <c r="R74" s="16">
        <v>9.0</v>
      </c>
      <c r="S74" s="16">
        <v>3.0</v>
      </c>
      <c r="T74" s="16">
        <v>0.0</v>
      </c>
      <c r="U74" s="16">
        <v>1.0</v>
      </c>
      <c r="V74" s="16">
        <v>1.0</v>
      </c>
      <c r="W74" s="16">
        <v>0.0</v>
      </c>
      <c r="X74" s="16">
        <v>0.0</v>
      </c>
      <c r="Y74" s="16">
        <v>0.0</v>
      </c>
      <c r="Z74" s="16">
        <v>0.0</v>
      </c>
      <c r="AA74" s="16">
        <v>0.0</v>
      </c>
      <c r="AB74" s="16">
        <v>0.0</v>
      </c>
      <c r="AC74" s="16">
        <v>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6">
        <v>0.0</v>
      </c>
      <c r="AJ74" s="16">
        <v>120.0</v>
      </c>
      <c r="AK74" s="17">
        <v>0.5083</v>
      </c>
      <c r="AL74" s="17">
        <v>0.3417</v>
      </c>
      <c r="AM74" s="17">
        <v>0.1333</v>
      </c>
      <c r="AN74" s="17">
        <v>0.0167</v>
      </c>
      <c r="AO74" s="17">
        <v>0.0</v>
      </c>
    </row>
    <row r="75" ht="14.25" customHeight="1">
      <c r="A75" s="21">
        <v>45288.0</v>
      </c>
      <c r="B75" s="11" t="s">
        <v>45</v>
      </c>
      <c r="C75" s="11">
        <v>9.0</v>
      </c>
      <c r="D75" s="11">
        <v>10.9</v>
      </c>
      <c r="E75" s="11">
        <v>13.1</v>
      </c>
      <c r="F75" s="11">
        <v>29.0</v>
      </c>
      <c r="G75" s="1"/>
      <c r="H75" s="11">
        <v>29.0</v>
      </c>
      <c r="I75" s="11">
        <v>7.0</v>
      </c>
      <c r="J75" s="11">
        <v>1.0</v>
      </c>
      <c r="K75" s="11">
        <v>21.0</v>
      </c>
      <c r="L75" s="1"/>
      <c r="M75" s="11">
        <v>1.0</v>
      </c>
      <c r="N75" s="1"/>
      <c r="O75" s="11">
        <v>43.0</v>
      </c>
      <c r="P75" s="1"/>
      <c r="Q75" s="11">
        <v>1.0</v>
      </c>
      <c r="R75" s="11">
        <v>3.0</v>
      </c>
      <c r="S75" s="11">
        <v>5.0</v>
      </c>
      <c r="T75" s="1"/>
      <c r="U75" s="11">
        <v>1.0</v>
      </c>
      <c r="V75" s="11">
        <v>1.0</v>
      </c>
      <c r="W75" s="1"/>
      <c r="X75" s="1"/>
      <c r="Y75" s="1"/>
      <c r="Z75" s="1"/>
      <c r="AA75" s="1"/>
      <c r="AB75" s="11">
        <v>1.0</v>
      </c>
      <c r="AC75" s="1"/>
      <c r="AD75" s="1"/>
      <c r="AE75" s="1"/>
      <c r="AF75" s="1"/>
      <c r="AG75" s="1"/>
      <c r="AH75" s="11">
        <v>4.0</v>
      </c>
      <c r="AI75" s="11" t="s">
        <v>48</v>
      </c>
      <c r="AJ75" s="1">
        <f>SUM(G75:AI75)</f>
        <v>118</v>
      </c>
      <c r="AK75" s="14">
        <f>SUM(G75:J75)/120</f>
        <v>0.3083333333</v>
      </c>
      <c r="AL75" s="14">
        <f>SUM(K75:N75)/120</f>
        <v>0.1833333333</v>
      </c>
      <c r="AM75" s="14">
        <f> SUM(O75:T75)/120</f>
        <v>0.4333333333</v>
      </c>
      <c r="AN75" s="14">
        <f>SUM(U75:AA75)/120</f>
        <v>0.01666666667</v>
      </c>
      <c r="AO75" s="14">
        <f>SUM(AB75:AI75)/120</f>
        <v>0.04166666667</v>
      </c>
    </row>
    <row r="76" ht="14.25" customHeight="1">
      <c r="A76" s="22">
        <v>45288.0</v>
      </c>
      <c r="B76" s="16" t="s">
        <v>45</v>
      </c>
      <c r="C76" s="16">
        <v>9.0</v>
      </c>
      <c r="D76" s="16">
        <v>10.9</v>
      </c>
      <c r="E76" s="16">
        <v>13.1</v>
      </c>
      <c r="F76" s="16">
        <v>29.0</v>
      </c>
      <c r="G76" s="16">
        <v>0.0</v>
      </c>
      <c r="H76" s="16">
        <v>29.0</v>
      </c>
      <c r="I76" s="16">
        <v>7.0</v>
      </c>
      <c r="J76" s="16">
        <v>1.0</v>
      </c>
      <c r="K76" s="16">
        <v>21.0</v>
      </c>
      <c r="L76" s="16">
        <v>0.0</v>
      </c>
      <c r="M76" s="16">
        <v>1.0</v>
      </c>
      <c r="N76" s="16">
        <v>0.0</v>
      </c>
      <c r="O76" s="16">
        <v>43.0</v>
      </c>
      <c r="P76" s="16">
        <v>0.0</v>
      </c>
      <c r="Q76" s="16">
        <v>1.0</v>
      </c>
      <c r="R76" s="16">
        <v>3.0</v>
      </c>
      <c r="S76" s="16">
        <v>5.0</v>
      </c>
      <c r="T76" s="16">
        <v>0.0</v>
      </c>
      <c r="U76" s="16">
        <v>1.0</v>
      </c>
      <c r="V76" s="16">
        <v>1.0</v>
      </c>
      <c r="W76" s="16">
        <v>0.0</v>
      </c>
      <c r="X76" s="16">
        <v>0.0</v>
      </c>
      <c r="Y76" s="16">
        <v>0.0</v>
      </c>
      <c r="Z76" s="16">
        <v>0.0</v>
      </c>
      <c r="AA76" s="16">
        <v>0.0</v>
      </c>
      <c r="AB76" s="16">
        <v>1.0</v>
      </c>
      <c r="AC76" s="16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6">
        <v>0.0</v>
      </c>
      <c r="AJ76" s="16">
        <v>114.0</v>
      </c>
      <c r="AK76" s="17">
        <v>0.3083</v>
      </c>
      <c r="AL76" s="17">
        <v>0.1833</v>
      </c>
      <c r="AM76" s="17">
        <v>0.4333</v>
      </c>
      <c r="AN76" s="17">
        <v>0.0167</v>
      </c>
      <c r="AO76" s="17">
        <v>0.0083</v>
      </c>
    </row>
    <row r="77" ht="14.25" customHeight="1">
      <c r="A77" s="24">
        <v>45289.0</v>
      </c>
      <c r="B77" s="11" t="s">
        <v>42</v>
      </c>
      <c r="C77" s="11">
        <v>11.9</v>
      </c>
      <c r="D77" s="11">
        <v>8.1</v>
      </c>
      <c r="E77" s="11">
        <v>7.7</v>
      </c>
      <c r="F77" s="11">
        <v>29.0</v>
      </c>
      <c r="G77" s="1"/>
      <c r="H77" s="11">
        <v>15.0</v>
      </c>
      <c r="I77" s="11">
        <v>16.0</v>
      </c>
      <c r="J77" s="11">
        <v>22.0</v>
      </c>
      <c r="K77" s="11">
        <v>19.0</v>
      </c>
      <c r="L77" s="1"/>
      <c r="M77" s="1"/>
      <c r="N77" s="1"/>
      <c r="O77" s="11">
        <v>25.0</v>
      </c>
      <c r="P77" s="1"/>
      <c r="Q77" s="11">
        <v>2.0</v>
      </c>
      <c r="R77" s="11">
        <v>7.0</v>
      </c>
      <c r="S77" s="11">
        <v>4.0</v>
      </c>
      <c r="T77" s="1"/>
      <c r="U77" s="11">
        <v>10.0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>
        <f>SUM(G77:AI77)</f>
        <v>120</v>
      </c>
      <c r="AK77" s="14">
        <f>SUM(G77:J77)/120</f>
        <v>0.4416666667</v>
      </c>
      <c r="AL77" s="14">
        <f>SUM(K77:N77)/120</f>
        <v>0.1583333333</v>
      </c>
      <c r="AM77" s="14">
        <f> SUM(O77:T77)/120</f>
        <v>0.3166666667</v>
      </c>
      <c r="AN77" s="14">
        <f>SUM(U77:AA77)/120</f>
        <v>0.08333333333</v>
      </c>
      <c r="AO77" s="14">
        <f>SUM(AB77:AI77)/120</f>
        <v>0</v>
      </c>
    </row>
    <row r="78" ht="14.25" customHeight="1">
      <c r="A78" s="25">
        <v>45289.0</v>
      </c>
      <c r="B78" s="16" t="s">
        <v>42</v>
      </c>
      <c r="C78" s="16">
        <v>11.9</v>
      </c>
      <c r="D78" s="16">
        <v>8.1</v>
      </c>
      <c r="E78" s="16">
        <v>7.7</v>
      </c>
      <c r="F78" s="16">
        <v>29.0</v>
      </c>
      <c r="G78" s="16">
        <v>0.0</v>
      </c>
      <c r="H78" s="16">
        <v>15.0</v>
      </c>
      <c r="I78" s="16">
        <v>16.0</v>
      </c>
      <c r="J78" s="16">
        <v>22.0</v>
      </c>
      <c r="K78" s="16">
        <v>19.0</v>
      </c>
      <c r="L78" s="16">
        <v>0.0</v>
      </c>
      <c r="M78" s="16">
        <v>0.0</v>
      </c>
      <c r="N78" s="16">
        <v>0.0</v>
      </c>
      <c r="O78" s="16">
        <v>25.0</v>
      </c>
      <c r="P78" s="16">
        <v>0.0</v>
      </c>
      <c r="Q78" s="16">
        <v>2.0</v>
      </c>
      <c r="R78" s="16">
        <v>7.0</v>
      </c>
      <c r="S78" s="16">
        <v>4.0</v>
      </c>
      <c r="T78" s="16">
        <v>0.0</v>
      </c>
      <c r="U78" s="16">
        <v>10.0</v>
      </c>
      <c r="V78" s="16">
        <v>0.0</v>
      </c>
      <c r="W78" s="16">
        <v>0.0</v>
      </c>
      <c r="X78" s="16">
        <v>0.0</v>
      </c>
      <c r="Y78" s="16">
        <v>0.0</v>
      </c>
      <c r="Z78" s="16">
        <v>0.0</v>
      </c>
      <c r="AA78" s="16">
        <v>0.0</v>
      </c>
      <c r="AB78" s="16">
        <v>0.0</v>
      </c>
      <c r="AC78" s="16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6">
        <v>0.0</v>
      </c>
      <c r="AJ78" s="16">
        <v>120.0</v>
      </c>
      <c r="AK78" s="17">
        <v>0.4417</v>
      </c>
      <c r="AL78" s="17">
        <v>0.1583</v>
      </c>
      <c r="AM78" s="17">
        <v>0.3167</v>
      </c>
      <c r="AN78" s="17">
        <v>0.0833</v>
      </c>
      <c r="AO78" s="17">
        <v>0.0</v>
      </c>
    </row>
    <row r="79" ht="14.25" customHeight="1">
      <c r="A79" s="24">
        <v>45289.0</v>
      </c>
      <c r="B79" s="11" t="s">
        <v>43</v>
      </c>
      <c r="C79" s="11">
        <v>11.3</v>
      </c>
      <c r="D79" s="11">
        <v>8.4</v>
      </c>
      <c r="E79" s="11">
        <v>10.3</v>
      </c>
      <c r="F79" s="11">
        <v>29.0</v>
      </c>
      <c r="G79" s="1"/>
      <c r="H79" s="11">
        <v>14.0</v>
      </c>
      <c r="I79" s="11">
        <v>8.0</v>
      </c>
      <c r="J79" s="11">
        <v>17.0</v>
      </c>
      <c r="K79" s="11">
        <v>17.0</v>
      </c>
      <c r="L79" s="1"/>
      <c r="M79" s="11">
        <v>4.0</v>
      </c>
      <c r="N79" s="1"/>
      <c r="O79" s="11">
        <v>15.0</v>
      </c>
      <c r="P79" s="1"/>
      <c r="Q79" s="1"/>
      <c r="R79" s="11">
        <v>14.0</v>
      </c>
      <c r="S79" s="1"/>
      <c r="T79" s="1"/>
      <c r="U79" s="11">
        <v>31.0</v>
      </c>
      <c r="V79" s="1"/>
      <c r="W79" s="11">
        <v>3.0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1" t="s">
        <v>49</v>
      </c>
      <c r="AJ79" s="1">
        <f>SUM(G79:AI79)</f>
        <v>123</v>
      </c>
      <c r="AK79" s="14">
        <f>SUM(G79:J79)/120</f>
        <v>0.325</v>
      </c>
      <c r="AL79" s="14">
        <f>SUM(K79:N79)/120</f>
        <v>0.175</v>
      </c>
      <c r="AM79" s="14">
        <f> SUM(O79:T79)/120</f>
        <v>0.2416666667</v>
      </c>
      <c r="AN79" s="14">
        <f>SUM(U79:AA79)/120</f>
        <v>0.2833333333</v>
      </c>
      <c r="AO79" s="14">
        <f>SUM(AB79:AI79)/120</f>
        <v>0</v>
      </c>
    </row>
    <row r="80" ht="14.25" customHeight="1">
      <c r="A80" s="25">
        <v>45289.0</v>
      </c>
      <c r="B80" s="16" t="s">
        <v>43</v>
      </c>
      <c r="C80" s="16">
        <v>11.3</v>
      </c>
      <c r="D80" s="16">
        <v>8.4</v>
      </c>
      <c r="E80" s="16">
        <v>10.3</v>
      </c>
      <c r="F80" s="16">
        <v>29.0</v>
      </c>
      <c r="G80" s="16">
        <v>0.0</v>
      </c>
      <c r="H80" s="16">
        <v>14.0</v>
      </c>
      <c r="I80" s="16">
        <v>8.0</v>
      </c>
      <c r="J80" s="16">
        <v>17.0</v>
      </c>
      <c r="K80" s="16">
        <v>17.0</v>
      </c>
      <c r="L80" s="16">
        <v>0.0</v>
      </c>
      <c r="M80" s="16">
        <v>4.0</v>
      </c>
      <c r="N80" s="16">
        <v>0.0</v>
      </c>
      <c r="O80" s="16">
        <v>15.0</v>
      </c>
      <c r="P80" s="16">
        <v>0.0</v>
      </c>
      <c r="Q80" s="16">
        <v>0.0</v>
      </c>
      <c r="R80" s="16">
        <v>14.0</v>
      </c>
      <c r="S80" s="16">
        <v>0.0</v>
      </c>
      <c r="T80" s="16">
        <v>0.0</v>
      </c>
      <c r="U80" s="16">
        <v>31.0</v>
      </c>
      <c r="V80" s="16">
        <v>0.0</v>
      </c>
      <c r="W80" s="16">
        <v>3.0</v>
      </c>
      <c r="X80" s="16">
        <v>0.0</v>
      </c>
      <c r="Y80" s="16">
        <v>0.0</v>
      </c>
      <c r="Z80" s="16">
        <v>0.0</v>
      </c>
      <c r="AA80" s="16">
        <v>0.0</v>
      </c>
      <c r="AB80" s="16">
        <v>0.0</v>
      </c>
      <c r="AC80" s="16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6">
        <v>0.0</v>
      </c>
      <c r="AJ80" s="16">
        <v>123.0</v>
      </c>
      <c r="AK80" s="17">
        <v>0.325</v>
      </c>
      <c r="AL80" s="17">
        <v>0.175</v>
      </c>
      <c r="AM80" s="17">
        <v>0.2417</v>
      </c>
      <c r="AN80" s="17">
        <v>0.2833</v>
      </c>
      <c r="AO80" s="17">
        <v>0.0</v>
      </c>
    </row>
    <row r="81" ht="14.25" customHeight="1">
      <c r="A81" s="26">
        <v>45292.0</v>
      </c>
      <c r="B81" s="11" t="s">
        <v>41</v>
      </c>
      <c r="C81" s="11">
        <v>14.9</v>
      </c>
      <c r="D81" s="11">
        <v>11.9</v>
      </c>
      <c r="E81" s="11">
        <v>14.2</v>
      </c>
      <c r="F81" s="11">
        <v>29.0</v>
      </c>
      <c r="G81" s="1"/>
      <c r="H81" s="11">
        <v>83.0</v>
      </c>
      <c r="I81" s="11">
        <v>1.0</v>
      </c>
      <c r="J81" s="1"/>
      <c r="K81" s="11">
        <v>9.0</v>
      </c>
      <c r="L81" s="1"/>
      <c r="M81" s="1"/>
      <c r="N81" s="1"/>
      <c r="O81" s="11">
        <v>13.0</v>
      </c>
      <c r="P81" s="11">
        <v>4.0</v>
      </c>
      <c r="Q81" s="1"/>
      <c r="R81" s="11">
        <v>4.0</v>
      </c>
      <c r="S81" s="1"/>
      <c r="T81" s="1"/>
      <c r="U81" s="11">
        <v>2.0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1">
        <v>4.0</v>
      </c>
      <c r="AI81" s="1"/>
      <c r="AJ81" s="1">
        <f>SUM(G81:AI81)</f>
        <v>120</v>
      </c>
      <c r="AK81" s="14">
        <f>SUM(G81:J81)/120</f>
        <v>0.7</v>
      </c>
      <c r="AL81" s="14">
        <f>SUM(K81:N81)/120</f>
        <v>0.075</v>
      </c>
      <c r="AM81" s="14">
        <f> SUM(O81:T81)/120</f>
        <v>0.175</v>
      </c>
      <c r="AN81" s="14">
        <f>SUM(U81:AA81)/120</f>
        <v>0.01666666667</v>
      </c>
      <c r="AO81" s="14">
        <f>SUM(AB81:AI81)/120</f>
        <v>0.03333333333</v>
      </c>
    </row>
    <row r="82" ht="14.25" customHeight="1">
      <c r="A82" s="27">
        <v>45292.0</v>
      </c>
      <c r="B82" s="18" t="s">
        <v>41</v>
      </c>
      <c r="C82" s="16">
        <v>14.9</v>
      </c>
      <c r="D82" s="16">
        <v>11.9</v>
      </c>
      <c r="E82" s="16">
        <v>14.2</v>
      </c>
      <c r="F82" s="16">
        <v>29.0</v>
      </c>
      <c r="G82" s="16">
        <v>0.0</v>
      </c>
      <c r="H82" s="16">
        <v>83.0</v>
      </c>
      <c r="I82" s="16">
        <v>1.0</v>
      </c>
      <c r="J82" s="16"/>
      <c r="K82" s="16">
        <v>9.0</v>
      </c>
      <c r="L82" s="16">
        <v>0.0</v>
      </c>
      <c r="M82" s="16">
        <v>0.0</v>
      </c>
      <c r="N82" s="16">
        <v>0.0</v>
      </c>
      <c r="O82" s="16">
        <v>13.0</v>
      </c>
      <c r="P82" s="16">
        <v>4.0</v>
      </c>
      <c r="Q82" s="16">
        <v>0.0</v>
      </c>
      <c r="R82" s="16">
        <v>4.0</v>
      </c>
      <c r="S82" s="16">
        <v>0.0</v>
      </c>
      <c r="T82" s="16">
        <v>0.0</v>
      </c>
      <c r="U82" s="16">
        <v>2.0</v>
      </c>
      <c r="V82" s="16">
        <v>0.0</v>
      </c>
      <c r="W82" s="16">
        <v>0.0</v>
      </c>
      <c r="X82" s="16">
        <v>0.0</v>
      </c>
      <c r="Y82" s="16">
        <v>0.0</v>
      </c>
      <c r="Z82" s="16">
        <v>0.0</v>
      </c>
      <c r="AA82" s="16">
        <v>0.0</v>
      </c>
      <c r="AB82" s="16">
        <v>0.0</v>
      </c>
      <c r="AC82" s="16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6">
        <v>0.0</v>
      </c>
      <c r="AJ82" s="16">
        <v>116.0</v>
      </c>
      <c r="AK82" s="17">
        <v>0.7</v>
      </c>
      <c r="AL82" s="17">
        <v>0.075</v>
      </c>
      <c r="AM82" s="17">
        <v>0.175</v>
      </c>
      <c r="AN82" s="17">
        <v>0.0167</v>
      </c>
      <c r="AO82" s="17">
        <v>0.0</v>
      </c>
    </row>
    <row r="83" ht="14.25" customHeight="1">
      <c r="A83" s="26">
        <v>45292.0</v>
      </c>
      <c r="B83" s="11" t="s">
        <v>42</v>
      </c>
      <c r="C83" s="11">
        <v>14.8</v>
      </c>
      <c r="D83" s="11">
        <v>9.1</v>
      </c>
      <c r="E83" s="11">
        <v>8.2</v>
      </c>
      <c r="F83" s="11">
        <v>29.0</v>
      </c>
      <c r="G83" s="1"/>
      <c r="H83" s="11">
        <v>18.0</v>
      </c>
      <c r="I83" s="11">
        <v>16.0</v>
      </c>
      <c r="J83" s="11">
        <v>4.0</v>
      </c>
      <c r="K83" s="11">
        <v>45.0</v>
      </c>
      <c r="L83" s="1"/>
      <c r="M83" s="11">
        <v>7.0</v>
      </c>
      <c r="N83" s="1"/>
      <c r="O83" s="11">
        <v>17.0</v>
      </c>
      <c r="P83" s="1"/>
      <c r="Q83" s="1"/>
      <c r="R83" s="11">
        <v>4.0</v>
      </c>
      <c r="S83" s="11">
        <v>4.0</v>
      </c>
      <c r="T83" s="1"/>
      <c r="U83" s="11">
        <v>5.0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>
        <f>SUM(G83:AI83)</f>
        <v>120</v>
      </c>
      <c r="AK83" s="14">
        <f>SUM(G83:J83)/120</f>
        <v>0.3166666667</v>
      </c>
      <c r="AL83" s="14">
        <f>SUM(K83:N83)/120</f>
        <v>0.4333333333</v>
      </c>
      <c r="AM83" s="14">
        <f> SUM(O83:T83)/120</f>
        <v>0.2083333333</v>
      </c>
      <c r="AN83" s="14">
        <f>SUM(U83:AA83)/120</f>
        <v>0.04166666667</v>
      </c>
      <c r="AO83" s="14">
        <f>SUM(AB83:AI83)/120</f>
        <v>0</v>
      </c>
    </row>
    <row r="84" ht="14.25" customHeight="1">
      <c r="A84" s="27">
        <v>45292.0</v>
      </c>
      <c r="B84" s="16" t="s">
        <v>42</v>
      </c>
      <c r="C84" s="16">
        <v>14.8</v>
      </c>
      <c r="D84" s="16">
        <v>9.1</v>
      </c>
      <c r="E84" s="16">
        <v>8.2</v>
      </c>
      <c r="F84" s="16">
        <v>29.0</v>
      </c>
      <c r="G84" s="16">
        <v>0.0</v>
      </c>
      <c r="H84" s="16">
        <v>18.0</v>
      </c>
      <c r="I84" s="16">
        <v>16.0</v>
      </c>
      <c r="J84" s="16">
        <v>4.0</v>
      </c>
      <c r="K84" s="16">
        <v>45.0</v>
      </c>
      <c r="L84" s="16">
        <v>0.0</v>
      </c>
      <c r="M84" s="16">
        <v>7.0</v>
      </c>
      <c r="N84" s="16">
        <v>0.0</v>
      </c>
      <c r="O84" s="16">
        <v>17.0</v>
      </c>
      <c r="P84" s="16">
        <v>0.0</v>
      </c>
      <c r="Q84" s="16">
        <v>0.0</v>
      </c>
      <c r="R84" s="16">
        <v>4.0</v>
      </c>
      <c r="S84" s="16">
        <v>4.0</v>
      </c>
      <c r="T84" s="16">
        <v>0.0</v>
      </c>
      <c r="U84" s="16">
        <v>5.0</v>
      </c>
      <c r="V84" s="16">
        <v>0.0</v>
      </c>
      <c r="W84" s="16">
        <v>0.0</v>
      </c>
      <c r="X84" s="16">
        <v>0.0</v>
      </c>
      <c r="Y84" s="16">
        <v>0.0</v>
      </c>
      <c r="Z84" s="16">
        <v>0.0</v>
      </c>
      <c r="AA84" s="16">
        <v>0.0</v>
      </c>
      <c r="AB84" s="16">
        <v>0.0</v>
      </c>
      <c r="AC84" s="16">
        <v>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6">
        <v>0.0</v>
      </c>
      <c r="AJ84" s="16">
        <v>120.0</v>
      </c>
      <c r="AK84" s="17">
        <v>0.3167</v>
      </c>
      <c r="AL84" s="17">
        <v>0.4333</v>
      </c>
      <c r="AM84" s="17">
        <v>0.2083</v>
      </c>
      <c r="AN84" s="17">
        <v>0.0417</v>
      </c>
      <c r="AO84" s="17">
        <v>0.0</v>
      </c>
    </row>
    <row r="85" ht="14.25" customHeight="1">
      <c r="A85" s="24">
        <v>45293.0</v>
      </c>
      <c r="B85" s="11" t="s">
        <v>43</v>
      </c>
      <c r="C85" s="11">
        <v>16.8</v>
      </c>
      <c r="D85" s="11">
        <v>9.3</v>
      </c>
      <c r="E85" s="11">
        <v>13.6</v>
      </c>
      <c r="F85" s="11">
        <v>29.0</v>
      </c>
      <c r="G85" s="1"/>
      <c r="H85" s="11">
        <v>18.0</v>
      </c>
      <c r="I85" s="11">
        <v>2.0</v>
      </c>
      <c r="J85" s="11">
        <v>15.0</v>
      </c>
      <c r="K85" s="11">
        <v>36.0</v>
      </c>
      <c r="L85" s="1"/>
      <c r="M85" s="11">
        <v>11.0</v>
      </c>
      <c r="N85" s="1"/>
      <c r="O85" s="11">
        <v>6.0</v>
      </c>
      <c r="P85" s="1"/>
      <c r="Q85" s="11">
        <v>2.0</v>
      </c>
      <c r="R85" s="11">
        <v>15.0</v>
      </c>
      <c r="S85" s="1"/>
      <c r="T85" s="1"/>
      <c r="U85" s="11">
        <v>15.0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1"/>
      <c r="AI85" s="1"/>
      <c r="AJ85" s="1">
        <f>SUM(G85:AI85)</f>
        <v>120</v>
      </c>
      <c r="AK85" s="14">
        <f>SUM(G85:J85)/120</f>
        <v>0.2916666667</v>
      </c>
      <c r="AL85" s="14">
        <f>SUM(K85:N85)/120</f>
        <v>0.3916666667</v>
      </c>
      <c r="AM85" s="14">
        <f> SUM(O85:T85)/120</f>
        <v>0.1916666667</v>
      </c>
      <c r="AN85" s="14">
        <f>SUM(U85:AA85)/120</f>
        <v>0.125</v>
      </c>
      <c r="AO85" s="14">
        <f>SUM(AB85:AI85)/120</f>
        <v>0</v>
      </c>
    </row>
    <row r="86" ht="14.25" customHeight="1">
      <c r="A86" s="25">
        <v>45293.0</v>
      </c>
      <c r="B86" s="16" t="s">
        <v>43</v>
      </c>
      <c r="C86" s="16">
        <v>16.8</v>
      </c>
      <c r="D86" s="16">
        <v>9.3</v>
      </c>
      <c r="E86" s="16">
        <v>13.6</v>
      </c>
      <c r="F86" s="16">
        <v>29.0</v>
      </c>
      <c r="G86" s="16">
        <v>0.0</v>
      </c>
      <c r="H86" s="16">
        <v>18.0</v>
      </c>
      <c r="I86" s="16">
        <v>2.0</v>
      </c>
      <c r="J86" s="16">
        <v>15.0</v>
      </c>
      <c r="K86" s="16">
        <v>36.0</v>
      </c>
      <c r="L86" s="16">
        <v>0.0</v>
      </c>
      <c r="M86" s="16">
        <v>11.0</v>
      </c>
      <c r="N86" s="16">
        <v>0.0</v>
      </c>
      <c r="O86" s="16">
        <v>6.0</v>
      </c>
      <c r="P86" s="16">
        <v>0.0</v>
      </c>
      <c r="Q86" s="16">
        <v>2.0</v>
      </c>
      <c r="R86" s="16">
        <v>15.0</v>
      </c>
      <c r="S86" s="16">
        <v>0.0</v>
      </c>
      <c r="T86" s="16">
        <v>0.0</v>
      </c>
      <c r="U86" s="16">
        <v>15.0</v>
      </c>
      <c r="V86" s="16">
        <v>0.0</v>
      </c>
      <c r="W86" s="16">
        <v>0.0</v>
      </c>
      <c r="X86" s="16">
        <v>0.0</v>
      </c>
      <c r="Y86" s="16">
        <v>0.0</v>
      </c>
      <c r="Z86" s="16">
        <v>0.0</v>
      </c>
      <c r="AA86" s="16">
        <v>0.0</v>
      </c>
      <c r="AB86" s="16">
        <v>0.0</v>
      </c>
      <c r="AC86" s="16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6">
        <v>0.0</v>
      </c>
      <c r="AJ86" s="16">
        <v>120.0</v>
      </c>
      <c r="AK86" s="17">
        <v>0.2917</v>
      </c>
      <c r="AL86" s="17">
        <v>0.3917</v>
      </c>
      <c r="AM86" s="17">
        <v>0.1917</v>
      </c>
      <c r="AN86" s="17">
        <v>0.125</v>
      </c>
      <c r="AO86" s="17">
        <v>0.0</v>
      </c>
    </row>
    <row r="87" ht="14.25" customHeight="1">
      <c r="A87" s="24">
        <v>45293.0</v>
      </c>
      <c r="B87" s="11" t="s">
        <v>45</v>
      </c>
      <c r="C87" s="11">
        <v>15.8</v>
      </c>
      <c r="D87" s="11">
        <v>15.0</v>
      </c>
      <c r="E87" s="11">
        <v>16.0</v>
      </c>
      <c r="F87" s="11">
        <v>29.0</v>
      </c>
      <c r="G87" s="1"/>
      <c r="H87" s="11">
        <v>39.0</v>
      </c>
      <c r="I87" s="11">
        <v>8.0</v>
      </c>
      <c r="J87" s="1"/>
      <c r="K87" s="11">
        <v>22.0</v>
      </c>
      <c r="L87" s="1"/>
      <c r="M87" s="11">
        <v>1.0</v>
      </c>
      <c r="N87" s="1"/>
      <c r="O87" s="11">
        <v>19.0</v>
      </c>
      <c r="P87" s="1"/>
      <c r="Q87" s="11">
        <v>2.0</v>
      </c>
      <c r="R87" s="11">
        <v>12.0</v>
      </c>
      <c r="S87" s="11">
        <v>6.0</v>
      </c>
      <c r="T87" s="1"/>
      <c r="U87" s="11">
        <v>4.0</v>
      </c>
      <c r="V87" s="11">
        <v>1.0</v>
      </c>
      <c r="W87" s="1"/>
      <c r="X87" s="1"/>
      <c r="Y87" s="1"/>
      <c r="Z87" s="1"/>
      <c r="AA87" s="1"/>
      <c r="AB87" s="11">
        <v>1.0</v>
      </c>
      <c r="AC87" s="11">
        <v>3.0</v>
      </c>
      <c r="AD87" s="1"/>
      <c r="AE87" s="1"/>
      <c r="AF87" s="1"/>
      <c r="AG87" s="1"/>
      <c r="AH87" s="11">
        <v>2.0</v>
      </c>
      <c r="AI87" s="1"/>
      <c r="AJ87" s="1">
        <f>SUM(G87:AI87)</f>
        <v>120</v>
      </c>
      <c r="AK87" s="14">
        <f>SUM(G87:J87)/120</f>
        <v>0.3916666667</v>
      </c>
      <c r="AL87" s="14">
        <f>SUM(K87:N87)/120</f>
        <v>0.1916666667</v>
      </c>
      <c r="AM87" s="14">
        <f> SUM(O87:T87)/120</f>
        <v>0.325</v>
      </c>
      <c r="AN87" s="14">
        <f>SUM(U87:AA87)/120</f>
        <v>0.04166666667</v>
      </c>
      <c r="AO87" s="14">
        <f>SUM(AB87:AI87)/120</f>
        <v>0.05</v>
      </c>
    </row>
    <row r="88" ht="14.25" customHeight="1">
      <c r="A88" s="25">
        <v>45293.0</v>
      </c>
      <c r="B88" s="16" t="s">
        <v>45</v>
      </c>
      <c r="C88" s="16">
        <v>15.8</v>
      </c>
      <c r="D88" s="16">
        <v>15.0</v>
      </c>
      <c r="E88" s="16">
        <v>16.0</v>
      </c>
      <c r="F88" s="16">
        <v>29.0</v>
      </c>
      <c r="G88" s="16">
        <v>0.0</v>
      </c>
      <c r="H88" s="16">
        <v>39.0</v>
      </c>
      <c r="I88" s="16">
        <v>8.0</v>
      </c>
      <c r="J88" s="16"/>
      <c r="K88" s="16">
        <v>22.0</v>
      </c>
      <c r="L88" s="16">
        <v>0.0</v>
      </c>
      <c r="M88" s="16">
        <v>1.0</v>
      </c>
      <c r="N88" s="16">
        <v>0.0</v>
      </c>
      <c r="O88" s="16">
        <v>19.0</v>
      </c>
      <c r="P88" s="16">
        <v>0.0</v>
      </c>
      <c r="Q88" s="16">
        <v>2.0</v>
      </c>
      <c r="R88" s="16">
        <v>12.0</v>
      </c>
      <c r="S88" s="16">
        <v>6.0</v>
      </c>
      <c r="T88" s="16">
        <v>0.0</v>
      </c>
      <c r="U88" s="16">
        <v>4.0</v>
      </c>
      <c r="V88" s="16">
        <v>1.0</v>
      </c>
      <c r="W88" s="16">
        <v>0.0</v>
      </c>
      <c r="X88" s="16">
        <v>0.0</v>
      </c>
      <c r="Y88" s="16">
        <v>0.0</v>
      </c>
      <c r="Z88" s="16">
        <v>0.0</v>
      </c>
      <c r="AA88" s="16">
        <v>0.0</v>
      </c>
      <c r="AB88" s="16">
        <v>1.0</v>
      </c>
      <c r="AC88" s="16">
        <v>3.0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6">
        <v>0.0</v>
      </c>
      <c r="AJ88" s="16">
        <v>118.0</v>
      </c>
      <c r="AK88" s="17">
        <v>0.3917</v>
      </c>
      <c r="AL88" s="17">
        <v>0.1917</v>
      </c>
      <c r="AM88" s="17">
        <v>0.325</v>
      </c>
      <c r="AN88" s="17">
        <v>0.0417</v>
      </c>
      <c r="AO88" s="17">
        <v>0.0333</v>
      </c>
    </row>
    <row r="89" ht="14.25" customHeight="1">
      <c r="A89" s="24">
        <v>45294.0</v>
      </c>
      <c r="B89" s="11" t="s">
        <v>41</v>
      </c>
      <c r="C89" s="11">
        <v>16.8</v>
      </c>
      <c r="D89" s="11">
        <v>10.2</v>
      </c>
      <c r="E89" s="11">
        <v>10.5</v>
      </c>
      <c r="F89" s="11">
        <v>29.0</v>
      </c>
      <c r="G89" s="1"/>
      <c r="H89" s="11">
        <v>53.0</v>
      </c>
      <c r="I89" s="11">
        <v>3.0</v>
      </c>
      <c r="J89" s="1"/>
      <c r="K89" s="11">
        <v>16.0</v>
      </c>
      <c r="L89" s="1"/>
      <c r="M89" s="11">
        <v>3.0</v>
      </c>
      <c r="N89" s="1"/>
      <c r="O89" s="11">
        <v>19.0</v>
      </c>
      <c r="P89" s="1"/>
      <c r="Q89" s="11">
        <v>1.0</v>
      </c>
      <c r="R89" s="11">
        <v>8.0</v>
      </c>
      <c r="S89" s="11">
        <v>5.0</v>
      </c>
      <c r="T89" s="11">
        <v>1.0</v>
      </c>
      <c r="U89" s="11">
        <v>7.0</v>
      </c>
      <c r="V89" s="11">
        <v>4.0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>
        <f>SUM(G89:AI89)</f>
        <v>120</v>
      </c>
      <c r="AK89" s="14">
        <f>SUM(G89:J89)/120</f>
        <v>0.4666666667</v>
      </c>
      <c r="AL89" s="14">
        <f>SUM(K89:N89)/120</f>
        <v>0.1583333333</v>
      </c>
      <c r="AM89" s="14">
        <f> SUM(O89:T89)/120</f>
        <v>0.2833333333</v>
      </c>
      <c r="AN89" s="14">
        <f>SUM(U89:AA89)/120</f>
        <v>0.09166666667</v>
      </c>
      <c r="AO89" s="14">
        <f>SUM(AB89:AI89)/120</f>
        <v>0</v>
      </c>
    </row>
    <row r="90" ht="14.25" customHeight="1">
      <c r="A90" s="25">
        <v>45294.0</v>
      </c>
      <c r="B90" s="18" t="s">
        <v>41</v>
      </c>
      <c r="C90" s="16">
        <v>16.8</v>
      </c>
      <c r="D90" s="16">
        <v>10.2</v>
      </c>
      <c r="E90" s="16">
        <v>10.5</v>
      </c>
      <c r="F90" s="16">
        <v>29.0</v>
      </c>
      <c r="G90" s="16">
        <v>0.0</v>
      </c>
      <c r="H90" s="16">
        <v>53.0</v>
      </c>
      <c r="I90" s="16">
        <v>3.0</v>
      </c>
      <c r="J90" s="16"/>
      <c r="K90" s="16">
        <v>16.0</v>
      </c>
      <c r="L90" s="16">
        <v>0.0</v>
      </c>
      <c r="M90" s="16">
        <v>3.0</v>
      </c>
      <c r="N90" s="16">
        <v>0.0</v>
      </c>
      <c r="O90" s="16">
        <v>19.0</v>
      </c>
      <c r="P90" s="16">
        <v>0.0</v>
      </c>
      <c r="Q90" s="16">
        <v>1.0</v>
      </c>
      <c r="R90" s="16">
        <v>8.0</v>
      </c>
      <c r="S90" s="16">
        <v>5.0</v>
      </c>
      <c r="T90" s="16">
        <v>1.0</v>
      </c>
      <c r="U90" s="16">
        <v>7.0</v>
      </c>
      <c r="V90" s="16">
        <v>4.0</v>
      </c>
      <c r="W90" s="16">
        <v>0.0</v>
      </c>
      <c r="X90" s="16">
        <v>0.0</v>
      </c>
      <c r="Y90" s="16">
        <v>0.0</v>
      </c>
      <c r="Z90" s="16">
        <v>0.0</v>
      </c>
      <c r="AA90" s="16">
        <v>0.0</v>
      </c>
      <c r="AB90" s="16">
        <v>0.0</v>
      </c>
      <c r="AC90" s="16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6">
        <v>0.0</v>
      </c>
      <c r="AJ90" s="16">
        <v>120.0</v>
      </c>
      <c r="AK90" s="17">
        <v>0.4667</v>
      </c>
      <c r="AL90" s="17">
        <v>0.1583</v>
      </c>
      <c r="AM90" s="17">
        <v>0.275</v>
      </c>
      <c r="AN90" s="17">
        <v>0.0917</v>
      </c>
      <c r="AO90" s="17">
        <v>0.0</v>
      </c>
    </row>
    <row r="91" ht="14.25" customHeight="1">
      <c r="A91" s="24">
        <v>45294.0</v>
      </c>
      <c r="B91" s="11" t="s">
        <v>44</v>
      </c>
      <c r="C91" s="11">
        <v>15.7</v>
      </c>
      <c r="D91" s="11">
        <v>12.2</v>
      </c>
      <c r="E91" s="11">
        <v>18.2</v>
      </c>
      <c r="F91" s="11">
        <v>29.0</v>
      </c>
      <c r="G91" s="1"/>
      <c r="H91" s="11">
        <v>57.0</v>
      </c>
      <c r="I91" s="11">
        <v>6.0</v>
      </c>
      <c r="J91" s="1"/>
      <c r="K91" s="11">
        <v>21.0</v>
      </c>
      <c r="L91" s="1"/>
      <c r="M91" s="11">
        <v>5.0</v>
      </c>
      <c r="N91" s="1"/>
      <c r="O91" s="11">
        <v>5.0</v>
      </c>
      <c r="P91" s="1"/>
      <c r="Q91" s="1"/>
      <c r="R91" s="11">
        <v>11.0</v>
      </c>
      <c r="S91" s="11">
        <v>3.0</v>
      </c>
      <c r="T91" s="11">
        <v>3.0</v>
      </c>
      <c r="U91" s="11">
        <v>3.0</v>
      </c>
      <c r="V91" s="11">
        <v>5.0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1">
        <v>1.0</v>
      </c>
      <c r="AI91" s="1"/>
      <c r="AJ91" s="1">
        <f>SUM(G91:AI91)</f>
        <v>120</v>
      </c>
      <c r="AK91" s="14">
        <f>SUM(G91:J91)/120</f>
        <v>0.525</v>
      </c>
      <c r="AL91" s="14">
        <f>SUM(K91:N91)/120</f>
        <v>0.2166666667</v>
      </c>
      <c r="AM91" s="14">
        <f> SUM(O91:T91)/120</f>
        <v>0.1833333333</v>
      </c>
      <c r="AN91" s="14">
        <f>SUM(U91:AA91)/120</f>
        <v>0.06666666667</v>
      </c>
      <c r="AO91" s="14">
        <f>SUM(AB91:AI91)/120</f>
        <v>0.008333333333</v>
      </c>
    </row>
    <row r="92" ht="14.25" customHeight="1">
      <c r="A92" s="25">
        <v>45294.0</v>
      </c>
      <c r="B92" s="16" t="s">
        <v>44</v>
      </c>
      <c r="C92" s="16">
        <v>15.7</v>
      </c>
      <c r="D92" s="16">
        <v>12.2</v>
      </c>
      <c r="E92" s="16">
        <v>18.2</v>
      </c>
      <c r="F92" s="16">
        <v>29.0</v>
      </c>
      <c r="G92" s="16">
        <v>0.0</v>
      </c>
      <c r="H92" s="16">
        <v>57.0</v>
      </c>
      <c r="I92" s="16">
        <v>6.0</v>
      </c>
      <c r="J92" s="16"/>
      <c r="K92" s="16">
        <v>21.0</v>
      </c>
      <c r="L92" s="16">
        <v>0.0</v>
      </c>
      <c r="M92" s="16">
        <v>5.0</v>
      </c>
      <c r="N92" s="16">
        <v>0.0</v>
      </c>
      <c r="O92" s="16">
        <v>5.0</v>
      </c>
      <c r="P92" s="16">
        <v>0.0</v>
      </c>
      <c r="Q92" s="16">
        <v>0.0</v>
      </c>
      <c r="R92" s="16">
        <v>11.0</v>
      </c>
      <c r="S92" s="16">
        <v>3.0</v>
      </c>
      <c r="T92" s="16">
        <v>3.0</v>
      </c>
      <c r="U92" s="16">
        <v>3.0</v>
      </c>
      <c r="V92" s="16">
        <v>5.0</v>
      </c>
      <c r="W92" s="16">
        <v>0.0</v>
      </c>
      <c r="X92" s="16">
        <v>0.0</v>
      </c>
      <c r="Y92" s="16">
        <v>0.0</v>
      </c>
      <c r="Z92" s="16">
        <v>0.0</v>
      </c>
      <c r="AA92" s="16">
        <v>0.0</v>
      </c>
      <c r="AB92" s="16">
        <v>0.0</v>
      </c>
      <c r="AC92" s="16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6">
        <v>0.0</v>
      </c>
      <c r="AJ92" s="16">
        <v>119.0</v>
      </c>
      <c r="AK92" s="17">
        <v>0.525</v>
      </c>
      <c r="AL92" s="17">
        <v>0.2167</v>
      </c>
      <c r="AM92" s="17">
        <v>0.1583</v>
      </c>
      <c r="AN92" s="17">
        <v>0.0667</v>
      </c>
      <c r="AO92" s="17">
        <v>0.0</v>
      </c>
    </row>
    <row r="93" ht="14.25" customHeight="1">
      <c r="A93" s="15">
        <v>45297.0</v>
      </c>
      <c r="B93" s="16" t="s">
        <v>42</v>
      </c>
      <c r="C93" s="16">
        <v>14.4</v>
      </c>
      <c r="D93" s="16">
        <v>5.4</v>
      </c>
      <c r="E93" s="16">
        <v>5.6</v>
      </c>
      <c r="F93" s="16">
        <v>29.0</v>
      </c>
      <c r="G93" s="16">
        <v>4.0</v>
      </c>
      <c r="H93" s="16">
        <v>39.0</v>
      </c>
      <c r="I93" s="16">
        <v>11.0</v>
      </c>
      <c r="J93" s="16">
        <v>1.0</v>
      </c>
      <c r="K93" s="16">
        <v>0.0</v>
      </c>
      <c r="L93" s="16">
        <v>0.0</v>
      </c>
      <c r="M93" s="16">
        <v>1.0</v>
      </c>
      <c r="N93" s="16">
        <v>0.0</v>
      </c>
      <c r="O93" s="16">
        <v>32.0</v>
      </c>
      <c r="P93" s="16">
        <v>0.0</v>
      </c>
      <c r="Q93" s="16">
        <v>0.0</v>
      </c>
      <c r="R93" s="16">
        <v>0.0</v>
      </c>
      <c r="S93" s="16">
        <v>0.0</v>
      </c>
      <c r="T93" s="16">
        <v>2.0</v>
      </c>
      <c r="U93" s="16">
        <v>1.0</v>
      </c>
      <c r="V93" s="16">
        <v>0.0</v>
      </c>
      <c r="W93" s="16">
        <v>0.0</v>
      </c>
      <c r="X93" s="16">
        <v>0.0</v>
      </c>
      <c r="Y93" s="16">
        <v>0.0</v>
      </c>
      <c r="Z93" s="16">
        <v>0.0</v>
      </c>
      <c r="AA93" s="16">
        <v>0.0</v>
      </c>
      <c r="AB93" s="16">
        <v>26.0</v>
      </c>
      <c r="AC93" s="16">
        <v>0.0</v>
      </c>
      <c r="AD93" s="16">
        <v>0.0</v>
      </c>
      <c r="AE93" s="16">
        <v>0.0</v>
      </c>
      <c r="AF93" s="16">
        <v>0.0</v>
      </c>
      <c r="AG93" s="16">
        <v>0.0</v>
      </c>
      <c r="AH93" s="16">
        <v>0.0</v>
      </c>
      <c r="AI93" s="16">
        <v>0.0</v>
      </c>
      <c r="AJ93" s="16">
        <v>120.0</v>
      </c>
      <c r="AK93" s="17">
        <v>0.4583</v>
      </c>
      <c r="AL93" s="17">
        <v>0.0083</v>
      </c>
      <c r="AM93" s="17">
        <v>0.2833</v>
      </c>
      <c r="AN93" s="17">
        <v>0.0083</v>
      </c>
      <c r="AO93" s="17">
        <v>0.2417</v>
      </c>
    </row>
    <row r="94" ht="14.25" customHeight="1">
      <c r="A94" s="15">
        <v>45297.0</v>
      </c>
      <c r="B94" s="16" t="s">
        <v>42</v>
      </c>
      <c r="C94" s="16">
        <v>9.2</v>
      </c>
      <c r="D94" s="16">
        <v>6.8</v>
      </c>
      <c r="E94" s="16">
        <v>5.7</v>
      </c>
      <c r="F94" s="16">
        <v>29.0</v>
      </c>
      <c r="G94" s="16">
        <v>1.0</v>
      </c>
      <c r="H94" s="16">
        <v>32.0</v>
      </c>
      <c r="I94" s="16">
        <v>9.0</v>
      </c>
      <c r="J94" s="16">
        <v>3.0</v>
      </c>
      <c r="K94" s="16">
        <v>4.0</v>
      </c>
      <c r="L94" s="16">
        <v>0.0</v>
      </c>
      <c r="M94" s="16">
        <v>0.0</v>
      </c>
      <c r="N94" s="16">
        <v>0.0</v>
      </c>
      <c r="O94" s="16">
        <v>28.0</v>
      </c>
      <c r="P94" s="16">
        <v>2.0</v>
      </c>
      <c r="Q94" s="16">
        <v>0.0</v>
      </c>
      <c r="R94" s="16">
        <v>2.0</v>
      </c>
      <c r="S94" s="16">
        <v>2.0</v>
      </c>
      <c r="T94" s="16">
        <v>2.0</v>
      </c>
      <c r="U94" s="16">
        <v>1.0</v>
      </c>
      <c r="V94" s="16">
        <v>0.0</v>
      </c>
      <c r="W94" s="16">
        <v>0.0</v>
      </c>
      <c r="X94" s="16">
        <v>0.0</v>
      </c>
      <c r="Y94" s="16">
        <v>0.0</v>
      </c>
      <c r="Z94" s="16">
        <v>0.0</v>
      </c>
      <c r="AA94" s="16">
        <v>0.0</v>
      </c>
      <c r="AB94" s="16">
        <v>32.0</v>
      </c>
      <c r="AC94" s="16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6">
        <v>0.0</v>
      </c>
      <c r="AJ94" s="16">
        <v>120.0</v>
      </c>
      <c r="AK94" s="17">
        <v>0.375</v>
      </c>
      <c r="AL94" s="17">
        <v>0.0333</v>
      </c>
      <c r="AM94" s="17">
        <v>0.2833</v>
      </c>
      <c r="AN94" s="17">
        <v>0.0083</v>
      </c>
      <c r="AO94" s="17">
        <v>0.2833</v>
      </c>
    </row>
    <row r="95" ht="14.25" customHeight="1">
      <c r="A95" s="15">
        <v>45299.0</v>
      </c>
      <c r="B95" s="16" t="s">
        <v>42</v>
      </c>
      <c r="C95" s="16">
        <v>11.3</v>
      </c>
      <c r="D95" s="16">
        <v>11.9</v>
      </c>
      <c r="E95" s="16">
        <v>10.1</v>
      </c>
      <c r="F95" s="16">
        <v>29.0</v>
      </c>
      <c r="G95" s="16">
        <v>6.0</v>
      </c>
      <c r="H95" s="16">
        <v>23.0</v>
      </c>
      <c r="I95" s="16">
        <v>22.0</v>
      </c>
      <c r="J95" s="16">
        <v>2.0</v>
      </c>
      <c r="K95" s="16">
        <v>0.0</v>
      </c>
      <c r="L95" s="16">
        <v>0.0</v>
      </c>
      <c r="M95" s="16">
        <v>7.0</v>
      </c>
      <c r="N95" s="16">
        <v>5.0</v>
      </c>
      <c r="O95" s="16">
        <v>30.0</v>
      </c>
      <c r="P95" s="16">
        <v>0.0</v>
      </c>
      <c r="Q95" s="16">
        <v>2.0</v>
      </c>
      <c r="R95" s="16">
        <v>10.0</v>
      </c>
      <c r="S95" s="16">
        <v>1.0</v>
      </c>
      <c r="T95" s="16">
        <v>4.0</v>
      </c>
      <c r="U95" s="16">
        <v>3.0</v>
      </c>
      <c r="V95" s="16">
        <v>2.0</v>
      </c>
      <c r="W95" s="16">
        <v>0.0</v>
      </c>
      <c r="X95" s="16">
        <v>0.0</v>
      </c>
      <c r="Y95" s="16">
        <v>1.0</v>
      </c>
      <c r="Z95" s="16">
        <v>0.0</v>
      </c>
      <c r="AA95" s="16">
        <v>0.0</v>
      </c>
      <c r="AB95" s="16">
        <v>0.0</v>
      </c>
      <c r="AC95" s="16">
        <v>0.0</v>
      </c>
      <c r="AD95" s="16">
        <v>0.0</v>
      </c>
      <c r="AE95" s="16">
        <v>0.0</v>
      </c>
      <c r="AF95" s="16">
        <v>1.0</v>
      </c>
      <c r="AG95" s="16">
        <v>0.0</v>
      </c>
      <c r="AH95" s="16">
        <v>0.0</v>
      </c>
      <c r="AI95" s="16">
        <v>0.0</v>
      </c>
      <c r="AJ95" s="16">
        <v>120.0</v>
      </c>
      <c r="AK95" s="17">
        <v>0.4417</v>
      </c>
      <c r="AL95" s="17">
        <v>0.0583</v>
      </c>
      <c r="AM95" s="17">
        <v>0.3583</v>
      </c>
      <c r="AN95" s="17">
        <v>0.05</v>
      </c>
      <c r="AO95" s="17">
        <v>0.0167</v>
      </c>
    </row>
    <row r="96" ht="14.25" customHeight="1">
      <c r="A96" s="15">
        <v>45299.0</v>
      </c>
      <c r="B96" s="16" t="s">
        <v>44</v>
      </c>
      <c r="C96" s="16">
        <v>17.5</v>
      </c>
      <c r="D96" s="16">
        <v>11.8</v>
      </c>
      <c r="E96" s="16">
        <v>11.7</v>
      </c>
      <c r="F96" s="16">
        <v>29.0</v>
      </c>
      <c r="G96" s="16">
        <v>0.0</v>
      </c>
      <c r="H96" s="16">
        <v>62.0</v>
      </c>
      <c r="I96" s="16">
        <v>10.0</v>
      </c>
      <c r="J96" s="16">
        <v>3.0</v>
      </c>
      <c r="K96" s="16">
        <v>9.0</v>
      </c>
      <c r="L96" s="16">
        <v>0.0</v>
      </c>
      <c r="M96" s="16">
        <v>6.0</v>
      </c>
      <c r="N96" s="16">
        <v>0.0</v>
      </c>
      <c r="O96" s="16">
        <v>20.0</v>
      </c>
      <c r="P96" s="16">
        <v>0.0</v>
      </c>
      <c r="Q96" s="16">
        <v>0.0</v>
      </c>
      <c r="R96" s="16">
        <v>3.0</v>
      </c>
      <c r="S96" s="16">
        <v>0.0</v>
      </c>
      <c r="T96" s="16">
        <v>1.0</v>
      </c>
      <c r="U96" s="16">
        <v>3.0</v>
      </c>
      <c r="V96" s="16">
        <v>2.0</v>
      </c>
      <c r="W96" s="16">
        <v>0.0</v>
      </c>
      <c r="X96" s="16">
        <v>0.0</v>
      </c>
      <c r="Y96" s="16">
        <v>0.0</v>
      </c>
      <c r="Z96" s="16">
        <v>0.0</v>
      </c>
      <c r="AA96" s="16">
        <v>0.0</v>
      </c>
      <c r="AB96" s="16">
        <v>0.0</v>
      </c>
      <c r="AC96" s="16">
        <v>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6">
        <v>0.0</v>
      </c>
      <c r="AJ96" s="16">
        <v>120.0</v>
      </c>
      <c r="AK96" s="17">
        <v>0.625</v>
      </c>
      <c r="AL96" s="17">
        <v>0.125</v>
      </c>
      <c r="AM96" s="17">
        <v>0.1917</v>
      </c>
      <c r="AN96" s="17">
        <v>0.0417</v>
      </c>
      <c r="AO96" s="17">
        <v>0.0083</v>
      </c>
    </row>
    <row r="97" ht="14.25" customHeight="1">
      <c r="A97" s="15">
        <v>45300.0</v>
      </c>
      <c r="B97" s="18" t="s">
        <v>41</v>
      </c>
      <c r="C97" s="16">
        <v>11.0</v>
      </c>
      <c r="D97" s="16">
        <v>9.5</v>
      </c>
      <c r="E97" s="16">
        <v>11.5</v>
      </c>
      <c r="F97" s="16">
        <v>29.0</v>
      </c>
      <c r="G97" s="16">
        <v>0.0</v>
      </c>
      <c r="H97" s="16">
        <v>45.0</v>
      </c>
      <c r="I97" s="16">
        <v>13.0</v>
      </c>
      <c r="J97" s="16">
        <v>2.0</v>
      </c>
      <c r="K97" s="16">
        <v>5.0</v>
      </c>
      <c r="L97" s="16">
        <v>0.0</v>
      </c>
      <c r="M97" s="16">
        <v>1.0</v>
      </c>
      <c r="N97" s="16">
        <v>1.0</v>
      </c>
      <c r="O97" s="16">
        <v>28.0</v>
      </c>
      <c r="P97" s="16">
        <v>7.0</v>
      </c>
      <c r="Q97" s="16">
        <v>0.0</v>
      </c>
      <c r="R97" s="16">
        <v>2.0</v>
      </c>
      <c r="S97" s="16">
        <v>0.0</v>
      </c>
      <c r="T97" s="16">
        <v>4.0</v>
      </c>
      <c r="U97" s="16">
        <v>4.0</v>
      </c>
      <c r="V97" s="16">
        <v>2.0</v>
      </c>
      <c r="W97" s="16">
        <v>0.0</v>
      </c>
      <c r="X97" s="16">
        <v>0.0</v>
      </c>
      <c r="Y97" s="16">
        <v>0.0</v>
      </c>
      <c r="Z97" s="16">
        <v>0.0</v>
      </c>
      <c r="AA97" s="16">
        <v>0.0</v>
      </c>
      <c r="AB97" s="16">
        <v>5.0</v>
      </c>
      <c r="AC97" s="16">
        <v>0.0</v>
      </c>
      <c r="AD97" s="16">
        <v>0.0</v>
      </c>
      <c r="AE97" s="16">
        <v>0.0</v>
      </c>
      <c r="AF97" s="16">
        <v>0.0</v>
      </c>
      <c r="AG97" s="16">
        <v>0.0</v>
      </c>
      <c r="AH97" s="16">
        <v>0.0</v>
      </c>
      <c r="AI97" s="16">
        <v>0.0</v>
      </c>
      <c r="AJ97" s="16">
        <v>120.0</v>
      </c>
      <c r="AK97" s="17">
        <v>0.5</v>
      </c>
      <c r="AL97" s="17">
        <v>0.05</v>
      </c>
      <c r="AM97" s="17">
        <v>0.3083</v>
      </c>
      <c r="AN97" s="17">
        <v>0.05</v>
      </c>
      <c r="AO97" s="17">
        <v>0.05</v>
      </c>
    </row>
    <row r="98" ht="14.25" customHeight="1">
      <c r="A98" s="15">
        <v>45300.0</v>
      </c>
      <c r="B98" s="16" t="s">
        <v>43</v>
      </c>
      <c r="C98" s="16">
        <v>18.0</v>
      </c>
      <c r="D98" s="16">
        <v>9.5</v>
      </c>
      <c r="E98" s="16">
        <v>9.5</v>
      </c>
      <c r="F98" s="16">
        <v>29.0</v>
      </c>
      <c r="G98" s="16">
        <v>0.0</v>
      </c>
      <c r="H98" s="16">
        <v>27.0</v>
      </c>
      <c r="I98" s="16">
        <v>19.0</v>
      </c>
      <c r="J98" s="16">
        <v>15.0</v>
      </c>
      <c r="K98" s="16">
        <v>17.0</v>
      </c>
      <c r="L98" s="16">
        <v>0.0</v>
      </c>
      <c r="M98" s="16">
        <v>3.0</v>
      </c>
      <c r="N98" s="16">
        <v>8.0</v>
      </c>
      <c r="O98" s="16">
        <v>17.0</v>
      </c>
      <c r="P98" s="16">
        <v>0.0</v>
      </c>
      <c r="Q98" s="16">
        <v>0.0</v>
      </c>
      <c r="R98" s="16">
        <v>0.0</v>
      </c>
      <c r="S98" s="16">
        <v>0.0</v>
      </c>
      <c r="T98" s="16">
        <v>4.0</v>
      </c>
      <c r="U98" s="16">
        <v>7.0</v>
      </c>
      <c r="V98" s="16">
        <v>0.0</v>
      </c>
      <c r="W98" s="16">
        <v>0.0</v>
      </c>
      <c r="X98" s="16">
        <v>0.0</v>
      </c>
      <c r="Y98" s="16">
        <v>0.0</v>
      </c>
      <c r="Z98" s="16">
        <v>0.0</v>
      </c>
      <c r="AA98" s="16">
        <v>0.0</v>
      </c>
      <c r="AB98" s="16">
        <v>0.0</v>
      </c>
      <c r="AC98" s="16">
        <v>0.0</v>
      </c>
      <c r="AD98" s="16">
        <v>0.0</v>
      </c>
      <c r="AE98" s="16">
        <v>0.0</v>
      </c>
      <c r="AF98" s="16">
        <v>2.0</v>
      </c>
      <c r="AG98" s="16">
        <v>0.0</v>
      </c>
      <c r="AH98" s="16">
        <v>0.0</v>
      </c>
      <c r="AI98" s="16">
        <v>1.0</v>
      </c>
      <c r="AJ98" s="16">
        <v>120.0</v>
      </c>
      <c r="AK98" s="17">
        <v>0.5083</v>
      </c>
      <c r="AL98" s="17">
        <v>0.1667</v>
      </c>
      <c r="AM98" s="17">
        <v>0.1417</v>
      </c>
      <c r="AN98" s="17">
        <v>0.0583</v>
      </c>
      <c r="AO98" s="17">
        <v>0.025</v>
      </c>
    </row>
    <row r="99" ht="14.25" customHeight="1">
      <c r="A99" s="15">
        <v>45301.0</v>
      </c>
      <c r="B99" s="18" t="s">
        <v>41</v>
      </c>
      <c r="C99" s="16">
        <v>4.2</v>
      </c>
      <c r="D99" s="16">
        <v>10.5</v>
      </c>
      <c r="E99" s="16">
        <v>11.1</v>
      </c>
      <c r="F99" s="16">
        <v>29.0</v>
      </c>
      <c r="G99" s="16">
        <v>41.0</v>
      </c>
      <c r="H99" s="16">
        <v>6.0</v>
      </c>
      <c r="I99" s="16">
        <v>19.0</v>
      </c>
      <c r="J99" s="16">
        <v>0.0</v>
      </c>
      <c r="K99" s="16">
        <v>9.0</v>
      </c>
      <c r="L99" s="16">
        <v>0.0</v>
      </c>
      <c r="M99" s="16">
        <v>3.0</v>
      </c>
      <c r="N99" s="16">
        <v>2.0</v>
      </c>
      <c r="O99" s="16">
        <v>18.0</v>
      </c>
      <c r="P99" s="16">
        <v>3.0</v>
      </c>
      <c r="Q99" s="16">
        <v>0.0</v>
      </c>
      <c r="R99" s="16">
        <v>5.0</v>
      </c>
      <c r="S99" s="16">
        <v>2.0</v>
      </c>
      <c r="T99" s="16">
        <v>3.0</v>
      </c>
      <c r="U99" s="16">
        <v>5.0</v>
      </c>
      <c r="V99" s="16">
        <v>3.0</v>
      </c>
      <c r="W99" s="16">
        <v>0.0</v>
      </c>
      <c r="X99" s="16">
        <v>0.0</v>
      </c>
      <c r="Y99" s="16">
        <v>0.0</v>
      </c>
      <c r="Z99" s="16">
        <v>0.0</v>
      </c>
      <c r="AA99" s="16">
        <v>0.0</v>
      </c>
      <c r="AB99" s="16">
        <v>0.0</v>
      </c>
      <c r="AC99" s="16">
        <v>0.0</v>
      </c>
      <c r="AD99" s="16">
        <v>0.0</v>
      </c>
      <c r="AE99" s="16">
        <v>0.0</v>
      </c>
      <c r="AF99" s="16">
        <v>0.0</v>
      </c>
      <c r="AG99" s="16">
        <v>0.0</v>
      </c>
      <c r="AH99" s="16">
        <v>0.0</v>
      </c>
      <c r="AI99" s="16">
        <v>0.0</v>
      </c>
      <c r="AJ99" s="16">
        <v>120.0</v>
      </c>
      <c r="AK99" s="17">
        <v>0.55</v>
      </c>
      <c r="AL99" s="17">
        <v>0.1</v>
      </c>
      <c r="AM99" s="17">
        <v>0.2333</v>
      </c>
      <c r="AN99" s="17">
        <v>0.0667</v>
      </c>
      <c r="AO99" s="17">
        <v>0.0083</v>
      </c>
    </row>
    <row r="100" ht="14.25" customHeight="1">
      <c r="A100" s="15">
        <v>45301.0</v>
      </c>
      <c r="B100" s="16" t="s">
        <v>44</v>
      </c>
      <c r="C100" s="16">
        <v>16.0</v>
      </c>
      <c r="D100" s="16">
        <v>12.6</v>
      </c>
      <c r="E100" s="16">
        <v>15.0</v>
      </c>
      <c r="F100" s="16">
        <v>29.0</v>
      </c>
      <c r="G100" s="16">
        <v>34.0</v>
      </c>
      <c r="H100" s="16">
        <v>11.0</v>
      </c>
      <c r="I100" s="16">
        <v>9.0</v>
      </c>
      <c r="J100" s="16">
        <v>0.0</v>
      </c>
      <c r="K100" s="16">
        <v>19.0</v>
      </c>
      <c r="L100" s="16">
        <v>0.0</v>
      </c>
      <c r="M100" s="16">
        <v>13.0</v>
      </c>
      <c r="N100" s="16">
        <v>3.0</v>
      </c>
      <c r="O100" s="16">
        <v>17.0</v>
      </c>
      <c r="P100" s="16">
        <v>0.0</v>
      </c>
      <c r="Q100" s="16">
        <v>1.0</v>
      </c>
      <c r="R100" s="16">
        <v>2.0</v>
      </c>
      <c r="S100" s="16">
        <v>0.0</v>
      </c>
      <c r="T100" s="16">
        <v>0.0</v>
      </c>
      <c r="U100" s="16">
        <v>2.0</v>
      </c>
      <c r="V100" s="16">
        <v>9.0</v>
      </c>
      <c r="W100" s="16">
        <v>0.0</v>
      </c>
      <c r="X100" s="16">
        <v>0.0</v>
      </c>
      <c r="Y100" s="16">
        <v>0.0</v>
      </c>
      <c r="Z100" s="16">
        <v>0.0</v>
      </c>
      <c r="AA100" s="16">
        <v>0.0</v>
      </c>
      <c r="AB100" s="16">
        <v>0.0</v>
      </c>
      <c r="AC100" s="16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6">
        <v>0.0</v>
      </c>
      <c r="AJ100" s="16">
        <v>120.0</v>
      </c>
      <c r="AK100" s="17">
        <v>0.45</v>
      </c>
      <c r="AL100" s="17">
        <v>0.2667</v>
      </c>
      <c r="AM100" s="17">
        <v>0.1667</v>
      </c>
      <c r="AN100" s="17">
        <v>0.0917</v>
      </c>
      <c r="AO100" s="17">
        <v>0.0</v>
      </c>
    </row>
    <row r="101" ht="14.25" customHeight="1">
      <c r="A101" s="15">
        <v>45303.0</v>
      </c>
      <c r="B101" s="18" t="s">
        <v>41</v>
      </c>
      <c r="C101" s="16">
        <v>8.5</v>
      </c>
      <c r="D101" s="16">
        <v>10.8</v>
      </c>
      <c r="E101" s="16">
        <v>10.0</v>
      </c>
      <c r="F101" s="16">
        <v>29.0</v>
      </c>
      <c r="G101" s="16">
        <v>12.0</v>
      </c>
      <c r="H101" s="16">
        <v>46.0</v>
      </c>
      <c r="I101" s="16">
        <v>10.0</v>
      </c>
      <c r="J101" s="16">
        <v>6.0</v>
      </c>
      <c r="K101" s="16">
        <v>3.0</v>
      </c>
      <c r="L101" s="16">
        <v>0.0</v>
      </c>
      <c r="M101" s="16">
        <v>5.0</v>
      </c>
      <c r="N101" s="16">
        <v>1.0</v>
      </c>
      <c r="O101" s="16">
        <v>12.0</v>
      </c>
      <c r="P101" s="16">
        <v>1.0</v>
      </c>
      <c r="Q101" s="16">
        <v>1.0</v>
      </c>
      <c r="R101" s="16">
        <v>5.0</v>
      </c>
      <c r="S101" s="16">
        <v>0.0</v>
      </c>
      <c r="T101" s="16">
        <v>3.0</v>
      </c>
      <c r="U101" s="16">
        <v>10.0</v>
      </c>
      <c r="V101" s="16">
        <v>0.0</v>
      </c>
      <c r="W101" s="16">
        <v>0.0</v>
      </c>
      <c r="X101" s="16">
        <v>0.0</v>
      </c>
      <c r="Y101" s="16">
        <v>1.0</v>
      </c>
      <c r="Z101" s="16">
        <v>0.0</v>
      </c>
      <c r="AA101" s="16">
        <v>0.0</v>
      </c>
      <c r="AB101" s="16">
        <v>0.0</v>
      </c>
      <c r="AC101" s="16">
        <v>0.0</v>
      </c>
      <c r="AD101" s="16">
        <v>1.0</v>
      </c>
      <c r="AE101" s="16">
        <v>0.0</v>
      </c>
      <c r="AF101" s="16">
        <v>0.0</v>
      </c>
      <c r="AG101" s="16">
        <v>0.0</v>
      </c>
      <c r="AH101" s="16">
        <v>0.0</v>
      </c>
      <c r="AI101" s="16">
        <v>0.0</v>
      </c>
      <c r="AJ101" s="16">
        <v>120.0</v>
      </c>
      <c r="AK101" s="17">
        <v>0.6167</v>
      </c>
      <c r="AL101" s="17">
        <v>0.0667</v>
      </c>
      <c r="AM101" s="17">
        <v>0.1583</v>
      </c>
      <c r="AN101" s="17">
        <v>0.0917</v>
      </c>
      <c r="AO101" s="17">
        <v>0.0333</v>
      </c>
    </row>
    <row r="102" ht="14.25" customHeight="1">
      <c r="A102" s="15">
        <v>45303.0</v>
      </c>
      <c r="B102" s="16" t="s">
        <v>43</v>
      </c>
      <c r="C102" s="16">
        <v>9.7</v>
      </c>
      <c r="D102" s="16">
        <v>9.1</v>
      </c>
      <c r="E102" s="16">
        <v>10.7</v>
      </c>
      <c r="F102" s="16">
        <v>29.0</v>
      </c>
      <c r="G102" s="16">
        <v>5.0</v>
      </c>
      <c r="H102" s="16">
        <v>3.0</v>
      </c>
      <c r="I102" s="16">
        <v>45.0</v>
      </c>
      <c r="J102" s="16">
        <v>7.0</v>
      </c>
      <c r="K102" s="16">
        <v>10.0</v>
      </c>
      <c r="L102" s="16">
        <v>0.0</v>
      </c>
      <c r="M102" s="16">
        <v>3.0</v>
      </c>
      <c r="N102" s="16">
        <v>1.0</v>
      </c>
      <c r="O102" s="16">
        <v>20.0</v>
      </c>
      <c r="P102" s="16">
        <v>0.0</v>
      </c>
      <c r="Q102" s="16">
        <v>2.0</v>
      </c>
      <c r="R102" s="16">
        <v>15.0</v>
      </c>
      <c r="S102" s="16">
        <v>0.0</v>
      </c>
      <c r="T102" s="16">
        <v>1.0</v>
      </c>
      <c r="U102" s="16">
        <v>8.0</v>
      </c>
      <c r="V102" s="16">
        <v>0.0</v>
      </c>
      <c r="W102" s="16">
        <v>0.0</v>
      </c>
      <c r="X102" s="16">
        <v>0.0</v>
      </c>
      <c r="Y102" s="16">
        <v>0.0</v>
      </c>
      <c r="Z102" s="16">
        <v>0.0</v>
      </c>
      <c r="AA102" s="16">
        <v>0.0</v>
      </c>
      <c r="AB102" s="16">
        <v>0.0</v>
      </c>
      <c r="AC102" s="16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6">
        <v>0.0</v>
      </c>
      <c r="AJ102" s="16">
        <v>120.0</v>
      </c>
      <c r="AK102" s="17">
        <v>0.5</v>
      </c>
      <c r="AL102" s="17">
        <v>0.1083</v>
      </c>
      <c r="AM102" s="17">
        <v>0.3083</v>
      </c>
      <c r="AN102" s="17">
        <v>0.0667</v>
      </c>
      <c r="AO102" s="17">
        <v>0.0</v>
      </c>
    </row>
    <row r="103" ht="14.25" customHeight="1">
      <c r="A103" s="15">
        <v>45317.0</v>
      </c>
      <c r="B103" s="16" t="s">
        <v>43</v>
      </c>
      <c r="C103" s="16">
        <v>12.0</v>
      </c>
      <c r="D103" s="16">
        <v>7.9</v>
      </c>
      <c r="E103" s="16">
        <v>9.3</v>
      </c>
      <c r="F103" s="16">
        <v>28.0</v>
      </c>
      <c r="G103" s="16">
        <v>11.0</v>
      </c>
      <c r="H103" s="16">
        <v>8.0</v>
      </c>
      <c r="I103" s="16">
        <v>43.0</v>
      </c>
      <c r="J103" s="16">
        <v>2.0</v>
      </c>
      <c r="K103" s="16">
        <v>21.0</v>
      </c>
      <c r="L103" s="16">
        <v>0.0</v>
      </c>
      <c r="M103" s="16">
        <v>2.0</v>
      </c>
      <c r="N103" s="16">
        <v>1.0</v>
      </c>
      <c r="O103" s="16">
        <v>4.0</v>
      </c>
      <c r="P103" s="16">
        <v>0.0</v>
      </c>
      <c r="Q103" s="16">
        <v>1.0</v>
      </c>
      <c r="R103" s="16">
        <v>9.0</v>
      </c>
      <c r="S103" s="16">
        <v>2.0</v>
      </c>
      <c r="T103" s="16">
        <v>3.0</v>
      </c>
      <c r="U103" s="16">
        <v>5.0</v>
      </c>
      <c r="V103" s="16">
        <v>1.0</v>
      </c>
      <c r="W103" s="16">
        <v>0.0</v>
      </c>
      <c r="X103" s="16">
        <v>0.0</v>
      </c>
      <c r="Y103" s="16">
        <v>0.0</v>
      </c>
      <c r="Z103" s="16">
        <v>1.0</v>
      </c>
      <c r="AA103" s="16">
        <v>0.0</v>
      </c>
      <c r="AB103" s="16">
        <v>0.0</v>
      </c>
      <c r="AC103" s="16">
        <v>0.0</v>
      </c>
      <c r="AD103" s="16">
        <v>0.0</v>
      </c>
      <c r="AE103" s="16">
        <v>0.0</v>
      </c>
      <c r="AF103" s="16">
        <v>0.0</v>
      </c>
      <c r="AG103" s="16">
        <v>3.0</v>
      </c>
      <c r="AH103" s="16">
        <v>0.0</v>
      </c>
      <c r="AI103" s="16">
        <v>0.0</v>
      </c>
      <c r="AJ103" s="16">
        <v>120.0</v>
      </c>
      <c r="AK103" s="17">
        <v>0.5333</v>
      </c>
      <c r="AL103" s="17">
        <v>0.1917</v>
      </c>
      <c r="AM103" s="17">
        <v>0.1333</v>
      </c>
      <c r="AN103" s="17">
        <v>0.0583</v>
      </c>
      <c r="AO103" s="17">
        <v>0.05</v>
      </c>
    </row>
    <row r="104" ht="14.25" customHeight="1">
      <c r="A104" s="15">
        <v>45320.0</v>
      </c>
      <c r="B104" s="16" t="s">
        <v>45</v>
      </c>
      <c r="C104" s="16">
        <v>13.5</v>
      </c>
      <c r="D104" s="16">
        <v>11.9</v>
      </c>
      <c r="E104" s="16">
        <v>11.9</v>
      </c>
      <c r="F104" s="16">
        <v>28.0</v>
      </c>
      <c r="G104" s="16">
        <v>0.0</v>
      </c>
      <c r="H104" s="16">
        <v>51.0</v>
      </c>
      <c r="I104" s="16">
        <v>5.0</v>
      </c>
      <c r="J104" s="16">
        <v>3.0</v>
      </c>
      <c r="K104" s="16">
        <v>3.0</v>
      </c>
      <c r="L104" s="16">
        <v>0.0</v>
      </c>
      <c r="M104" s="16">
        <v>1.0</v>
      </c>
      <c r="N104" s="16">
        <v>0.0</v>
      </c>
      <c r="O104" s="16">
        <v>31.0</v>
      </c>
      <c r="P104" s="16">
        <v>6.0</v>
      </c>
      <c r="Q104" s="16">
        <v>3.0</v>
      </c>
      <c r="R104" s="16">
        <v>7.0</v>
      </c>
      <c r="S104" s="16">
        <v>0.0</v>
      </c>
      <c r="T104" s="16">
        <v>0.0</v>
      </c>
      <c r="U104" s="16">
        <v>2.0</v>
      </c>
      <c r="V104" s="16">
        <v>0.0</v>
      </c>
      <c r="W104" s="16">
        <v>0.0</v>
      </c>
      <c r="X104" s="16">
        <v>0.0</v>
      </c>
      <c r="Y104" s="16">
        <v>0.0</v>
      </c>
      <c r="Z104" s="16">
        <v>0.0</v>
      </c>
      <c r="AA104" s="16">
        <v>0.0</v>
      </c>
      <c r="AB104" s="16">
        <v>1.0</v>
      </c>
      <c r="AC104" s="16">
        <v>0.0</v>
      </c>
      <c r="AD104" s="16">
        <v>0.0</v>
      </c>
      <c r="AE104" s="16">
        <v>0.0</v>
      </c>
      <c r="AF104" s="16">
        <v>0.0</v>
      </c>
      <c r="AG104" s="16">
        <v>7.0</v>
      </c>
      <c r="AH104" s="16">
        <v>0.0</v>
      </c>
      <c r="AI104" s="16">
        <v>0.0</v>
      </c>
      <c r="AJ104" s="16">
        <v>120.0</v>
      </c>
      <c r="AK104" s="17">
        <v>0.4917</v>
      </c>
      <c r="AL104" s="17">
        <v>0.0333</v>
      </c>
      <c r="AM104" s="17">
        <v>0.3917</v>
      </c>
      <c r="AN104" s="17">
        <v>0.0167</v>
      </c>
      <c r="AO104" s="17">
        <v>0.0667</v>
      </c>
    </row>
    <row r="105" ht="14.25" customHeight="1">
      <c r="A105" s="15">
        <v>45321.0</v>
      </c>
      <c r="B105" s="16" t="s">
        <v>43</v>
      </c>
      <c r="C105" s="16">
        <v>15.0</v>
      </c>
      <c r="D105" s="16">
        <v>2.8</v>
      </c>
      <c r="E105" s="16">
        <v>2.8</v>
      </c>
      <c r="F105" s="16">
        <v>28.0</v>
      </c>
      <c r="G105" s="16">
        <v>16.0</v>
      </c>
      <c r="H105" s="16">
        <v>19.0</v>
      </c>
      <c r="I105" s="16">
        <v>23.0</v>
      </c>
      <c r="J105" s="16">
        <v>8.0</v>
      </c>
      <c r="K105" s="16">
        <v>15.0</v>
      </c>
      <c r="L105" s="16">
        <v>0.0</v>
      </c>
      <c r="M105" s="16">
        <v>1.0</v>
      </c>
      <c r="N105" s="16">
        <v>0.0</v>
      </c>
      <c r="O105" s="16">
        <v>7.0</v>
      </c>
      <c r="P105" s="16">
        <v>0.0</v>
      </c>
      <c r="Q105" s="16">
        <v>0.0</v>
      </c>
      <c r="R105" s="16">
        <v>7.0</v>
      </c>
      <c r="S105" s="16">
        <v>0.0</v>
      </c>
      <c r="T105" s="16">
        <v>0.0</v>
      </c>
      <c r="U105" s="16">
        <v>8.0</v>
      </c>
      <c r="V105" s="16">
        <v>2.0</v>
      </c>
      <c r="W105" s="16">
        <v>0.0</v>
      </c>
      <c r="X105" s="16">
        <v>0.0</v>
      </c>
      <c r="Y105" s="16">
        <v>1.0</v>
      </c>
      <c r="Z105" s="16">
        <v>1.0</v>
      </c>
      <c r="AA105" s="16">
        <v>0.0</v>
      </c>
      <c r="AB105" s="16">
        <v>4.0</v>
      </c>
      <c r="AC105" s="16">
        <v>0.0</v>
      </c>
      <c r="AD105" s="16">
        <v>2.0</v>
      </c>
      <c r="AE105" s="16">
        <v>0.0</v>
      </c>
      <c r="AF105" s="16">
        <v>0.0</v>
      </c>
      <c r="AG105" s="16">
        <v>6.0</v>
      </c>
      <c r="AH105" s="16">
        <v>0.0</v>
      </c>
      <c r="AI105" s="16">
        <v>0.0</v>
      </c>
      <c r="AJ105" s="16">
        <v>120.0</v>
      </c>
      <c r="AK105" s="17">
        <v>0.55</v>
      </c>
      <c r="AL105" s="17">
        <v>0.1333</v>
      </c>
      <c r="AM105" s="17">
        <v>0.1167</v>
      </c>
      <c r="AN105" s="17">
        <v>0.1</v>
      </c>
      <c r="AO105" s="17">
        <v>0.1</v>
      </c>
    </row>
    <row r="106" ht="14.25" customHeight="1">
      <c r="A106" s="15">
        <v>45321.0</v>
      </c>
      <c r="B106" s="16" t="s">
        <v>44</v>
      </c>
      <c r="C106" s="16">
        <v>9.5</v>
      </c>
      <c r="D106" s="16">
        <v>12.2</v>
      </c>
      <c r="E106" s="16">
        <v>13.1</v>
      </c>
      <c r="F106" s="16">
        <v>28.0</v>
      </c>
      <c r="G106" s="16">
        <v>1.0</v>
      </c>
      <c r="H106" s="16">
        <v>34.0</v>
      </c>
      <c r="I106" s="16">
        <v>7.0</v>
      </c>
      <c r="J106" s="16">
        <v>1.0</v>
      </c>
      <c r="K106" s="16">
        <v>30.0</v>
      </c>
      <c r="L106" s="16">
        <v>1.0</v>
      </c>
      <c r="M106" s="16">
        <v>9.0</v>
      </c>
      <c r="N106" s="16">
        <v>3.0</v>
      </c>
      <c r="O106" s="16">
        <v>10.0</v>
      </c>
      <c r="P106" s="16">
        <v>0.0</v>
      </c>
      <c r="Q106" s="16">
        <v>2.0</v>
      </c>
      <c r="R106" s="16">
        <v>12.0</v>
      </c>
      <c r="S106" s="16">
        <v>0.0</v>
      </c>
      <c r="T106" s="16">
        <v>0.0</v>
      </c>
      <c r="U106" s="16">
        <v>3.0</v>
      </c>
      <c r="V106" s="16">
        <v>5.0</v>
      </c>
      <c r="W106" s="16">
        <v>0.0</v>
      </c>
      <c r="X106" s="16">
        <v>0.0</v>
      </c>
      <c r="Y106" s="16">
        <v>0.0</v>
      </c>
      <c r="Z106" s="16">
        <v>0.0</v>
      </c>
      <c r="AA106" s="16">
        <v>0.0</v>
      </c>
      <c r="AB106" s="16">
        <v>0.0</v>
      </c>
      <c r="AC106" s="16">
        <v>0.0</v>
      </c>
      <c r="AD106" s="16">
        <v>0.0</v>
      </c>
      <c r="AE106" s="16">
        <v>0.0</v>
      </c>
      <c r="AF106" s="16">
        <v>0.0</v>
      </c>
      <c r="AG106" s="16">
        <v>2.0</v>
      </c>
      <c r="AH106" s="16">
        <v>0.0</v>
      </c>
      <c r="AI106" s="16">
        <v>0.0</v>
      </c>
      <c r="AJ106" s="16">
        <v>120.0</v>
      </c>
      <c r="AK106" s="17">
        <v>0.3583</v>
      </c>
      <c r="AL106" s="17">
        <v>0.3333</v>
      </c>
      <c r="AM106" s="17">
        <v>0.2</v>
      </c>
      <c r="AN106" s="17">
        <v>0.0667</v>
      </c>
      <c r="AO106" s="17">
        <v>0.0167</v>
      </c>
    </row>
    <row r="107" ht="14.25" customHeight="1">
      <c r="A107" s="15">
        <v>45322.0</v>
      </c>
      <c r="B107" s="16" t="s">
        <v>42</v>
      </c>
      <c r="C107" s="16">
        <v>13.0</v>
      </c>
      <c r="D107" s="16">
        <v>4.6</v>
      </c>
      <c r="E107" s="16">
        <v>6.7</v>
      </c>
      <c r="F107" s="16">
        <v>28.0</v>
      </c>
      <c r="G107" s="16">
        <v>4.0</v>
      </c>
      <c r="H107" s="16">
        <v>6.0</v>
      </c>
      <c r="I107" s="16">
        <v>30.0</v>
      </c>
      <c r="J107" s="16">
        <v>0.0</v>
      </c>
      <c r="K107" s="16">
        <v>38.0</v>
      </c>
      <c r="L107" s="16">
        <v>0.0</v>
      </c>
      <c r="M107" s="16">
        <v>0.0</v>
      </c>
      <c r="N107" s="16">
        <v>0.0</v>
      </c>
      <c r="O107" s="16">
        <v>18.0</v>
      </c>
      <c r="P107" s="16">
        <v>0.0</v>
      </c>
      <c r="Q107" s="16">
        <v>0.0</v>
      </c>
      <c r="R107" s="16">
        <v>12.0</v>
      </c>
      <c r="S107" s="16">
        <v>0.0</v>
      </c>
      <c r="T107" s="16">
        <v>0.0</v>
      </c>
      <c r="U107" s="16">
        <v>2.0</v>
      </c>
      <c r="V107" s="16">
        <v>3.0</v>
      </c>
      <c r="W107" s="16">
        <v>0.0</v>
      </c>
      <c r="X107" s="16">
        <v>0.0</v>
      </c>
      <c r="Y107" s="16">
        <v>0.0</v>
      </c>
      <c r="Z107" s="16">
        <v>0.0</v>
      </c>
      <c r="AA107" s="16">
        <v>0.0</v>
      </c>
      <c r="AB107" s="16">
        <v>1.0</v>
      </c>
      <c r="AC107" s="16">
        <v>0.0</v>
      </c>
      <c r="AD107" s="16">
        <v>0.0</v>
      </c>
      <c r="AE107" s="16">
        <v>0.0</v>
      </c>
      <c r="AF107" s="16">
        <v>0.0</v>
      </c>
      <c r="AG107" s="16">
        <v>6.0</v>
      </c>
      <c r="AH107" s="16">
        <v>0.0</v>
      </c>
      <c r="AI107" s="16">
        <v>0.0</v>
      </c>
      <c r="AJ107" s="16">
        <v>120.0</v>
      </c>
      <c r="AK107" s="17">
        <v>0.3333</v>
      </c>
      <c r="AL107" s="17">
        <v>0.3167</v>
      </c>
      <c r="AM107" s="17">
        <v>0.25</v>
      </c>
      <c r="AN107" s="17">
        <v>0.0417</v>
      </c>
      <c r="AO107" s="17">
        <v>0.0583</v>
      </c>
    </row>
    <row r="108" ht="14.25" customHeight="1">
      <c r="A108" s="15">
        <v>45322.0</v>
      </c>
      <c r="B108" s="16" t="s">
        <v>42</v>
      </c>
      <c r="C108" s="16">
        <v>14.0</v>
      </c>
      <c r="D108" s="16">
        <v>5.5</v>
      </c>
      <c r="E108" s="16">
        <v>7.0</v>
      </c>
      <c r="F108" s="16">
        <v>28.0</v>
      </c>
      <c r="G108" s="16">
        <v>0.0</v>
      </c>
      <c r="H108" s="16">
        <v>65.0</v>
      </c>
      <c r="I108" s="16">
        <v>14.0</v>
      </c>
      <c r="J108" s="16">
        <v>2.0</v>
      </c>
      <c r="K108" s="16">
        <v>8.0</v>
      </c>
      <c r="L108" s="16">
        <v>1.0</v>
      </c>
      <c r="M108" s="16">
        <v>1.0</v>
      </c>
      <c r="N108" s="16">
        <v>0.0</v>
      </c>
      <c r="O108" s="16">
        <v>19.0</v>
      </c>
      <c r="P108" s="16">
        <v>0.0</v>
      </c>
      <c r="Q108" s="16">
        <v>1.0</v>
      </c>
      <c r="R108" s="16">
        <v>1.0</v>
      </c>
      <c r="S108" s="16">
        <v>0.0</v>
      </c>
      <c r="T108" s="16">
        <v>0.0</v>
      </c>
      <c r="U108" s="16">
        <v>1.0</v>
      </c>
      <c r="V108" s="16">
        <v>0.0</v>
      </c>
      <c r="W108" s="16">
        <v>0.0</v>
      </c>
      <c r="X108" s="16">
        <v>0.0</v>
      </c>
      <c r="Y108" s="16">
        <v>0.0</v>
      </c>
      <c r="Z108" s="16">
        <v>0.0</v>
      </c>
      <c r="AA108" s="16">
        <v>0.0</v>
      </c>
      <c r="AB108" s="16">
        <v>1.0</v>
      </c>
      <c r="AC108" s="16">
        <v>0.0</v>
      </c>
      <c r="AD108" s="16">
        <v>0.0</v>
      </c>
      <c r="AE108" s="16">
        <v>0.0</v>
      </c>
      <c r="AF108" s="16">
        <v>0.0</v>
      </c>
      <c r="AG108" s="16">
        <v>6.0</v>
      </c>
      <c r="AH108" s="16">
        <v>0.0</v>
      </c>
      <c r="AI108" s="16">
        <v>0.0</v>
      </c>
      <c r="AJ108" s="16">
        <v>120.0</v>
      </c>
      <c r="AK108" s="17">
        <v>0.675</v>
      </c>
      <c r="AL108" s="17">
        <v>0.0833</v>
      </c>
      <c r="AM108" s="17">
        <v>0.175</v>
      </c>
      <c r="AN108" s="17">
        <v>0.0083</v>
      </c>
      <c r="AO108" s="17">
        <v>0.0583</v>
      </c>
    </row>
    <row r="109" ht="14.25" customHeight="1">
      <c r="A109" s="15">
        <v>45323.0</v>
      </c>
      <c r="B109" s="16" t="s">
        <v>44</v>
      </c>
      <c r="C109" s="16">
        <v>10.0</v>
      </c>
      <c r="D109" s="16">
        <v>13.4</v>
      </c>
      <c r="E109" s="16">
        <v>17.0</v>
      </c>
      <c r="F109" s="16">
        <v>28.0</v>
      </c>
      <c r="G109" s="16">
        <v>20.0</v>
      </c>
      <c r="H109" s="16">
        <v>47.0</v>
      </c>
      <c r="I109" s="16">
        <v>13.0</v>
      </c>
      <c r="J109" s="16">
        <v>4.0</v>
      </c>
      <c r="K109" s="16">
        <v>16.0</v>
      </c>
      <c r="L109" s="16">
        <v>0.0</v>
      </c>
      <c r="M109" s="16">
        <v>1.0</v>
      </c>
      <c r="N109" s="16">
        <v>0.0</v>
      </c>
      <c r="O109" s="16">
        <v>4.0</v>
      </c>
      <c r="P109" s="16">
        <v>0.0</v>
      </c>
      <c r="Q109" s="16">
        <v>2.0</v>
      </c>
      <c r="R109" s="16">
        <v>8.0</v>
      </c>
      <c r="S109" s="16">
        <v>1.0</v>
      </c>
      <c r="T109" s="16">
        <v>0.0</v>
      </c>
      <c r="U109" s="16">
        <v>1.0</v>
      </c>
      <c r="V109" s="16">
        <v>0.0</v>
      </c>
      <c r="W109" s="16">
        <v>0.0</v>
      </c>
      <c r="X109" s="16">
        <v>0.0</v>
      </c>
      <c r="Y109" s="16">
        <v>0.0</v>
      </c>
      <c r="Z109" s="16">
        <v>0.0</v>
      </c>
      <c r="AA109" s="16">
        <v>0.0</v>
      </c>
      <c r="AB109" s="16">
        <v>0.0</v>
      </c>
      <c r="AC109" s="16">
        <v>1.0</v>
      </c>
      <c r="AD109" s="16">
        <v>0.0</v>
      </c>
      <c r="AE109" s="16">
        <v>0.0</v>
      </c>
      <c r="AF109" s="16">
        <v>0.0</v>
      </c>
      <c r="AG109" s="16">
        <v>2.0</v>
      </c>
      <c r="AH109" s="16">
        <v>0.0</v>
      </c>
      <c r="AI109" s="16">
        <v>0.0</v>
      </c>
      <c r="AJ109" s="16">
        <v>120.0</v>
      </c>
      <c r="AK109" s="17">
        <v>0.7</v>
      </c>
      <c r="AL109" s="17">
        <v>0.1417</v>
      </c>
      <c r="AM109" s="17">
        <v>0.125</v>
      </c>
      <c r="AN109" s="17">
        <v>0.0083</v>
      </c>
      <c r="AO109" s="17">
        <v>0.025</v>
      </c>
    </row>
    <row r="110" ht="14.25" customHeight="1">
      <c r="A110" s="28">
        <v>45324.0</v>
      </c>
      <c r="B110" s="16" t="s">
        <v>42</v>
      </c>
      <c r="C110" s="16">
        <v>9.0</v>
      </c>
      <c r="D110" s="16">
        <v>4.6</v>
      </c>
      <c r="E110" s="16">
        <v>5.2</v>
      </c>
      <c r="F110" s="16">
        <v>28.0</v>
      </c>
      <c r="G110" s="16">
        <v>2.0</v>
      </c>
      <c r="H110" s="16">
        <v>36.0</v>
      </c>
      <c r="I110" s="16">
        <v>20.0</v>
      </c>
      <c r="J110" s="16">
        <v>2.0</v>
      </c>
      <c r="K110" s="16">
        <v>13.0</v>
      </c>
      <c r="L110" s="16">
        <v>0.0</v>
      </c>
      <c r="M110" s="16">
        <v>0.0</v>
      </c>
      <c r="N110" s="16">
        <v>1.0</v>
      </c>
      <c r="O110" s="16">
        <v>15.0</v>
      </c>
      <c r="P110" s="16">
        <v>0.0</v>
      </c>
      <c r="Q110" s="16">
        <v>0.0</v>
      </c>
      <c r="R110" s="16">
        <v>10.0</v>
      </c>
      <c r="S110" s="16">
        <v>2.0</v>
      </c>
      <c r="T110" s="16">
        <v>0.0</v>
      </c>
      <c r="U110" s="16">
        <v>5.0</v>
      </c>
      <c r="V110" s="16">
        <v>3.0</v>
      </c>
      <c r="W110" s="16">
        <v>0.0</v>
      </c>
      <c r="X110" s="16">
        <v>1.0</v>
      </c>
      <c r="Y110" s="16">
        <v>0.0</v>
      </c>
      <c r="Z110" s="16">
        <v>0.0</v>
      </c>
      <c r="AA110" s="16">
        <v>0.0</v>
      </c>
      <c r="AB110" s="16">
        <v>4.0</v>
      </c>
      <c r="AC110" s="16">
        <v>0.0</v>
      </c>
      <c r="AD110" s="16">
        <v>0.0</v>
      </c>
      <c r="AE110" s="16">
        <v>0.0</v>
      </c>
      <c r="AF110" s="16">
        <v>0.0</v>
      </c>
      <c r="AG110" s="16">
        <v>5.0</v>
      </c>
      <c r="AH110" s="16">
        <v>0.0</v>
      </c>
      <c r="AI110" s="16">
        <v>0.0</v>
      </c>
      <c r="AJ110" s="16">
        <v>120.0</v>
      </c>
      <c r="AK110" s="17">
        <v>0.5</v>
      </c>
      <c r="AL110" s="17">
        <v>0.1083</v>
      </c>
      <c r="AM110" s="17">
        <v>0.225</v>
      </c>
      <c r="AN110" s="17">
        <v>0.075</v>
      </c>
      <c r="AO110" s="17">
        <v>0.0833</v>
      </c>
    </row>
    <row r="111" ht="14.25" customHeight="1">
      <c r="A111" s="15">
        <v>45324.0</v>
      </c>
      <c r="B111" s="16" t="s">
        <v>42</v>
      </c>
      <c r="C111" s="16">
        <v>8.5</v>
      </c>
      <c r="D111" s="16">
        <v>6.4</v>
      </c>
      <c r="E111" s="16">
        <v>7.3</v>
      </c>
      <c r="F111" s="16">
        <v>28.0</v>
      </c>
      <c r="G111" s="16">
        <v>18.0</v>
      </c>
      <c r="H111" s="16">
        <v>15.0</v>
      </c>
      <c r="I111" s="16">
        <v>18.0</v>
      </c>
      <c r="J111" s="16">
        <v>1.0</v>
      </c>
      <c r="K111" s="16">
        <v>28.0</v>
      </c>
      <c r="L111" s="16">
        <v>0.0</v>
      </c>
      <c r="M111" s="16">
        <v>3.0</v>
      </c>
      <c r="N111" s="16">
        <v>0.0</v>
      </c>
      <c r="O111" s="16">
        <v>12.0</v>
      </c>
      <c r="P111" s="16">
        <v>0.0</v>
      </c>
      <c r="Q111" s="16">
        <v>2.0</v>
      </c>
      <c r="R111" s="16">
        <v>9.0</v>
      </c>
      <c r="S111" s="16">
        <v>2.0</v>
      </c>
      <c r="T111" s="16">
        <v>0.0</v>
      </c>
      <c r="U111" s="16">
        <v>7.0</v>
      </c>
      <c r="V111" s="16">
        <v>0.0</v>
      </c>
      <c r="W111" s="16">
        <v>0.0</v>
      </c>
      <c r="X111" s="16">
        <v>0.0</v>
      </c>
      <c r="Y111" s="16">
        <v>0.0</v>
      </c>
      <c r="Z111" s="16">
        <v>0.0</v>
      </c>
      <c r="AA111" s="16">
        <v>0.0</v>
      </c>
      <c r="AB111" s="16">
        <v>3.0</v>
      </c>
      <c r="AC111" s="16">
        <v>0.0</v>
      </c>
      <c r="AD111" s="16">
        <v>0.0</v>
      </c>
      <c r="AE111" s="16">
        <v>0.0</v>
      </c>
      <c r="AF111" s="16">
        <v>0.0</v>
      </c>
      <c r="AG111" s="16">
        <v>0.0</v>
      </c>
      <c r="AH111" s="16">
        <v>0.0</v>
      </c>
      <c r="AI111" s="16">
        <v>0.0</v>
      </c>
      <c r="AJ111" s="16">
        <v>120.0</v>
      </c>
      <c r="AK111" s="17">
        <v>0.4333</v>
      </c>
      <c r="AL111" s="17">
        <v>0.2583</v>
      </c>
      <c r="AM111" s="17">
        <v>0.2083</v>
      </c>
      <c r="AN111" s="17">
        <v>0.0583</v>
      </c>
      <c r="AO111" s="17">
        <v>0.0417</v>
      </c>
    </row>
    <row r="112" ht="14.25" customHeight="1">
      <c r="A112" s="15">
        <v>45329.0</v>
      </c>
      <c r="B112" s="16" t="s">
        <v>42</v>
      </c>
      <c r="C112" s="16">
        <v>8.5</v>
      </c>
      <c r="D112" s="16">
        <v>5.8</v>
      </c>
      <c r="E112" s="16">
        <v>6.4</v>
      </c>
      <c r="F112" s="16">
        <v>24.0</v>
      </c>
      <c r="G112" s="16">
        <v>10.0</v>
      </c>
      <c r="H112" s="16">
        <v>27.0</v>
      </c>
      <c r="I112" s="16">
        <v>26.0</v>
      </c>
      <c r="J112" s="16">
        <v>4.0</v>
      </c>
      <c r="K112" s="16">
        <v>21.0</v>
      </c>
      <c r="L112" s="16">
        <v>0.0</v>
      </c>
      <c r="M112" s="16">
        <v>3.0</v>
      </c>
      <c r="N112" s="16">
        <v>0.0</v>
      </c>
      <c r="O112" s="16">
        <v>6.0</v>
      </c>
      <c r="P112" s="16">
        <v>0.0</v>
      </c>
      <c r="Q112" s="16">
        <v>1.0</v>
      </c>
      <c r="R112" s="16">
        <v>8.0</v>
      </c>
      <c r="S112" s="16">
        <v>2.0</v>
      </c>
      <c r="T112" s="16">
        <v>1.0</v>
      </c>
      <c r="U112" s="16">
        <v>9.0</v>
      </c>
      <c r="V112" s="16">
        <v>0.0</v>
      </c>
      <c r="W112" s="16">
        <v>0.0</v>
      </c>
      <c r="X112" s="16">
        <v>0.0</v>
      </c>
      <c r="Y112" s="16">
        <v>0.0</v>
      </c>
      <c r="Z112" s="16">
        <v>0.0</v>
      </c>
      <c r="AA112" s="16">
        <v>0.0</v>
      </c>
      <c r="AB112" s="16">
        <v>0.0</v>
      </c>
      <c r="AC112" s="16">
        <v>0.0</v>
      </c>
      <c r="AD112" s="16">
        <v>0.0</v>
      </c>
      <c r="AE112" s="16">
        <v>0.0</v>
      </c>
      <c r="AF112" s="16">
        <v>0.0</v>
      </c>
      <c r="AG112" s="16">
        <v>2.0</v>
      </c>
      <c r="AH112" s="16">
        <v>0.0</v>
      </c>
      <c r="AI112" s="16">
        <v>0.0</v>
      </c>
      <c r="AJ112" s="16">
        <v>120.0</v>
      </c>
      <c r="AK112" s="17">
        <v>0.5583</v>
      </c>
      <c r="AL112" s="17">
        <v>0.2</v>
      </c>
      <c r="AM112" s="17">
        <v>0.1417</v>
      </c>
      <c r="AN112" s="17">
        <v>0.075</v>
      </c>
      <c r="AO112" s="17">
        <v>0.0167</v>
      </c>
    </row>
    <row r="113" ht="14.25" customHeight="1">
      <c r="A113" s="15">
        <v>45329.0</v>
      </c>
      <c r="B113" s="16" t="s">
        <v>42</v>
      </c>
      <c r="C113" s="16">
        <v>7.0</v>
      </c>
      <c r="D113" s="16">
        <v>9.1</v>
      </c>
      <c r="E113" s="16">
        <v>9.5</v>
      </c>
      <c r="F113" s="16">
        <v>24.0</v>
      </c>
      <c r="G113" s="16">
        <v>25.0</v>
      </c>
      <c r="H113" s="16">
        <v>2.0</v>
      </c>
      <c r="I113" s="16">
        <v>13.0</v>
      </c>
      <c r="J113" s="16">
        <v>2.0</v>
      </c>
      <c r="K113" s="16">
        <v>32.0</v>
      </c>
      <c r="L113" s="16">
        <v>0.0</v>
      </c>
      <c r="M113" s="16">
        <v>7.0</v>
      </c>
      <c r="N113" s="16">
        <v>0.0</v>
      </c>
      <c r="O113" s="16">
        <v>12.0</v>
      </c>
      <c r="P113" s="16">
        <v>0.0</v>
      </c>
      <c r="Q113" s="16">
        <v>1.0</v>
      </c>
      <c r="R113" s="16">
        <v>13.0</v>
      </c>
      <c r="S113" s="16">
        <v>0.0</v>
      </c>
      <c r="T113" s="16">
        <v>0.0</v>
      </c>
      <c r="U113" s="16">
        <v>9.0</v>
      </c>
      <c r="V113" s="16">
        <v>1.0</v>
      </c>
      <c r="W113" s="16">
        <v>0.0</v>
      </c>
      <c r="X113" s="16">
        <v>1.0</v>
      </c>
      <c r="Y113" s="16">
        <v>1.0</v>
      </c>
      <c r="Z113" s="16">
        <v>1.0</v>
      </c>
      <c r="AA113" s="16">
        <v>0.0</v>
      </c>
      <c r="AB113" s="16">
        <v>0.0</v>
      </c>
      <c r="AC113" s="16">
        <v>0.0</v>
      </c>
      <c r="AD113" s="16">
        <v>0.0</v>
      </c>
      <c r="AE113" s="16">
        <v>0.0</v>
      </c>
      <c r="AF113" s="16">
        <v>0.0</v>
      </c>
      <c r="AG113" s="16">
        <v>0.0</v>
      </c>
      <c r="AH113" s="16">
        <v>0.0</v>
      </c>
      <c r="AI113" s="16">
        <v>0.0</v>
      </c>
      <c r="AJ113" s="16">
        <v>120.0</v>
      </c>
      <c r="AK113" s="17">
        <v>0.35</v>
      </c>
      <c r="AL113" s="17">
        <v>0.325</v>
      </c>
      <c r="AM113" s="17">
        <v>0.2167</v>
      </c>
      <c r="AN113" s="17">
        <v>0.1083</v>
      </c>
      <c r="AO113" s="17">
        <v>0.0</v>
      </c>
    </row>
    <row r="114" ht="14.25" customHeight="1">
      <c r="A114" s="15">
        <v>45330.0</v>
      </c>
      <c r="B114" s="16" t="s">
        <v>43</v>
      </c>
      <c r="C114" s="16">
        <v>9.2</v>
      </c>
      <c r="D114" s="16">
        <v>5.5</v>
      </c>
      <c r="E114" s="16">
        <v>7.0</v>
      </c>
      <c r="F114" s="16">
        <v>24.0</v>
      </c>
      <c r="G114" s="16">
        <v>3.0</v>
      </c>
      <c r="H114" s="16">
        <v>7.0</v>
      </c>
      <c r="I114" s="16">
        <v>26.0</v>
      </c>
      <c r="J114" s="16">
        <v>1.0</v>
      </c>
      <c r="K114" s="16">
        <v>20.0</v>
      </c>
      <c r="L114" s="16">
        <v>0.0</v>
      </c>
      <c r="M114" s="16">
        <v>1.0</v>
      </c>
      <c r="N114" s="16">
        <v>0.0</v>
      </c>
      <c r="O114" s="16">
        <v>22.0</v>
      </c>
      <c r="P114" s="16">
        <v>0.0</v>
      </c>
      <c r="Q114" s="16">
        <v>4.0</v>
      </c>
      <c r="R114" s="16">
        <v>17.0</v>
      </c>
      <c r="S114" s="16">
        <v>3.0</v>
      </c>
      <c r="T114" s="16">
        <v>0.0</v>
      </c>
      <c r="U114" s="16">
        <v>7.0</v>
      </c>
      <c r="V114" s="16">
        <v>0.0</v>
      </c>
      <c r="W114" s="16">
        <v>0.0</v>
      </c>
      <c r="X114" s="16">
        <v>1.0</v>
      </c>
      <c r="Y114" s="16">
        <v>0.0</v>
      </c>
      <c r="Z114" s="16">
        <v>0.0</v>
      </c>
      <c r="AA114" s="16">
        <v>0.0</v>
      </c>
      <c r="AB114" s="16">
        <v>0.0</v>
      </c>
      <c r="AC114" s="16">
        <v>0.0</v>
      </c>
      <c r="AD114" s="16">
        <v>0.0</v>
      </c>
      <c r="AE114" s="16">
        <v>0.0</v>
      </c>
      <c r="AF114" s="16">
        <v>0.0</v>
      </c>
      <c r="AG114" s="16">
        <v>8.0</v>
      </c>
      <c r="AH114" s="16">
        <v>0.0</v>
      </c>
      <c r="AI114" s="16">
        <v>0.0</v>
      </c>
      <c r="AJ114" s="16">
        <v>120.0</v>
      </c>
      <c r="AK114" s="17">
        <v>0.3083</v>
      </c>
      <c r="AL114" s="17">
        <v>0.175</v>
      </c>
      <c r="AM114" s="17">
        <v>0.3833</v>
      </c>
      <c r="AN114" s="17">
        <v>0.0667</v>
      </c>
      <c r="AO114" s="17">
        <v>0.0667</v>
      </c>
    </row>
    <row r="115" ht="14.25" customHeight="1">
      <c r="A115" s="15">
        <v>45330.0</v>
      </c>
      <c r="B115" s="16" t="s">
        <v>44</v>
      </c>
      <c r="C115" s="16">
        <v>6.0</v>
      </c>
      <c r="D115" s="16">
        <v>11.3</v>
      </c>
      <c r="E115" s="16">
        <v>11.6</v>
      </c>
      <c r="F115" s="16">
        <v>24.0</v>
      </c>
      <c r="G115" s="16">
        <v>4.0</v>
      </c>
      <c r="H115" s="16">
        <v>30.0</v>
      </c>
      <c r="I115" s="16">
        <v>14.0</v>
      </c>
      <c r="J115" s="16">
        <v>6.0</v>
      </c>
      <c r="K115" s="16">
        <v>17.0</v>
      </c>
      <c r="L115" s="16">
        <v>0.0</v>
      </c>
      <c r="M115" s="16">
        <v>12.0</v>
      </c>
      <c r="N115" s="16">
        <v>2.0</v>
      </c>
      <c r="O115" s="16">
        <v>8.0</v>
      </c>
      <c r="P115" s="16">
        <v>0.0</v>
      </c>
      <c r="Q115" s="16">
        <v>4.0</v>
      </c>
      <c r="R115" s="16">
        <v>10.0</v>
      </c>
      <c r="S115" s="16">
        <v>1.0</v>
      </c>
      <c r="T115" s="16">
        <v>0.0</v>
      </c>
      <c r="U115" s="16">
        <v>1.0</v>
      </c>
      <c r="V115" s="16">
        <v>8.0</v>
      </c>
      <c r="W115" s="16">
        <v>0.0</v>
      </c>
      <c r="X115" s="16">
        <v>2.0</v>
      </c>
      <c r="Y115" s="16">
        <v>0.0</v>
      </c>
      <c r="Z115" s="16">
        <v>0.0</v>
      </c>
      <c r="AA115" s="16">
        <v>0.0</v>
      </c>
      <c r="AB115" s="16">
        <v>0.0</v>
      </c>
      <c r="AC115" s="16">
        <v>0.0</v>
      </c>
      <c r="AD115" s="16">
        <v>0.0</v>
      </c>
      <c r="AE115" s="16">
        <v>0.0</v>
      </c>
      <c r="AF115" s="16">
        <v>0.0</v>
      </c>
      <c r="AG115" s="16">
        <v>1.0</v>
      </c>
      <c r="AH115" s="16">
        <v>0.0</v>
      </c>
      <c r="AI115" s="16">
        <v>0.0</v>
      </c>
      <c r="AJ115" s="16">
        <v>120.0</v>
      </c>
      <c r="AK115" s="17">
        <v>0.45</v>
      </c>
      <c r="AL115" s="17">
        <v>0.2417</v>
      </c>
      <c r="AM115" s="17">
        <v>0.1917</v>
      </c>
      <c r="AN115" s="17">
        <v>0.0917</v>
      </c>
      <c r="AO115" s="17">
        <v>0.0083</v>
      </c>
    </row>
    <row r="116" ht="14.25" customHeight="1">
      <c r="A116" s="15">
        <v>45331.0</v>
      </c>
      <c r="B116" s="16" t="s">
        <v>43</v>
      </c>
      <c r="C116" s="16">
        <v>8.6</v>
      </c>
      <c r="D116" s="16">
        <v>11.0</v>
      </c>
      <c r="E116" s="16">
        <v>11.3</v>
      </c>
      <c r="F116" s="16">
        <v>24.0</v>
      </c>
      <c r="G116" s="20">
        <v>22.0</v>
      </c>
      <c r="H116" s="16">
        <v>0.0</v>
      </c>
      <c r="I116" s="16">
        <v>15.0</v>
      </c>
      <c r="J116" s="16">
        <v>8.0</v>
      </c>
      <c r="K116" s="16">
        <v>15.0</v>
      </c>
      <c r="L116" s="16">
        <v>0.0</v>
      </c>
      <c r="M116" s="16">
        <v>10.0</v>
      </c>
      <c r="N116" s="16">
        <v>12.0</v>
      </c>
      <c r="O116" s="16">
        <v>8.0</v>
      </c>
      <c r="P116" s="16">
        <v>0.0</v>
      </c>
      <c r="Q116" s="16">
        <v>4.0</v>
      </c>
      <c r="R116" s="16">
        <v>10.0</v>
      </c>
      <c r="S116" s="16">
        <v>0.0</v>
      </c>
      <c r="T116" s="16">
        <v>0.0</v>
      </c>
      <c r="U116" s="16">
        <v>12.0</v>
      </c>
      <c r="V116" s="16">
        <v>2.0</v>
      </c>
      <c r="W116" s="16">
        <v>0.0</v>
      </c>
      <c r="X116" s="16">
        <v>0.0</v>
      </c>
      <c r="Y116" s="16">
        <v>1.0</v>
      </c>
      <c r="Z116" s="16">
        <v>0.0</v>
      </c>
      <c r="AA116" s="16">
        <v>0.0</v>
      </c>
      <c r="AB116" s="16">
        <v>0.0</v>
      </c>
      <c r="AC116" s="16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6">
        <v>0.0</v>
      </c>
      <c r="AJ116" s="16">
        <v>120.0</v>
      </c>
      <c r="AK116" s="17">
        <v>0.375</v>
      </c>
      <c r="AL116" s="17">
        <v>0.2083</v>
      </c>
      <c r="AM116" s="17">
        <v>0.1833</v>
      </c>
      <c r="AN116" s="17">
        <v>0.125</v>
      </c>
      <c r="AO116" s="17">
        <v>0.0083</v>
      </c>
    </row>
    <row r="117" ht="14.25" customHeight="1">
      <c r="A117" s="15">
        <v>45356.0</v>
      </c>
      <c r="B117" s="18" t="s">
        <v>41</v>
      </c>
      <c r="C117" s="16">
        <v>16.6</v>
      </c>
      <c r="D117" s="16">
        <v>12.0</v>
      </c>
      <c r="E117" s="16">
        <v>12.1</v>
      </c>
      <c r="F117" s="16">
        <v>30.0</v>
      </c>
      <c r="G117" s="16">
        <v>0.0</v>
      </c>
      <c r="H117" s="16">
        <v>81.0</v>
      </c>
      <c r="I117" s="16">
        <v>2.0</v>
      </c>
      <c r="J117" s="16">
        <v>1.0</v>
      </c>
      <c r="K117" s="16">
        <v>7.0</v>
      </c>
      <c r="L117" s="16">
        <v>1.0</v>
      </c>
      <c r="M117" s="16">
        <v>0.0</v>
      </c>
      <c r="N117" s="16">
        <v>1.0</v>
      </c>
      <c r="O117" s="16">
        <v>13.0</v>
      </c>
      <c r="P117" s="16">
        <v>1.0</v>
      </c>
      <c r="Q117" s="16">
        <v>2.0</v>
      </c>
      <c r="R117" s="16">
        <v>5.0</v>
      </c>
      <c r="S117" s="16">
        <v>0.0</v>
      </c>
      <c r="T117" s="16">
        <v>2.0</v>
      </c>
      <c r="U117" s="16">
        <v>2.0</v>
      </c>
      <c r="V117" s="16">
        <v>1.0</v>
      </c>
      <c r="W117" s="16">
        <v>0.0</v>
      </c>
      <c r="X117" s="16">
        <v>0.0</v>
      </c>
      <c r="Y117" s="16">
        <v>0.0</v>
      </c>
      <c r="Z117" s="16">
        <v>0.0</v>
      </c>
      <c r="AA117" s="16">
        <v>0.0</v>
      </c>
      <c r="AB117" s="16">
        <v>0.0</v>
      </c>
      <c r="AC117" s="16">
        <v>0.0</v>
      </c>
      <c r="AD117" s="16">
        <v>0.0</v>
      </c>
      <c r="AE117" s="16">
        <v>0.0</v>
      </c>
      <c r="AF117" s="16">
        <v>0.0</v>
      </c>
      <c r="AG117" s="16">
        <v>1.0</v>
      </c>
      <c r="AH117" s="16">
        <v>0.0</v>
      </c>
      <c r="AI117" s="16">
        <v>0.0</v>
      </c>
      <c r="AJ117" s="16">
        <v>120.0</v>
      </c>
      <c r="AK117" s="17">
        <v>0.7</v>
      </c>
      <c r="AL117" s="17">
        <v>0.0667</v>
      </c>
      <c r="AM117" s="17">
        <v>0.175</v>
      </c>
      <c r="AN117" s="17">
        <v>0.025</v>
      </c>
      <c r="AO117" s="17">
        <v>0.0083</v>
      </c>
    </row>
    <row r="118" ht="14.25" customHeight="1">
      <c r="A118" s="22">
        <v>45356.0</v>
      </c>
      <c r="B118" s="16" t="s">
        <v>44</v>
      </c>
      <c r="C118" s="16">
        <v>18.6</v>
      </c>
      <c r="D118" s="16">
        <v>11.5</v>
      </c>
      <c r="E118" s="16">
        <v>11.2</v>
      </c>
      <c r="F118" s="16">
        <v>29.0</v>
      </c>
      <c r="G118" s="16">
        <v>0.0</v>
      </c>
      <c r="H118" s="16">
        <v>61.0</v>
      </c>
      <c r="I118" s="16">
        <v>12.0</v>
      </c>
      <c r="J118" s="16">
        <v>2.0</v>
      </c>
      <c r="K118" s="16">
        <v>10.0</v>
      </c>
      <c r="L118" s="16">
        <v>0.0</v>
      </c>
      <c r="M118" s="16">
        <v>9.0</v>
      </c>
      <c r="N118" s="16">
        <v>2.0</v>
      </c>
      <c r="O118" s="16">
        <v>5.0</v>
      </c>
      <c r="P118" s="16">
        <v>0.0</v>
      </c>
      <c r="Q118" s="16">
        <v>0.0</v>
      </c>
      <c r="R118" s="16">
        <v>9.0</v>
      </c>
      <c r="S118" s="16">
        <v>0.0</v>
      </c>
      <c r="T118" s="16">
        <v>0.0</v>
      </c>
      <c r="U118" s="16">
        <v>1.0</v>
      </c>
      <c r="V118" s="16">
        <v>2.0</v>
      </c>
      <c r="W118" s="16">
        <v>0.0</v>
      </c>
      <c r="X118" s="16">
        <v>0.0</v>
      </c>
      <c r="Y118" s="16">
        <v>1.0</v>
      </c>
      <c r="Z118" s="16">
        <v>0.0</v>
      </c>
      <c r="AA118" s="16">
        <v>0.0</v>
      </c>
      <c r="AB118" s="16">
        <v>4.0</v>
      </c>
      <c r="AC118" s="16">
        <v>0.0</v>
      </c>
      <c r="AD118" s="16">
        <v>0.0</v>
      </c>
      <c r="AE118" s="16">
        <v>0.0</v>
      </c>
      <c r="AF118" s="16">
        <v>0.0</v>
      </c>
      <c r="AG118" s="16">
        <v>1.0</v>
      </c>
      <c r="AH118" s="16">
        <v>1.0</v>
      </c>
      <c r="AI118" s="16">
        <v>0.0</v>
      </c>
      <c r="AJ118" s="16">
        <v>120.0</v>
      </c>
      <c r="AK118" s="17">
        <v>0.625</v>
      </c>
      <c r="AL118" s="17">
        <v>0.1583</v>
      </c>
      <c r="AM118" s="17">
        <v>0.1167</v>
      </c>
      <c r="AN118" s="17">
        <v>0.0333</v>
      </c>
      <c r="AO118" s="17">
        <v>0.05</v>
      </c>
    </row>
    <row r="119" ht="14.25" customHeight="1">
      <c r="A119" s="15">
        <v>45357.0</v>
      </c>
      <c r="B119" s="18" t="s">
        <v>42</v>
      </c>
      <c r="C119" s="16">
        <v>14.1</v>
      </c>
      <c r="D119" s="16">
        <v>12.7</v>
      </c>
      <c r="E119" s="16">
        <v>11.1</v>
      </c>
      <c r="F119" s="20">
        <v>29.0</v>
      </c>
      <c r="G119" s="16">
        <v>51.0</v>
      </c>
      <c r="H119" s="16">
        <v>0.0</v>
      </c>
      <c r="I119" s="16">
        <v>11.0</v>
      </c>
      <c r="J119" s="16">
        <v>4.0</v>
      </c>
      <c r="K119" s="16">
        <v>10.0</v>
      </c>
      <c r="L119" s="16">
        <v>1.0</v>
      </c>
      <c r="M119" s="16">
        <v>1.0</v>
      </c>
      <c r="N119" s="16">
        <v>9.0</v>
      </c>
      <c r="O119" s="16">
        <v>8.0</v>
      </c>
      <c r="P119" s="16">
        <v>1.0</v>
      </c>
      <c r="Q119" s="16">
        <v>3.0</v>
      </c>
      <c r="R119" s="16">
        <v>11.0</v>
      </c>
      <c r="S119" s="16">
        <v>1.0</v>
      </c>
      <c r="T119" s="16">
        <v>0.0</v>
      </c>
      <c r="U119" s="16">
        <v>9.0</v>
      </c>
      <c r="V119" s="16">
        <v>0.0</v>
      </c>
      <c r="W119" s="16">
        <v>0.0</v>
      </c>
      <c r="X119" s="16">
        <v>0.0</v>
      </c>
      <c r="Y119" s="16">
        <v>0.0</v>
      </c>
      <c r="Z119" s="16">
        <v>0.0</v>
      </c>
      <c r="AA119" s="16">
        <v>0.0</v>
      </c>
      <c r="AB119" s="16">
        <v>0.0</v>
      </c>
      <c r="AC119" s="16">
        <v>0.0</v>
      </c>
      <c r="AD119" s="16">
        <v>0.0</v>
      </c>
      <c r="AE119" s="16">
        <v>0.0</v>
      </c>
      <c r="AF119" s="16">
        <v>0.0</v>
      </c>
      <c r="AG119" s="16">
        <v>0.0</v>
      </c>
      <c r="AH119" s="16">
        <v>0.0</v>
      </c>
      <c r="AI119" s="16">
        <v>0.0</v>
      </c>
      <c r="AJ119" s="16">
        <v>120.0</v>
      </c>
      <c r="AK119" s="17">
        <v>0.55</v>
      </c>
      <c r="AL119" s="17">
        <v>0.1</v>
      </c>
      <c r="AM119" s="17">
        <v>0.2</v>
      </c>
      <c r="AN119" s="17">
        <v>0.075</v>
      </c>
      <c r="AO119" s="17">
        <v>0.0</v>
      </c>
    </row>
    <row r="120" ht="14.25" customHeight="1">
      <c r="A120" s="15">
        <v>45357.0</v>
      </c>
      <c r="B120" s="16" t="s">
        <v>43</v>
      </c>
      <c r="C120" s="16">
        <v>14.5</v>
      </c>
      <c r="D120" s="16">
        <v>3.6</v>
      </c>
      <c r="E120" s="16">
        <v>3.2</v>
      </c>
      <c r="F120" s="16">
        <v>30.0</v>
      </c>
      <c r="G120" s="16">
        <v>0.0</v>
      </c>
      <c r="H120" s="16">
        <v>49.0</v>
      </c>
      <c r="I120" s="16">
        <v>24.0</v>
      </c>
      <c r="J120" s="16">
        <v>2.0</v>
      </c>
      <c r="K120" s="16">
        <v>1.0</v>
      </c>
      <c r="L120" s="16">
        <v>0.0</v>
      </c>
      <c r="M120" s="16">
        <v>0.0</v>
      </c>
      <c r="N120" s="16">
        <v>0.0</v>
      </c>
      <c r="O120" s="16">
        <v>7.0</v>
      </c>
      <c r="P120" s="16">
        <v>0.0</v>
      </c>
      <c r="Q120" s="16">
        <v>0.0</v>
      </c>
      <c r="R120" s="16">
        <v>8.0</v>
      </c>
      <c r="S120" s="16">
        <v>4.0</v>
      </c>
      <c r="T120" s="16">
        <v>0.0</v>
      </c>
      <c r="U120" s="16">
        <v>7.0</v>
      </c>
      <c r="V120" s="16">
        <v>0.0</v>
      </c>
      <c r="W120" s="16">
        <v>0.0</v>
      </c>
      <c r="X120" s="16">
        <v>0.0</v>
      </c>
      <c r="Y120" s="16">
        <v>0.0</v>
      </c>
      <c r="Z120" s="16">
        <v>0.0</v>
      </c>
      <c r="AA120" s="16">
        <v>0.0</v>
      </c>
      <c r="AB120" s="16">
        <v>9.0</v>
      </c>
      <c r="AC120" s="16">
        <v>0.0</v>
      </c>
      <c r="AD120" s="16">
        <v>1.0</v>
      </c>
      <c r="AE120" s="16">
        <v>0.0</v>
      </c>
      <c r="AF120" s="16">
        <v>0.0</v>
      </c>
      <c r="AG120" s="16">
        <v>5.0</v>
      </c>
      <c r="AH120" s="16">
        <v>3.0</v>
      </c>
      <c r="AI120" s="16">
        <v>0.0</v>
      </c>
      <c r="AJ120" s="16">
        <v>120.0</v>
      </c>
      <c r="AK120" s="17">
        <v>0.625</v>
      </c>
      <c r="AL120" s="17">
        <v>0.0083</v>
      </c>
      <c r="AM120" s="17">
        <v>0.1583</v>
      </c>
      <c r="AN120" s="17">
        <v>0.0583</v>
      </c>
      <c r="AO120" s="17">
        <v>0.15</v>
      </c>
    </row>
    <row r="121" ht="14.25" customHeight="1">
      <c r="A121" s="22">
        <v>45358.0</v>
      </c>
      <c r="B121" s="18" t="s">
        <v>41</v>
      </c>
      <c r="C121" s="16">
        <v>14.07</v>
      </c>
      <c r="D121" s="16">
        <v>10.4</v>
      </c>
      <c r="E121" s="16">
        <v>12.0</v>
      </c>
      <c r="F121" s="16">
        <v>30.0</v>
      </c>
      <c r="G121" s="16">
        <v>0.0</v>
      </c>
      <c r="H121" s="16">
        <v>80.0</v>
      </c>
      <c r="I121" s="16">
        <v>4.0</v>
      </c>
      <c r="J121" s="16">
        <v>4.0</v>
      </c>
      <c r="K121" s="16">
        <v>2.0</v>
      </c>
      <c r="L121" s="16">
        <v>0.0</v>
      </c>
      <c r="M121" s="16">
        <v>0.0</v>
      </c>
      <c r="N121" s="16">
        <v>2.0</v>
      </c>
      <c r="O121" s="16">
        <v>8.0</v>
      </c>
      <c r="P121" s="16">
        <v>1.0</v>
      </c>
      <c r="Q121" s="16">
        <v>1.0</v>
      </c>
      <c r="R121" s="16">
        <v>5.0</v>
      </c>
      <c r="S121" s="16">
        <v>1.0</v>
      </c>
      <c r="T121" s="16">
        <v>1.0</v>
      </c>
      <c r="U121" s="16">
        <v>3.0</v>
      </c>
      <c r="V121" s="16">
        <v>3.0</v>
      </c>
      <c r="W121" s="16">
        <v>0.0</v>
      </c>
      <c r="X121" s="16">
        <v>0.0</v>
      </c>
      <c r="Y121" s="16">
        <v>1.0</v>
      </c>
      <c r="Z121" s="16">
        <v>0.0</v>
      </c>
      <c r="AA121" s="16">
        <v>0.0</v>
      </c>
      <c r="AB121" s="16">
        <v>0.0</v>
      </c>
      <c r="AC121" s="16">
        <v>0.0</v>
      </c>
      <c r="AD121" s="16">
        <v>0.0</v>
      </c>
      <c r="AE121" s="16">
        <v>0.0</v>
      </c>
      <c r="AF121" s="16">
        <v>0.0</v>
      </c>
      <c r="AG121" s="16">
        <v>4.0</v>
      </c>
      <c r="AH121" s="16">
        <v>0.0</v>
      </c>
      <c r="AI121" s="16">
        <v>0.0</v>
      </c>
      <c r="AJ121" s="16">
        <v>120.0</v>
      </c>
      <c r="AK121" s="17">
        <v>0.7333</v>
      </c>
      <c r="AL121" s="17">
        <v>0.0167</v>
      </c>
      <c r="AM121" s="17">
        <v>0.1333</v>
      </c>
      <c r="AN121" s="17">
        <v>0.0583</v>
      </c>
      <c r="AO121" s="17">
        <v>0.0333</v>
      </c>
    </row>
    <row r="122" ht="14.25" customHeight="1">
      <c r="A122" s="15">
        <v>45358.0</v>
      </c>
      <c r="B122" s="16" t="s">
        <v>45</v>
      </c>
      <c r="C122" s="16">
        <v>17.2</v>
      </c>
      <c r="D122" s="16">
        <v>11.3</v>
      </c>
      <c r="E122" s="16">
        <v>10.2</v>
      </c>
      <c r="F122" s="16">
        <v>29.0</v>
      </c>
      <c r="G122" s="16">
        <v>1.0</v>
      </c>
      <c r="H122" s="16">
        <v>56.0</v>
      </c>
      <c r="I122" s="16">
        <v>3.0</v>
      </c>
      <c r="J122" s="16">
        <v>2.0</v>
      </c>
      <c r="K122" s="16">
        <v>4.0</v>
      </c>
      <c r="L122" s="16">
        <v>0.0</v>
      </c>
      <c r="M122" s="16">
        <v>1.0</v>
      </c>
      <c r="N122" s="16">
        <v>2.0</v>
      </c>
      <c r="O122" s="16">
        <v>27.0</v>
      </c>
      <c r="P122" s="16">
        <v>5.0</v>
      </c>
      <c r="Q122" s="16">
        <v>2.0</v>
      </c>
      <c r="R122" s="16">
        <v>5.0</v>
      </c>
      <c r="S122" s="16">
        <v>3.0</v>
      </c>
      <c r="T122" s="16">
        <v>2.0</v>
      </c>
      <c r="U122" s="16">
        <v>6.0</v>
      </c>
      <c r="V122" s="16">
        <v>1.0</v>
      </c>
      <c r="W122" s="16">
        <v>0.0</v>
      </c>
      <c r="X122" s="16">
        <v>0.0</v>
      </c>
      <c r="Y122" s="16">
        <v>0.0</v>
      </c>
      <c r="Z122" s="16">
        <v>0.0</v>
      </c>
      <c r="AA122" s="16">
        <v>0.0</v>
      </c>
      <c r="AB122" s="16">
        <v>0.0</v>
      </c>
      <c r="AC122" s="16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6">
        <v>0.0</v>
      </c>
      <c r="AJ122" s="16">
        <v>120.0</v>
      </c>
      <c r="AK122" s="17">
        <v>0.5167</v>
      </c>
      <c r="AL122" s="17">
        <v>0.0417</v>
      </c>
      <c r="AM122" s="17">
        <v>0.35</v>
      </c>
      <c r="AN122" s="17">
        <v>0.0583</v>
      </c>
      <c r="AO122" s="17">
        <v>0.0</v>
      </c>
    </row>
    <row r="123" ht="14.25" customHeight="1">
      <c r="A123" s="22">
        <v>45359.0</v>
      </c>
      <c r="B123" s="18" t="s">
        <v>41</v>
      </c>
      <c r="C123" s="16">
        <v>11.9</v>
      </c>
      <c r="D123" s="16">
        <v>9.2</v>
      </c>
      <c r="E123" s="16">
        <v>9.7</v>
      </c>
      <c r="F123" s="16">
        <v>29.0</v>
      </c>
      <c r="G123" s="16">
        <v>0.0</v>
      </c>
      <c r="H123" s="16">
        <v>37.0</v>
      </c>
      <c r="I123" s="16">
        <v>11.0</v>
      </c>
      <c r="J123" s="16">
        <v>0.0</v>
      </c>
      <c r="K123" s="16">
        <v>3.0</v>
      </c>
      <c r="L123" s="16">
        <v>0.0</v>
      </c>
      <c r="M123" s="16">
        <v>0.0</v>
      </c>
      <c r="N123" s="16">
        <v>0.0</v>
      </c>
      <c r="O123" s="16">
        <v>17.0</v>
      </c>
      <c r="P123" s="16">
        <v>5.0</v>
      </c>
      <c r="Q123" s="16">
        <v>1.0</v>
      </c>
      <c r="R123" s="16">
        <v>15.0</v>
      </c>
      <c r="S123" s="16">
        <v>5.0</v>
      </c>
      <c r="T123" s="16">
        <v>0.0</v>
      </c>
      <c r="U123" s="16">
        <v>3.0</v>
      </c>
      <c r="V123" s="16">
        <v>2.0</v>
      </c>
      <c r="W123" s="16">
        <v>0.0</v>
      </c>
      <c r="X123" s="16">
        <v>4.0</v>
      </c>
      <c r="Y123" s="16">
        <v>1.0</v>
      </c>
      <c r="Z123" s="16">
        <v>1.0</v>
      </c>
      <c r="AA123" s="16">
        <v>0.0</v>
      </c>
      <c r="AB123" s="16">
        <v>2.0</v>
      </c>
      <c r="AC123" s="16">
        <v>0.0</v>
      </c>
      <c r="AD123" s="16">
        <v>2.0</v>
      </c>
      <c r="AE123" s="16">
        <v>0.0</v>
      </c>
      <c r="AF123" s="16">
        <v>0.0</v>
      </c>
      <c r="AG123" s="16">
        <v>0.0</v>
      </c>
      <c r="AH123" s="16">
        <v>1.0</v>
      </c>
      <c r="AI123" s="16">
        <v>0.0</v>
      </c>
      <c r="AJ123" s="16">
        <v>110.0</v>
      </c>
      <c r="AK123" s="17">
        <v>0.4</v>
      </c>
      <c r="AL123" s="17">
        <v>0.025</v>
      </c>
      <c r="AM123" s="17">
        <v>0.3583</v>
      </c>
      <c r="AN123" s="17">
        <v>0.0917</v>
      </c>
      <c r="AO123" s="17">
        <v>0.0417</v>
      </c>
    </row>
    <row r="124" ht="14.25" customHeight="1">
      <c r="A124" s="15">
        <v>45359.0</v>
      </c>
      <c r="B124" s="16" t="s">
        <v>45</v>
      </c>
      <c r="C124" s="16">
        <v>12.3</v>
      </c>
      <c r="D124" s="16">
        <v>11.1</v>
      </c>
      <c r="E124" s="16">
        <v>10.6</v>
      </c>
      <c r="F124" s="16">
        <v>29.0</v>
      </c>
      <c r="G124" s="16">
        <v>0.0</v>
      </c>
      <c r="H124" s="16">
        <v>39.0</v>
      </c>
      <c r="I124" s="16">
        <v>11.0</v>
      </c>
      <c r="J124" s="16">
        <v>3.0</v>
      </c>
      <c r="K124" s="16">
        <v>5.0</v>
      </c>
      <c r="L124" s="16">
        <v>0.0</v>
      </c>
      <c r="M124" s="16">
        <v>0.0</v>
      </c>
      <c r="N124" s="16">
        <v>0.0</v>
      </c>
      <c r="O124" s="16">
        <v>25.0</v>
      </c>
      <c r="P124" s="16">
        <v>1.0</v>
      </c>
      <c r="Q124" s="16">
        <v>1.0</v>
      </c>
      <c r="R124" s="16">
        <v>21.0</v>
      </c>
      <c r="S124" s="16">
        <v>5.0</v>
      </c>
      <c r="T124" s="16">
        <v>0.0</v>
      </c>
      <c r="U124" s="16">
        <v>3.0</v>
      </c>
      <c r="V124" s="16">
        <v>2.0</v>
      </c>
      <c r="W124" s="16">
        <v>0.0</v>
      </c>
      <c r="X124" s="16">
        <v>0.0</v>
      </c>
      <c r="Y124" s="16">
        <v>1.0</v>
      </c>
      <c r="Z124" s="16">
        <v>0.0</v>
      </c>
      <c r="AA124" s="16">
        <v>0.0</v>
      </c>
      <c r="AB124" s="16">
        <v>3.0</v>
      </c>
      <c r="AC124" s="16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6">
        <v>0.0</v>
      </c>
      <c r="AJ124" s="16">
        <v>120.0</v>
      </c>
      <c r="AK124" s="17">
        <v>0.4417</v>
      </c>
      <c r="AL124" s="17">
        <v>0.0417</v>
      </c>
      <c r="AM124" s="17">
        <v>0.4417</v>
      </c>
      <c r="AN124" s="17">
        <v>0.05</v>
      </c>
      <c r="AO124" s="17">
        <v>0.025</v>
      </c>
    </row>
    <row r="125" ht="14.25" customHeight="1">
      <c r="A125" s="22">
        <v>45441.0</v>
      </c>
      <c r="B125" s="18" t="s">
        <v>41</v>
      </c>
      <c r="C125" s="16">
        <v>12.4</v>
      </c>
      <c r="D125" s="16">
        <v>8.3</v>
      </c>
      <c r="E125" s="16">
        <v>9.9</v>
      </c>
      <c r="F125" s="16">
        <v>31.0</v>
      </c>
      <c r="G125" s="16">
        <v>2.0</v>
      </c>
      <c r="H125" s="16">
        <v>72.0</v>
      </c>
      <c r="I125" s="16">
        <v>9.0</v>
      </c>
      <c r="J125" s="16">
        <v>0.0</v>
      </c>
      <c r="K125" s="16">
        <v>12.0</v>
      </c>
      <c r="L125" s="16">
        <v>0.0</v>
      </c>
      <c r="M125" s="16">
        <v>2.0</v>
      </c>
      <c r="N125" s="16">
        <v>0.0</v>
      </c>
      <c r="O125" s="16">
        <v>8.0</v>
      </c>
      <c r="P125" s="16">
        <v>5.0</v>
      </c>
      <c r="Q125" s="16">
        <v>0.0</v>
      </c>
      <c r="R125" s="16">
        <v>4.0</v>
      </c>
      <c r="S125" s="16">
        <v>5.0</v>
      </c>
      <c r="T125" s="16">
        <v>0.0</v>
      </c>
      <c r="U125" s="16">
        <v>0.0</v>
      </c>
      <c r="V125" s="16">
        <v>0.0</v>
      </c>
      <c r="W125" s="16">
        <v>0.0</v>
      </c>
      <c r="X125" s="16">
        <v>0.0</v>
      </c>
      <c r="Y125" s="16">
        <v>0.0</v>
      </c>
      <c r="Z125" s="16">
        <v>0.0</v>
      </c>
      <c r="AA125" s="16">
        <v>0.0</v>
      </c>
      <c r="AB125" s="16">
        <v>1.0</v>
      </c>
      <c r="AC125" s="16">
        <v>0.0</v>
      </c>
      <c r="AD125" s="16">
        <v>0.0</v>
      </c>
      <c r="AE125" s="16">
        <v>0.0</v>
      </c>
      <c r="AF125" s="16">
        <v>0.0</v>
      </c>
      <c r="AG125" s="16">
        <v>0.0</v>
      </c>
      <c r="AH125" s="16">
        <v>0.0</v>
      </c>
      <c r="AI125" s="16">
        <v>0.0</v>
      </c>
      <c r="AJ125" s="16">
        <v>120.0</v>
      </c>
      <c r="AK125" s="17">
        <v>0.6917</v>
      </c>
      <c r="AL125" s="17">
        <v>0.1167</v>
      </c>
      <c r="AM125" s="17">
        <v>0.1833</v>
      </c>
      <c r="AN125" s="17">
        <v>0.0</v>
      </c>
      <c r="AO125" s="17">
        <v>0.0083</v>
      </c>
    </row>
    <row r="126" ht="14.25" customHeight="1">
      <c r="A126" s="25">
        <v>45456.0</v>
      </c>
      <c r="B126" s="16" t="s">
        <v>43</v>
      </c>
      <c r="C126" s="16">
        <v>10.8</v>
      </c>
      <c r="D126" s="16">
        <v>6.7</v>
      </c>
      <c r="E126" s="16">
        <v>6.9</v>
      </c>
      <c r="F126" s="16">
        <v>30.0</v>
      </c>
      <c r="G126" s="16">
        <v>16.0</v>
      </c>
      <c r="H126" s="16">
        <v>12.0</v>
      </c>
      <c r="I126" s="16">
        <v>34.0</v>
      </c>
      <c r="J126" s="16">
        <v>1.0</v>
      </c>
      <c r="K126" s="16">
        <v>8.0</v>
      </c>
      <c r="L126" s="16">
        <v>0.0</v>
      </c>
      <c r="M126" s="16">
        <v>0.0</v>
      </c>
      <c r="N126" s="16">
        <v>0.0</v>
      </c>
      <c r="O126" s="16">
        <v>12.0</v>
      </c>
      <c r="P126" s="16">
        <v>0.0</v>
      </c>
      <c r="Q126" s="16">
        <v>14.0</v>
      </c>
      <c r="R126" s="16">
        <v>4.0</v>
      </c>
      <c r="S126" s="16">
        <v>0.0</v>
      </c>
      <c r="T126" s="16">
        <v>2.0</v>
      </c>
      <c r="U126" s="16">
        <v>8.0</v>
      </c>
      <c r="V126" s="16">
        <v>0.0</v>
      </c>
      <c r="W126" s="16">
        <v>0.0</v>
      </c>
      <c r="X126" s="16">
        <v>0.0</v>
      </c>
      <c r="Y126" s="16">
        <v>0.0</v>
      </c>
      <c r="Z126" s="16">
        <v>1.0</v>
      </c>
      <c r="AA126" s="16">
        <v>0.0</v>
      </c>
      <c r="AB126" s="16">
        <v>0.0</v>
      </c>
      <c r="AC126" s="16">
        <v>0.0</v>
      </c>
      <c r="AD126" s="16">
        <v>0.0</v>
      </c>
      <c r="AE126" s="16">
        <v>0.0</v>
      </c>
      <c r="AF126" s="16">
        <v>0.0</v>
      </c>
      <c r="AG126" s="16">
        <v>8.0</v>
      </c>
      <c r="AH126" s="16">
        <v>0.0</v>
      </c>
      <c r="AI126" s="16">
        <v>1.0</v>
      </c>
      <c r="AJ126" s="16">
        <v>121.0</v>
      </c>
      <c r="AK126" s="17">
        <v>0.525</v>
      </c>
      <c r="AL126" s="17">
        <v>0.0667</v>
      </c>
      <c r="AM126" s="17">
        <v>0.25</v>
      </c>
      <c r="AN126" s="17">
        <v>0.075</v>
      </c>
      <c r="AO126" s="17">
        <v>0.075</v>
      </c>
    </row>
    <row r="127" ht="14.25" customHeight="1">
      <c r="A127" s="22">
        <v>45456.0</v>
      </c>
      <c r="B127" s="16" t="s">
        <v>43</v>
      </c>
      <c r="C127" s="16">
        <v>18.2</v>
      </c>
      <c r="D127" s="16">
        <v>8.5</v>
      </c>
      <c r="E127" s="16">
        <v>10.2</v>
      </c>
      <c r="F127" s="16"/>
      <c r="G127" s="16">
        <v>6.0</v>
      </c>
      <c r="H127" s="16">
        <v>12.0</v>
      </c>
      <c r="I127" s="16">
        <v>37.0</v>
      </c>
      <c r="J127" s="16">
        <v>7.0</v>
      </c>
      <c r="K127" s="16">
        <v>10.0</v>
      </c>
      <c r="L127" s="16">
        <v>0.0</v>
      </c>
      <c r="M127" s="16">
        <v>1.0</v>
      </c>
      <c r="N127" s="16">
        <v>2.0</v>
      </c>
      <c r="O127" s="16">
        <v>14.0</v>
      </c>
      <c r="P127" s="16">
        <v>0.0</v>
      </c>
      <c r="Q127" s="16">
        <v>15.0</v>
      </c>
      <c r="R127" s="16">
        <v>3.0</v>
      </c>
      <c r="S127" s="16">
        <v>0.0</v>
      </c>
      <c r="T127" s="16">
        <v>1.0</v>
      </c>
      <c r="U127" s="16">
        <v>6.0</v>
      </c>
      <c r="V127" s="16">
        <v>0.0</v>
      </c>
      <c r="W127" s="16">
        <v>0.0</v>
      </c>
      <c r="X127" s="16">
        <v>0.0</v>
      </c>
      <c r="Y127" s="16">
        <v>1.0</v>
      </c>
      <c r="Z127" s="16">
        <v>0.0</v>
      </c>
      <c r="AA127" s="16">
        <v>0.0</v>
      </c>
      <c r="AB127" s="16">
        <v>0.0</v>
      </c>
      <c r="AC127" s="16">
        <v>0.0</v>
      </c>
      <c r="AD127" s="16">
        <v>0.0</v>
      </c>
      <c r="AE127" s="16">
        <v>0.0</v>
      </c>
      <c r="AF127" s="16">
        <v>0.0</v>
      </c>
      <c r="AG127" s="16">
        <v>1.0</v>
      </c>
      <c r="AH127" s="16">
        <v>0.0</v>
      </c>
      <c r="AI127" s="16">
        <v>4.0</v>
      </c>
      <c r="AJ127" s="16">
        <v>120.0</v>
      </c>
      <c r="AK127" s="17">
        <v>0.5167</v>
      </c>
      <c r="AL127" s="17">
        <v>0.0917</v>
      </c>
      <c r="AM127" s="17">
        <v>0.2667</v>
      </c>
      <c r="AN127" s="17">
        <v>0.0583</v>
      </c>
      <c r="AO127" s="17">
        <v>0.0417</v>
      </c>
    </row>
    <row r="128" ht="14.25" customHeight="1">
      <c r="A128" s="15">
        <v>45456.0</v>
      </c>
      <c r="B128" s="16" t="s">
        <v>44</v>
      </c>
      <c r="C128" s="16">
        <v>18.2</v>
      </c>
      <c r="D128" s="16">
        <v>8.5</v>
      </c>
      <c r="E128" s="16">
        <v>10.2</v>
      </c>
      <c r="F128" s="16">
        <v>30.0</v>
      </c>
      <c r="G128" s="16">
        <v>8.0</v>
      </c>
      <c r="H128" s="16">
        <v>14.0</v>
      </c>
      <c r="I128" s="16">
        <v>14.0</v>
      </c>
      <c r="J128" s="16">
        <v>0.0</v>
      </c>
      <c r="K128" s="16">
        <v>4.0</v>
      </c>
      <c r="L128" s="16">
        <v>0.0</v>
      </c>
      <c r="M128" s="16">
        <v>1.0</v>
      </c>
      <c r="N128" s="16">
        <v>1.0</v>
      </c>
      <c r="O128" s="16">
        <v>29.0</v>
      </c>
      <c r="P128" s="16">
        <v>0.0</v>
      </c>
      <c r="Q128" s="16">
        <v>8.0</v>
      </c>
      <c r="R128" s="16">
        <v>1.0</v>
      </c>
      <c r="S128" s="16">
        <v>1.0</v>
      </c>
      <c r="T128" s="16">
        <v>2.0</v>
      </c>
      <c r="U128" s="16">
        <v>11.0</v>
      </c>
      <c r="V128" s="16">
        <v>4.0</v>
      </c>
      <c r="W128" s="16">
        <v>0.0</v>
      </c>
      <c r="X128" s="16">
        <v>1.0</v>
      </c>
      <c r="Y128" s="16">
        <v>0.0</v>
      </c>
      <c r="Z128" s="16">
        <v>0.0</v>
      </c>
      <c r="AA128" s="16">
        <v>0.0</v>
      </c>
      <c r="AB128" s="16">
        <v>16.0</v>
      </c>
      <c r="AC128" s="16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6">
        <v>3.0</v>
      </c>
      <c r="AJ128" s="16">
        <v>120.0</v>
      </c>
      <c r="AK128" s="17">
        <v>0.3</v>
      </c>
      <c r="AL128" s="17">
        <v>0.0417</v>
      </c>
      <c r="AM128" s="17">
        <v>0.325</v>
      </c>
      <c r="AN128" s="17">
        <v>0.1333</v>
      </c>
      <c r="AO128" s="17">
        <v>0.175</v>
      </c>
    </row>
    <row r="129" ht="14.25" customHeight="1">
      <c r="A129" s="25">
        <v>45457.0</v>
      </c>
      <c r="B129" s="16" t="s">
        <v>42</v>
      </c>
      <c r="C129" s="16">
        <v>13.8</v>
      </c>
      <c r="D129" s="18">
        <v>6.7</v>
      </c>
      <c r="E129" s="18">
        <v>6.7</v>
      </c>
      <c r="F129" s="16">
        <v>31.0</v>
      </c>
      <c r="G129" s="16">
        <v>3.0</v>
      </c>
      <c r="H129" s="16">
        <v>37.0</v>
      </c>
      <c r="I129" s="16">
        <v>14.0</v>
      </c>
      <c r="J129" s="16">
        <v>0.0</v>
      </c>
      <c r="K129" s="16">
        <v>6.0</v>
      </c>
      <c r="L129" s="16">
        <v>0.0</v>
      </c>
      <c r="M129" s="16">
        <v>0.0</v>
      </c>
      <c r="N129" s="16">
        <v>0.0</v>
      </c>
      <c r="O129" s="16">
        <v>30.0</v>
      </c>
      <c r="P129" s="16">
        <v>1.0</v>
      </c>
      <c r="Q129" s="16">
        <v>5.0</v>
      </c>
      <c r="R129" s="16">
        <v>5.0</v>
      </c>
      <c r="S129" s="16">
        <v>0.0</v>
      </c>
      <c r="T129" s="16">
        <v>0.0</v>
      </c>
      <c r="U129" s="16">
        <v>3.0</v>
      </c>
      <c r="V129" s="16">
        <v>7.0</v>
      </c>
      <c r="W129" s="16">
        <v>0.0</v>
      </c>
      <c r="X129" s="16">
        <v>2.0</v>
      </c>
      <c r="Y129" s="16">
        <v>0.0</v>
      </c>
      <c r="Z129" s="16">
        <v>0.0</v>
      </c>
      <c r="AA129" s="16">
        <v>0.0</v>
      </c>
      <c r="AB129" s="16">
        <v>6.0</v>
      </c>
      <c r="AC129" s="16">
        <v>0.0</v>
      </c>
      <c r="AD129" s="16">
        <v>0.0</v>
      </c>
      <c r="AE129" s="16">
        <v>0.0</v>
      </c>
      <c r="AF129" s="16">
        <v>0.0</v>
      </c>
      <c r="AG129" s="16">
        <v>1.0</v>
      </c>
      <c r="AH129" s="16">
        <v>0.0</v>
      </c>
      <c r="AI129" s="16">
        <v>0.0</v>
      </c>
      <c r="AJ129" s="16">
        <v>120.0</v>
      </c>
      <c r="AK129" s="17">
        <v>0.45</v>
      </c>
      <c r="AL129" s="17">
        <v>0.05</v>
      </c>
      <c r="AM129" s="17">
        <v>0.3417</v>
      </c>
      <c r="AN129" s="17">
        <v>0.1</v>
      </c>
      <c r="AO129" s="17">
        <v>0.0583</v>
      </c>
    </row>
    <row r="130" ht="14.25" customHeight="1">
      <c r="A130" s="25">
        <v>45457.0</v>
      </c>
      <c r="B130" s="16" t="s">
        <v>42</v>
      </c>
      <c r="C130" s="16">
        <v>11.9</v>
      </c>
      <c r="D130" s="16">
        <v>6.0</v>
      </c>
      <c r="E130" s="16">
        <v>6.0</v>
      </c>
      <c r="F130" s="16">
        <v>31.0</v>
      </c>
      <c r="G130" s="16">
        <v>8.0</v>
      </c>
      <c r="H130" s="16">
        <v>14.0</v>
      </c>
      <c r="I130" s="16">
        <v>14.0</v>
      </c>
      <c r="J130" s="16">
        <v>0.0</v>
      </c>
      <c r="K130" s="16">
        <v>4.0</v>
      </c>
      <c r="L130" s="16">
        <v>0.0</v>
      </c>
      <c r="M130" s="16">
        <v>1.0</v>
      </c>
      <c r="N130" s="16">
        <v>1.0</v>
      </c>
      <c r="O130" s="16">
        <v>29.0</v>
      </c>
      <c r="P130" s="16">
        <v>0.0</v>
      </c>
      <c r="Q130" s="16">
        <v>8.0</v>
      </c>
      <c r="R130" s="16">
        <v>1.0</v>
      </c>
      <c r="S130" s="16">
        <v>1.0</v>
      </c>
      <c r="T130" s="16">
        <v>2.0</v>
      </c>
      <c r="U130" s="16">
        <v>11.0</v>
      </c>
      <c r="V130" s="16">
        <v>4.0</v>
      </c>
      <c r="W130" s="16">
        <v>0.0</v>
      </c>
      <c r="X130" s="16">
        <v>1.0</v>
      </c>
      <c r="Y130" s="16">
        <v>0.0</v>
      </c>
      <c r="Z130" s="16">
        <v>0.0</v>
      </c>
      <c r="AA130" s="16">
        <v>0.0</v>
      </c>
      <c r="AB130" s="16">
        <v>16.0</v>
      </c>
      <c r="AC130" s="16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6">
        <v>3.0</v>
      </c>
      <c r="AJ130" s="16">
        <v>120.0</v>
      </c>
      <c r="AK130" s="17">
        <v>0.3</v>
      </c>
      <c r="AL130" s="17">
        <v>0.0417</v>
      </c>
      <c r="AM130" s="17">
        <v>0.325</v>
      </c>
      <c r="AN130" s="17">
        <v>0.1333</v>
      </c>
      <c r="AO130" s="17">
        <v>0.175</v>
      </c>
    </row>
    <row r="131" ht="14.25" customHeight="1">
      <c r="A131" s="15">
        <v>45457.0</v>
      </c>
      <c r="B131" s="16" t="s">
        <v>45</v>
      </c>
      <c r="C131" s="16">
        <v>14.1</v>
      </c>
      <c r="D131" s="16">
        <v>10.1</v>
      </c>
      <c r="E131" s="16">
        <v>14.6</v>
      </c>
      <c r="F131" s="16">
        <v>31.0</v>
      </c>
      <c r="G131" s="16">
        <v>5.0</v>
      </c>
      <c r="H131" s="16">
        <v>52.0</v>
      </c>
      <c r="I131" s="16">
        <v>6.0</v>
      </c>
      <c r="J131" s="16">
        <v>0.0</v>
      </c>
      <c r="K131" s="16">
        <v>8.0</v>
      </c>
      <c r="L131" s="16">
        <v>0.0</v>
      </c>
      <c r="M131" s="16">
        <v>0.0</v>
      </c>
      <c r="N131" s="16">
        <v>0.0</v>
      </c>
      <c r="O131" s="16">
        <v>29.0</v>
      </c>
      <c r="P131" s="16">
        <v>2.0</v>
      </c>
      <c r="Q131" s="16">
        <v>4.0</v>
      </c>
      <c r="R131" s="16">
        <v>3.0</v>
      </c>
      <c r="S131" s="16">
        <v>0.0</v>
      </c>
      <c r="T131" s="16">
        <v>1.0</v>
      </c>
      <c r="U131" s="16">
        <v>1.0</v>
      </c>
      <c r="V131" s="16">
        <v>0.0</v>
      </c>
      <c r="W131" s="16">
        <v>0.0</v>
      </c>
      <c r="X131" s="16">
        <v>0.0</v>
      </c>
      <c r="Y131" s="16">
        <v>1.0</v>
      </c>
      <c r="Z131" s="16">
        <v>0.0</v>
      </c>
      <c r="AA131" s="16">
        <v>0.0</v>
      </c>
      <c r="AB131" s="16">
        <v>0.0</v>
      </c>
      <c r="AC131" s="16">
        <v>0.0</v>
      </c>
      <c r="AD131" s="16">
        <v>0.0</v>
      </c>
      <c r="AE131" s="16">
        <v>0.0</v>
      </c>
      <c r="AF131" s="16">
        <v>0.0</v>
      </c>
      <c r="AG131" s="16">
        <v>3.0</v>
      </c>
      <c r="AH131" s="16">
        <v>0.0</v>
      </c>
      <c r="AI131" s="16">
        <v>4.0</v>
      </c>
      <c r="AJ131" s="16">
        <v>120.0</v>
      </c>
      <c r="AK131" s="17">
        <v>0.525</v>
      </c>
      <c r="AL131" s="17">
        <v>0.0667</v>
      </c>
      <c r="AM131" s="17">
        <v>0.3167</v>
      </c>
      <c r="AN131" s="17">
        <v>0.0167</v>
      </c>
      <c r="AO131" s="17">
        <v>0.0667</v>
      </c>
    </row>
    <row r="132" ht="14.25" customHeight="1">
      <c r="A132" s="25">
        <v>45457.0</v>
      </c>
      <c r="B132" s="16" t="s">
        <v>45</v>
      </c>
      <c r="C132" s="16">
        <v>13.3</v>
      </c>
      <c r="D132" s="16">
        <v>10.0</v>
      </c>
      <c r="E132" s="16">
        <v>9.6</v>
      </c>
      <c r="F132" s="16">
        <v>31.0</v>
      </c>
      <c r="G132" s="16">
        <v>5.0</v>
      </c>
      <c r="H132" s="16">
        <v>28.0</v>
      </c>
      <c r="I132" s="16">
        <v>12.0</v>
      </c>
      <c r="J132" s="16">
        <v>1.0</v>
      </c>
      <c r="K132" s="16">
        <v>11.0</v>
      </c>
      <c r="L132" s="16">
        <v>0.0</v>
      </c>
      <c r="M132" s="16">
        <v>0.0</v>
      </c>
      <c r="N132" s="16">
        <v>0.0</v>
      </c>
      <c r="O132" s="16">
        <v>28.0</v>
      </c>
      <c r="P132" s="16">
        <v>3.0</v>
      </c>
      <c r="Q132" s="16">
        <v>15.0</v>
      </c>
      <c r="R132" s="16">
        <v>3.0</v>
      </c>
      <c r="S132" s="16">
        <v>0.0</v>
      </c>
      <c r="T132" s="16">
        <v>2.0</v>
      </c>
      <c r="U132" s="16">
        <v>8.0</v>
      </c>
      <c r="V132" s="16">
        <v>0.0</v>
      </c>
      <c r="W132" s="16">
        <v>1.0</v>
      </c>
      <c r="X132" s="16">
        <v>0.0</v>
      </c>
      <c r="Y132" s="16">
        <v>1.0</v>
      </c>
      <c r="Z132" s="16">
        <v>0.0</v>
      </c>
      <c r="AA132" s="16">
        <v>0.0</v>
      </c>
      <c r="AB132" s="16">
        <v>2.0</v>
      </c>
      <c r="AC132" s="16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6">
        <v>0.0</v>
      </c>
      <c r="AJ132" s="16">
        <v>120.0</v>
      </c>
      <c r="AK132" s="17">
        <v>0.3833</v>
      </c>
      <c r="AL132" s="17">
        <v>0.0917</v>
      </c>
      <c r="AM132" s="17">
        <v>0.4083</v>
      </c>
      <c r="AN132" s="17">
        <v>0.0833</v>
      </c>
      <c r="AO132" s="17">
        <v>0.0167</v>
      </c>
    </row>
    <row r="133" ht="14.25" customHeight="1">
      <c r="A133" s="25">
        <v>45460.0</v>
      </c>
      <c r="B133" s="16" t="s">
        <v>42</v>
      </c>
      <c r="C133" s="16">
        <v>12.0</v>
      </c>
      <c r="D133" s="16">
        <v>6.3</v>
      </c>
      <c r="E133" s="16">
        <v>5.2</v>
      </c>
      <c r="F133" s="16">
        <v>31.0</v>
      </c>
      <c r="G133" s="16">
        <v>9.0</v>
      </c>
      <c r="H133" s="16">
        <v>9.0</v>
      </c>
      <c r="I133" s="16">
        <v>11.0</v>
      </c>
      <c r="J133" s="16">
        <v>0.0</v>
      </c>
      <c r="K133" s="16">
        <v>5.0</v>
      </c>
      <c r="L133" s="16">
        <v>0.0</v>
      </c>
      <c r="M133" s="16">
        <v>0.0</v>
      </c>
      <c r="N133" s="16">
        <v>0.0</v>
      </c>
      <c r="O133" s="16">
        <v>21.0</v>
      </c>
      <c r="P133" s="16">
        <v>1.0</v>
      </c>
      <c r="Q133" s="16">
        <v>6.0</v>
      </c>
      <c r="R133" s="16">
        <v>0.0</v>
      </c>
      <c r="S133" s="16">
        <v>0.0</v>
      </c>
      <c r="T133" s="16">
        <v>3.0</v>
      </c>
      <c r="U133" s="16">
        <v>3.0</v>
      </c>
      <c r="V133" s="16">
        <v>0.0</v>
      </c>
      <c r="W133" s="16">
        <v>0.0</v>
      </c>
      <c r="X133" s="16">
        <v>0.0</v>
      </c>
      <c r="Y133" s="16">
        <v>0.0</v>
      </c>
      <c r="Z133" s="16">
        <v>0.0</v>
      </c>
      <c r="AA133" s="16">
        <v>0.0</v>
      </c>
      <c r="AB133" s="16">
        <v>39.0</v>
      </c>
      <c r="AC133" s="16">
        <v>0.0</v>
      </c>
      <c r="AD133" s="16">
        <v>1.0</v>
      </c>
      <c r="AE133" s="16">
        <v>0.0</v>
      </c>
      <c r="AF133" s="16">
        <v>1.0</v>
      </c>
      <c r="AG133" s="16">
        <v>0.0</v>
      </c>
      <c r="AH133" s="16">
        <v>0.0</v>
      </c>
      <c r="AI133" s="16">
        <v>2.0</v>
      </c>
      <c r="AJ133" s="16">
        <v>120.0</v>
      </c>
      <c r="AK133" s="17">
        <v>0.2417</v>
      </c>
      <c r="AL133" s="17">
        <v>0.0417</v>
      </c>
      <c r="AM133" s="17">
        <v>0.2333</v>
      </c>
      <c r="AN133" s="17">
        <v>0.025</v>
      </c>
      <c r="AO133" s="17">
        <v>0.4333</v>
      </c>
    </row>
    <row r="134" ht="14.25" customHeight="1">
      <c r="A134" s="25">
        <v>45460.0</v>
      </c>
      <c r="B134" s="16" t="s">
        <v>42</v>
      </c>
      <c r="C134" s="16">
        <v>12.1</v>
      </c>
      <c r="D134" s="16">
        <v>6.8</v>
      </c>
      <c r="E134" s="16">
        <v>6.6</v>
      </c>
      <c r="F134" s="16">
        <v>31.0</v>
      </c>
      <c r="G134" s="16">
        <v>2.0</v>
      </c>
      <c r="H134" s="16">
        <v>51.0</v>
      </c>
      <c r="I134" s="16">
        <v>4.0</v>
      </c>
      <c r="J134" s="16">
        <v>0.0</v>
      </c>
      <c r="K134" s="16">
        <v>3.0</v>
      </c>
      <c r="L134" s="16">
        <v>0.0</v>
      </c>
      <c r="M134" s="16">
        <v>0.0</v>
      </c>
      <c r="N134" s="16">
        <v>0.0</v>
      </c>
      <c r="O134" s="16">
        <v>22.0</v>
      </c>
      <c r="P134" s="16">
        <v>0.0</v>
      </c>
      <c r="Q134" s="16">
        <v>23.0</v>
      </c>
      <c r="R134" s="16">
        <v>0.0</v>
      </c>
      <c r="S134" s="16">
        <v>0.0</v>
      </c>
      <c r="T134" s="16">
        <v>0.0</v>
      </c>
      <c r="U134" s="16">
        <v>2.0</v>
      </c>
      <c r="V134" s="16">
        <v>0.0</v>
      </c>
      <c r="W134" s="16">
        <v>0.0</v>
      </c>
      <c r="X134" s="16">
        <v>1.0</v>
      </c>
      <c r="Y134" s="16">
        <v>0.0</v>
      </c>
      <c r="Z134" s="16">
        <v>0.0</v>
      </c>
      <c r="AA134" s="16">
        <v>0.0</v>
      </c>
      <c r="AB134" s="16">
        <v>2.0</v>
      </c>
      <c r="AC134" s="16">
        <v>0.0</v>
      </c>
      <c r="AD134" s="16">
        <v>0.0</v>
      </c>
      <c r="AE134" s="16">
        <v>0.0</v>
      </c>
      <c r="AF134" s="16">
        <v>0.0</v>
      </c>
      <c r="AG134" s="16">
        <v>7.0</v>
      </c>
      <c r="AH134" s="16">
        <v>0.0</v>
      </c>
      <c r="AI134" s="16">
        <v>0.0</v>
      </c>
      <c r="AJ134" s="16">
        <v>118.0</v>
      </c>
      <c r="AK134" s="17">
        <v>0.475</v>
      </c>
      <c r="AL134" s="17">
        <v>0.025</v>
      </c>
      <c r="AM134" s="17">
        <v>0.375</v>
      </c>
      <c r="AN134" s="17">
        <v>0.025</v>
      </c>
      <c r="AO134" s="17">
        <v>0.0833</v>
      </c>
    </row>
    <row r="135" ht="14.25" customHeight="1">
      <c r="A135" s="29">
        <v>45461.0</v>
      </c>
      <c r="B135" s="16" t="s">
        <v>43</v>
      </c>
      <c r="C135" s="16">
        <v>15.7</v>
      </c>
      <c r="D135" s="16">
        <v>9.2</v>
      </c>
      <c r="E135" s="16">
        <v>8.1</v>
      </c>
      <c r="F135" s="16">
        <v>30.0</v>
      </c>
      <c r="G135" s="16">
        <v>9.0</v>
      </c>
      <c r="H135" s="16">
        <v>30.0</v>
      </c>
      <c r="I135" s="16">
        <v>13.0</v>
      </c>
      <c r="J135" s="16">
        <v>1.0</v>
      </c>
      <c r="K135" s="16">
        <v>13.0</v>
      </c>
      <c r="L135" s="16">
        <v>0.0</v>
      </c>
      <c r="M135" s="16">
        <v>0.0</v>
      </c>
      <c r="N135" s="16">
        <v>2.0</v>
      </c>
      <c r="O135" s="16">
        <v>7.0</v>
      </c>
      <c r="P135" s="16">
        <v>0.0</v>
      </c>
      <c r="Q135" s="16">
        <v>14.0</v>
      </c>
      <c r="R135" s="16">
        <v>1.0</v>
      </c>
      <c r="S135" s="16">
        <v>1.0</v>
      </c>
      <c r="T135" s="16">
        <v>0.0</v>
      </c>
      <c r="U135" s="16">
        <v>6.0</v>
      </c>
      <c r="V135" s="16">
        <v>0.0</v>
      </c>
      <c r="W135" s="16">
        <v>0.0</v>
      </c>
      <c r="X135" s="16">
        <v>0.0</v>
      </c>
      <c r="Y135" s="16">
        <v>1.0</v>
      </c>
      <c r="Z135" s="16">
        <v>0.0</v>
      </c>
      <c r="AA135" s="16">
        <v>0.0</v>
      </c>
      <c r="AB135" s="16">
        <v>0.0</v>
      </c>
      <c r="AC135" s="16">
        <v>0.0</v>
      </c>
      <c r="AD135" s="16">
        <v>0.0</v>
      </c>
      <c r="AE135" s="16">
        <v>0.0</v>
      </c>
      <c r="AF135" s="16">
        <v>0.0</v>
      </c>
      <c r="AG135" s="16">
        <v>5.0</v>
      </c>
      <c r="AH135" s="16">
        <v>0.0</v>
      </c>
      <c r="AI135" s="16">
        <v>0.0</v>
      </c>
      <c r="AJ135" s="16">
        <v>103.0</v>
      </c>
      <c r="AK135" s="17">
        <v>0.4417</v>
      </c>
      <c r="AL135" s="17">
        <v>0.1083</v>
      </c>
      <c r="AM135" s="17">
        <v>0.1917</v>
      </c>
      <c r="AN135" s="17">
        <v>0.0583</v>
      </c>
      <c r="AO135" s="17">
        <v>0.0417</v>
      </c>
    </row>
    <row r="136" ht="14.25" customHeight="1">
      <c r="A136" s="29">
        <v>45461.0</v>
      </c>
      <c r="B136" s="16" t="s">
        <v>43</v>
      </c>
      <c r="C136" s="16">
        <v>13.0</v>
      </c>
      <c r="D136" s="16">
        <v>6.1</v>
      </c>
      <c r="E136" s="16">
        <v>6.8</v>
      </c>
      <c r="F136" s="16">
        <v>31.0</v>
      </c>
      <c r="G136" s="16">
        <v>25.0</v>
      </c>
      <c r="H136" s="16">
        <v>2.0</v>
      </c>
      <c r="I136" s="16">
        <v>15.0</v>
      </c>
      <c r="J136" s="16">
        <v>2.0</v>
      </c>
      <c r="K136" s="16">
        <v>15.0</v>
      </c>
      <c r="L136" s="16">
        <v>0.0</v>
      </c>
      <c r="M136" s="16">
        <v>1.0</v>
      </c>
      <c r="N136" s="16">
        <v>0.0</v>
      </c>
      <c r="O136" s="16">
        <v>13.0</v>
      </c>
      <c r="P136" s="16">
        <v>0.0</v>
      </c>
      <c r="Q136" s="16">
        <v>10.0</v>
      </c>
      <c r="R136" s="16">
        <v>6.0</v>
      </c>
      <c r="S136" s="16">
        <v>0.0</v>
      </c>
      <c r="T136" s="16">
        <v>0.0</v>
      </c>
      <c r="U136" s="16">
        <v>7.0</v>
      </c>
      <c r="V136" s="16">
        <v>0.0</v>
      </c>
      <c r="W136" s="16">
        <v>0.0</v>
      </c>
      <c r="X136" s="16">
        <v>0.0</v>
      </c>
      <c r="Y136" s="16">
        <v>1.0</v>
      </c>
      <c r="Z136" s="16">
        <v>0.0</v>
      </c>
      <c r="AA136" s="16">
        <v>0.0</v>
      </c>
      <c r="AB136" s="16">
        <v>0.0</v>
      </c>
      <c r="AC136" s="16">
        <v>0.0</v>
      </c>
      <c r="AD136" s="16">
        <v>0.0</v>
      </c>
      <c r="AE136" s="16">
        <v>0.0</v>
      </c>
      <c r="AF136" s="16">
        <v>0.0</v>
      </c>
      <c r="AG136" s="16">
        <v>15.0</v>
      </c>
      <c r="AH136" s="16">
        <v>0.0</v>
      </c>
      <c r="AI136" s="16">
        <v>2.0</v>
      </c>
      <c r="AJ136" s="16">
        <v>114.0</v>
      </c>
      <c r="AK136" s="17">
        <v>0.3667</v>
      </c>
      <c r="AL136" s="17">
        <v>0.1333</v>
      </c>
      <c r="AM136" s="17">
        <v>0.2417</v>
      </c>
      <c r="AN136" s="17">
        <v>0.0667</v>
      </c>
      <c r="AO136" s="17">
        <v>0.1417</v>
      </c>
    </row>
    <row r="137" ht="14.25" customHeight="1">
      <c r="A137" s="29">
        <v>45461.0</v>
      </c>
      <c r="B137" s="16" t="s">
        <v>45</v>
      </c>
      <c r="C137" s="16">
        <v>15.7</v>
      </c>
      <c r="D137" s="16">
        <v>13.9</v>
      </c>
      <c r="E137" s="16">
        <v>11.5</v>
      </c>
      <c r="F137" s="16">
        <v>30.0</v>
      </c>
      <c r="G137" s="16">
        <v>8.0</v>
      </c>
      <c r="H137" s="16">
        <v>29.0</v>
      </c>
      <c r="I137" s="16">
        <v>8.0</v>
      </c>
      <c r="J137" s="16">
        <v>0.0</v>
      </c>
      <c r="K137" s="16">
        <v>8.0</v>
      </c>
      <c r="L137" s="16">
        <v>0.0</v>
      </c>
      <c r="M137" s="16">
        <v>0.0</v>
      </c>
      <c r="N137" s="16">
        <v>3.0</v>
      </c>
      <c r="O137" s="16">
        <v>12.0</v>
      </c>
      <c r="P137" s="16">
        <v>0.0</v>
      </c>
      <c r="Q137" s="16">
        <v>4.0</v>
      </c>
      <c r="R137" s="16">
        <v>6.0</v>
      </c>
      <c r="S137" s="16">
        <v>1.0</v>
      </c>
      <c r="T137" s="16">
        <v>0.0</v>
      </c>
      <c r="U137" s="16">
        <v>12.0</v>
      </c>
      <c r="V137" s="16">
        <v>0.0</v>
      </c>
      <c r="W137" s="16">
        <v>0.0</v>
      </c>
      <c r="X137" s="16">
        <v>0.0</v>
      </c>
      <c r="Y137" s="16">
        <v>0.0</v>
      </c>
      <c r="Z137" s="16">
        <v>0.0</v>
      </c>
      <c r="AA137" s="16">
        <v>0.0</v>
      </c>
      <c r="AB137" s="16">
        <v>0.0</v>
      </c>
      <c r="AC137" s="16">
        <v>9.0</v>
      </c>
      <c r="AD137" s="16">
        <v>0.0</v>
      </c>
      <c r="AE137" s="16">
        <v>0.0</v>
      </c>
      <c r="AF137" s="16">
        <v>0.0</v>
      </c>
      <c r="AG137" s="16">
        <v>2.0</v>
      </c>
      <c r="AH137" s="16">
        <v>0.0</v>
      </c>
      <c r="AI137" s="16">
        <v>0.0</v>
      </c>
      <c r="AJ137" s="16">
        <v>102.0</v>
      </c>
      <c r="AK137" s="17">
        <v>0.375</v>
      </c>
      <c r="AL137" s="17">
        <v>0.0667</v>
      </c>
      <c r="AM137" s="17">
        <v>0.1917</v>
      </c>
      <c r="AN137" s="17">
        <v>0.1</v>
      </c>
      <c r="AO137" s="17">
        <v>0.0917</v>
      </c>
    </row>
    <row r="138" ht="14.25" customHeight="1">
      <c r="A138" s="29">
        <v>45461.0</v>
      </c>
      <c r="B138" s="16" t="s">
        <v>45</v>
      </c>
      <c r="C138" s="16">
        <v>15.4</v>
      </c>
      <c r="D138" s="16">
        <v>11.0</v>
      </c>
      <c r="E138" s="16">
        <v>10.5</v>
      </c>
      <c r="F138" s="16">
        <v>31.0</v>
      </c>
      <c r="G138" s="16">
        <v>13.0</v>
      </c>
      <c r="H138" s="16">
        <v>13.0</v>
      </c>
      <c r="I138" s="16">
        <v>14.0</v>
      </c>
      <c r="J138" s="16">
        <v>3.0</v>
      </c>
      <c r="K138" s="16">
        <v>6.0</v>
      </c>
      <c r="L138" s="16">
        <v>0.0</v>
      </c>
      <c r="M138" s="16">
        <v>0.0</v>
      </c>
      <c r="N138" s="16">
        <v>1.0</v>
      </c>
      <c r="O138" s="16">
        <v>37.0</v>
      </c>
      <c r="P138" s="16">
        <v>1.0</v>
      </c>
      <c r="Q138" s="16">
        <v>6.0</v>
      </c>
      <c r="R138" s="16">
        <v>5.0</v>
      </c>
      <c r="S138" s="16">
        <v>3.0</v>
      </c>
      <c r="T138" s="16">
        <v>2.0</v>
      </c>
      <c r="U138" s="16">
        <v>10.0</v>
      </c>
      <c r="V138" s="16">
        <v>0.0</v>
      </c>
      <c r="W138" s="16">
        <v>0.0</v>
      </c>
      <c r="X138" s="16">
        <v>0.0</v>
      </c>
      <c r="Y138" s="16">
        <v>0.0</v>
      </c>
      <c r="Z138" s="16">
        <v>0.0</v>
      </c>
      <c r="AA138" s="16">
        <v>0.0</v>
      </c>
      <c r="AB138" s="16">
        <v>0.0</v>
      </c>
      <c r="AC138" s="16">
        <v>0.0</v>
      </c>
      <c r="AD138" s="16">
        <v>0.0</v>
      </c>
      <c r="AE138" s="16">
        <v>0.0</v>
      </c>
      <c r="AF138" s="16">
        <v>0.0</v>
      </c>
      <c r="AG138" s="16">
        <v>4.0</v>
      </c>
      <c r="AH138" s="16">
        <v>0.0</v>
      </c>
      <c r="AI138" s="16">
        <v>0.0</v>
      </c>
      <c r="AJ138" s="16">
        <v>119.0</v>
      </c>
      <c r="AK138" s="17">
        <v>0.3583</v>
      </c>
      <c r="AL138" s="17">
        <v>0.05</v>
      </c>
      <c r="AM138" s="17">
        <v>0.4333</v>
      </c>
      <c r="AN138" s="17">
        <v>0.0833</v>
      </c>
      <c r="AO138" s="17">
        <v>0.0417</v>
      </c>
    </row>
    <row r="139" ht="14.25" customHeight="1">
      <c r="A139" s="29">
        <v>45462.0</v>
      </c>
      <c r="B139" s="18" t="s">
        <v>41</v>
      </c>
      <c r="C139" s="16">
        <v>14.2</v>
      </c>
      <c r="D139" s="16">
        <v>9.1</v>
      </c>
      <c r="E139" s="16">
        <v>9.6</v>
      </c>
      <c r="F139" s="16">
        <v>31.0</v>
      </c>
      <c r="G139" s="16">
        <v>14.0</v>
      </c>
      <c r="H139" s="16">
        <v>18.0</v>
      </c>
      <c r="I139" s="16">
        <v>15.0</v>
      </c>
      <c r="J139" s="16">
        <v>0.0</v>
      </c>
      <c r="K139" s="16">
        <v>8.0</v>
      </c>
      <c r="L139" s="16">
        <v>0.0</v>
      </c>
      <c r="M139" s="16">
        <v>0.0</v>
      </c>
      <c r="N139" s="16">
        <v>0.0</v>
      </c>
      <c r="O139" s="16">
        <v>28.0</v>
      </c>
      <c r="P139" s="16">
        <v>9.0</v>
      </c>
      <c r="Q139" s="16">
        <v>2.0</v>
      </c>
      <c r="R139" s="16">
        <v>0.0</v>
      </c>
      <c r="S139" s="16">
        <v>2.0</v>
      </c>
      <c r="T139" s="16">
        <v>1.0</v>
      </c>
      <c r="U139" s="16">
        <v>6.0</v>
      </c>
      <c r="V139" s="16">
        <v>2.0</v>
      </c>
      <c r="W139" s="16">
        <v>1.0</v>
      </c>
      <c r="X139" s="16">
        <v>0.0</v>
      </c>
      <c r="Y139" s="16">
        <v>0.0</v>
      </c>
      <c r="Z139" s="16">
        <v>0.0</v>
      </c>
      <c r="AA139" s="16">
        <v>0.0</v>
      </c>
      <c r="AB139" s="16">
        <v>0.0</v>
      </c>
      <c r="AC139" s="16">
        <v>0.0</v>
      </c>
      <c r="AD139" s="16">
        <v>0.0</v>
      </c>
      <c r="AE139" s="16">
        <v>0.0</v>
      </c>
      <c r="AF139" s="16">
        <v>0.0</v>
      </c>
      <c r="AG139" s="16">
        <v>12.0</v>
      </c>
      <c r="AH139" s="16">
        <v>1.0</v>
      </c>
      <c r="AI139" s="16">
        <v>1.0</v>
      </c>
      <c r="AJ139" s="16">
        <v>120.0</v>
      </c>
      <c r="AK139" s="17">
        <v>0.3917</v>
      </c>
      <c r="AL139" s="17">
        <v>0.0667</v>
      </c>
      <c r="AM139" s="17">
        <v>0.3417</v>
      </c>
      <c r="AN139" s="17">
        <v>0.075</v>
      </c>
      <c r="AO139" s="17">
        <v>0.1167</v>
      </c>
    </row>
    <row r="140" ht="14.25" customHeight="1">
      <c r="A140" s="29">
        <v>45462.0</v>
      </c>
      <c r="B140" s="18" t="s">
        <v>41</v>
      </c>
      <c r="C140" s="18">
        <v>15.6</v>
      </c>
      <c r="D140" s="18">
        <v>10.8</v>
      </c>
      <c r="E140" s="16">
        <v>11.0</v>
      </c>
      <c r="F140" s="16">
        <v>30.0</v>
      </c>
      <c r="G140" s="16">
        <v>1.0</v>
      </c>
      <c r="H140" s="16">
        <v>42.0</v>
      </c>
      <c r="I140" s="16">
        <v>4.0</v>
      </c>
      <c r="J140" s="16">
        <v>0.0</v>
      </c>
      <c r="K140" s="16">
        <v>10.0</v>
      </c>
      <c r="L140" s="16">
        <v>0.0</v>
      </c>
      <c r="M140" s="16">
        <v>0.0</v>
      </c>
      <c r="N140" s="16">
        <v>2.0</v>
      </c>
      <c r="O140" s="16">
        <v>9.0</v>
      </c>
      <c r="P140" s="16">
        <v>2.0</v>
      </c>
      <c r="Q140" s="16">
        <v>6.0</v>
      </c>
      <c r="R140" s="16">
        <v>3.0</v>
      </c>
      <c r="S140" s="16">
        <v>0.0</v>
      </c>
      <c r="T140" s="16">
        <v>5.0</v>
      </c>
      <c r="U140" s="16">
        <v>22.0</v>
      </c>
      <c r="V140" s="16">
        <v>3.0</v>
      </c>
      <c r="W140" s="16">
        <v>0.0</v>
      </c>
      <c r="X140" s="16">
        <v>0.0</v>
      </c>
      <c r="Y140" s="16">
        <v>0.0</v>
      </c>
      <c r="Z140" s="16">
        <v>0.0</v>
      </c>
      <c r="AA140" s="16">
        <v>0.0</v>
      </c>
      <c r="AB140" s="16">
        <v>0.0</v>
      </c>
      <c r="AC140" s="16">
        <v>0.0</v>
      </c>
      <c r="AD140" s="16">
        <v>0.0</v>
      </c>
      <c r="AE140" s="16">
        <v>0.0</v>
      </c>
      <c r="AF140" s="16">
        <v>0.0</v>
      </c>
      <c r="AG140" s="16">
        <v>12.0</v>
      </c>
      <c r="AH140" s="16">
        <v>0.0</v>
      </c>
      <c r="AI140" s="16">
        <v>0.0</v>
      </c>
      <c r="AJ140" s="16">
        <v>121.0</v>
      </c>
      <c r="AK140" s="17">
        <v>0.3917</v>
      </c>
      <c r="AL140" s="17">
        <v>0.0833</v>
      </c>
      <c r="AM140" s="17">
        <v>0.1667</v>
      </c>
      <c r="AN140" s="17">
        <v>0.2083</v>
      </c>
      <c r="AO140" s="17">
        <v>0.1</v>
      </c>
    </row>
    <row r="141" ht="14.25" customHeight="1">
      <c r="A141" s="29">
        <v>45462.0</v>
      </c>
      <c r="B141" s="16" t="s">
        <v>44</v>
      </c>
      <c r="C141" s="16">
        <v>16.5</v>
      </c>
      <c r="D141" s="18">
        <v>14.4</v>
      </c>
      <c r="E141" s="16">
        <v>13.0</v>
      </c>
      <c r="F141" s="16">
        <v>30.0</v>
      </c>
      <c r="G141" s="16">
        <v>1.0</v>
      </c>
      <c r="H141" s="16">
        <v>48.0</v>
      </c>
      <c r="I141" s="16">
        <v>12.0</v>
      </c>
      <c r="J141" s="16">
        <v>0.0</v>
      </c>
      <c r="K141" s="16">
        <v>9.0</v>
      </c>
      <c r="L141" s="16">
        <v>0.0</v>
      </c>
      <c r="M141" s="16">
        <v>6.0</v>
      </c>
      <c r="N141" s="16">
        <v>1.0</v>
      </c>
      <c r="O141" s="16">
        <v>4.0</v>
      </c>
      <c r="P141" s="16">
        <v>2.0</v>
      </c>
      <c r="Q141" s="16">
        <v>1.0</v>
      </c>
      <c r="R141" s="16">
        <v>1.0</v>
      </c>
      <c r="S141" s="16">
        <v>2.0</v>
      </c>
      <c r="T141" s="16">
        <v>4.0</v>
      </c>
      <c r="U141" s="16">
        <v>11.0</v>
      </c>
      <c r="V141" s="16">
        <v>1.0</v>
      </c>
      <c r="W141" s="16">
        <v>0.0</v>
      </c>
      <c r="X141" s="16">
        <v>2.0</v>
      </c>
      <c r="Y141" s="16">
        <v>0.0</v>
      </c>
      <c r="Z141" s="16">
        <v>0.0</v>
      </c>
      <c r="AA141" s="16">
        <v>0.0</v>
      </c>
      <c r="AB141" s="16">
        <v>0.0</v>
      </c>
      <c r="AC141" s="16">
        <v>0.0</v>
      </c>
      <c r="AD141" s="16">
        <v>0.0</v>
      </c>
      <c r="AE141" s="16">
        <v>0.0</v>
      </c>
      <c r="AF141" s="16">
        <v>0.0</v>
      </c>
      <c r="AG141" s="16">
        <v>15.0</v>
      </c>
      <c r="AH141" s="16">
        <v>0.0</v>
      </c>
      <c r="AI141" s="16">
        <v>1.0</v>
      </c>
      <c r="AJ141" s="16">
        <v>121.0</v>
      </c>
      <c r="AK141" s="17">
        <v>0.5083</v>
      </c>
      <c r="AL141" s="17">
        <v>0.125</v>
      </c>
      <c r="AM141" s="17">
        <v>0.0833</v>
      </c>
      <c r="AN141" s="17">
        <v>0.1167</v>
      </c>
      <c r="AO141" s="17">
        <v>0.1333</v>
      </c>
    </row>
    <row r="142" ht="14.25" customHeight="1">
      <c r="A142" s="29">
        <v>45462.0</v>
      </c>
      <c r="B142" s="16" t="s">
        <v>44</v>
      </c>
      <c r="C142" s="16">
        <v>15.5</v>
      </c>
      <c r="D142" s="16">
        <v>12.0</v>
      </c>
      <c r="E142" s="16">
        <v>12.4</v>
      </c>
      <c r="F142" s="16">
        <v>31.0</v>
      </c>
      <c r="G142" s="16">
        <v>17.0</v>
      </c>
      <c r="H142" s="16">
        <v>8.0</v>
      </c>
      <c r="I142" s="16">
        <v>15.0</v>
      </c>
      <c r="J142" s="16">
        <v>0.0</v>
      </c>
      <c r="K142" s="16">
        <v>17.0</v>
      </c>
      <c r="L142" s="16">
        <v>0.0</v>
      </c>
      <c r="M142" s="16">
        <v>0.0</v>
      </c>
      <c r="N142" s="16">
        <v>1.0</v>
      </c>
      <c r="O142" s="16">
        <v>22.0</v>
      </c>
      <c r="P142" s="16">
        <v>1.0</v>
      </c>
      <c r="Q142" s="16">
        <v>1.0</v>
      </c>
      <c r="R142" s="16">
        <v>2.0</v>
      </c>
      <c r="S142" s="16">
        <v>0.0</v>
      </c>
      <c r="T142" s="16">
        <v>4.0</v>
      </c>
      <c r="U142" s="16">
        <v>12.0</v>
      </c>
      <c r="V142" s="16">
        <v>13.0</v>
      </c>
      <c r="W142" s="16">
        <v>0.0</v>
      </c>
      <c r="X142" s="16">
        <v>0.0</v>
      </c>
      <c r="Y142" s="16">
        <v>0.0</v>
      </c>
      <c r="Z142" s="16">
        <v>0.0</v>
      </c>
      <c r="AA142" s="16">
        <v>1.0</v>
      </c>
      <c r="AB142" s="16">
        <v>0.0</v>
      </c>
      <c r="AC142" s="16">
        <v>0.0</v>
      </c>
      <c r="AD142" s="16">
        <v>1.0</v>
      </c>
      <c r="AE142" s="16">
        <v>0.0</v>
      </c>
      <c r="AF142" s="16">
        <v>0.0</v>
      </c>
      <c r="AG142" s="16">
        <v>1.0</v>
      </c>
      <c r="AH142" s="16">
        <v>0.0</v>
      </c>
      <c r="AI142" s="16">
        <v>2.0</v>
      </c>
      <c r="AJ142" s="16">
        <v>119.0</v>
      </c>
      <c r="AK142" s="17">
        <v>0.3333</v>
      </c>
      <c r="AL142" s="17">
        <v>0.1417</v>
      </c>
      <c r="AM142" s="17">
        <v>0.2167</v>
      </c>
      <c r="AN142" s="17">
        <v>0.2167</v>
      </c>
      <c r="AO142" s="17">
        <v>0.0417</v>
      </c>
    </row>
    <row r="143" ht="14.25" customHeight="1">
      <c r="A143" s="15">
        <v>45463.0</v>
      </c>
      <c r="B143" s="18" t="s">
        <v>41</v>
      </c>
      <c r="C143" s="16">
        <v>16.4</v>
      </c>
      <c r="D143" s="16">
        <v>10.2</v>
      </c>
      <c r="E143" s="16">
        <v>13.0</v>
      </c>
      <c r="F143" s="16">
        <v>31.0</v>
      </c>
      <c r="G143" s="16">
        <v>5.0</v>
      </c>
      <c r="H143" s="16">
        <v>48.0</v>
      </c>
      <c r="I143" s="16">
        <v>1.0</v>
      </c>
      <c r="J143" s="16">
        <v>0.0</v>
      </c>
      <c r="K143" s="16">
        <v>11.0</v>
      </c>
      <c r="L143" s="16">
        <v>0.0</v>
      </c>
      <c r="M143" s="16">
        <v>0.0</v>
      </c>
      <c r="N143" s="16">
        <v>1.0</v>
      </c>
      <c r="O143" s="16">
        <v>16.0</v>
      </c>
      <c r="P143" s="16">
        <v>2.0</v>
      </c>
      <c r="Q143" s="16">
        <v>8.0</v>
      </c>
      <c r="R143" s="16">
        <v>0.0</v>
      </c>
      <c r="S143" s="16">
        <v>3.0</v>
      </c>
      <c r="T143" s="16">
        <v>6.0</v>
      </c>
      <c r="U143" s="16">
        <v>3.0</v>
      </c>
      <c r="V143" s="16">
        <v>0.0</v>
      </c>
      <c r="W143" s="16">
        <v>0.0</v>
      </c>
      <c r="X143" s="16">
        <v>0.0</v>
      </c>
      <c r="Y143" s="16">
        <v>0.0</v>
      </c>
      <c r="Z143" s="16">
        <v>0.0</v>
      </c>
      <c r="AA143" s="16">
        <v>0.0</v>
      </c>
      <c r="AB143" s="16">
        <v>0.0</v>
      </c>
      <c r="AC143" s="16">
        <v>0.0</v>
      </c>
      <c r="AD143" s="16">
        <v>0.0</v>
      </c>
      <c r="AE143" s="16">
        <v>0.0</v>
      </c>
      <c r="AF143" s="16">
        <v>0.0</v>
      </c>
      <c r="AG143" s="16">
        <v>15.0</v>
      </c>
      <c r="AH143" s="16">
        <v>0.0</v>
      </c>
      <c r="AI143" s="16">
        <v>0.0</v>
      </c>
      <c r="AJ143" s="16">
        <v>120.0</v>
      </c>
      <c r="AK143" s="17">
        <v>0.45</v>
      </c>
      <c r="AL143" s="17">
        <v>0.0917</v>
      </c>
      <c r="AM143" s="17">
        <v>0.2417</v>
      </c>
      <c r="AN143" s="17">
        <v>0.025</v>
      </c>
      <c r="AO143" s="17">
        <v>0.1333</v>
      </c>
    </row>
    <row r="144" ht="14.25" customHeight="1">
      <c r="A144" s="15">
        <v>45463.0</v>
      </c>
      <c r="B144" s="16" t="s">
        <v>42</v>
      </c>
      <c r="C144" s="16">
        <v>15.6</v>
      </c>
      <c r="D144" s="16">
        <v>5.5</v>
      </c>
      <c r="E144" s="16">
        <v>6.6</v>
      </c>
      <c r="F144" s="16">
        <v>31.0</v>
      </c>
      <c r="G144" s="16">
        <v>12.0</v>
      </c>
      <c r="H144" s="16">
        <v>7.0</v>
      </c>
      <c r="I144" s="16">
        <v>14.0</v>
      </c>
      <c r="J144" s="16">
        <v>0.0</v>
      </c>
      <c r="K144" s="16">
        <v>0.0</v>
      </c>
      <c r="L144" s="16">
        <v>0.0</v>
      </c>
      <c r="M144" s="16">
        <v>0.0</v>
      </c>
      <c r="N144" s="16">
        <v>0.0</v>
      </c>
      <c r="O144" s="16">
        <v>33.0</v>
      </c>
      <c r="P144" s="16">
        <v>0.0</v>
      </c>
      <c r="Q144" s="16">
        <v>4.0</v>
      </c>
      <c r="R144" s="16">
        <v>5.0</v>
      </c>
      <c r="S144" s="16">
        <v>1.0</v>
      </c>
      <c r="T144" s="16">
        <v>1.0</v>
      </c>
      <c r="U144" s="16">
        <v>14.0</v>
      </c>
      <c r="V144" s="16">
        <v>5.0</v>
      </c>
      <c r="W144" s="16">
        <v>0.0</v>
      </c>
      <c r="X144" s="16">
        <v>1.0</v>
      </c>
      <c r="Y144" s="16">
        <v>0.0</v>
      </c>
      <c r="Z144" s="16">
        <v>0.0</v>
      </c>
      <c r="AA144" s="16">
        <v>0.0</v>
      </c>
      <c r="AB144" s="16">
        <v>19.0</v>
      </c>
      <c r="AC144" s="16">
        <v>0.0</v>
      </c>
      <c r="AD144" s="16">
        <v>1.0</v>
      </c>
      <c r="AE144" s="16">
        <v>0.0</v>
      </c>
      <c r="AF144" s="16">
        <v>0.0</v>
      </c>
      <c r="AG144" s="16">
        <v>2.0</v>
      </c>
      <c r="AH144" s="16">
        <v>0.0</v>
      </c>
      <c r="AI144" s="16">
        <v>0.0</v>
      </c>
      <c r="AJ144" s="16">
        <v>120.0</v>
      </c>
      <c r="AK144" s="17">
        <v>0.275</v>
      </c>
      <c r="AL144" s="17">
        <v>0.0</v>
      </c>
      <c r="AM144" s="17">
        <v>0.3583</v>
      </c>
      <c r="AN144" s="17">
        <v>0.1667</v>
      </c>
      <c r="AO144" s="17">
        <v>0.1917</v>
      </c>
    </row>
    <row r="145" ht="14.25" customHeight="1">
      <c r="A145" s="15">
        <v>45464.0</v>
      </c>
      <c r="B145" s="18" t="s">
        <v>41</v>
      </c>
      <c r="C145" s="16">
        <v>15.1</v>
      </c>
      <c r="D145" s="18">
        <v>7.9</v>
      </c>
      <c r="E145" s="16">
        <v>7.0</v>
      </c>
      <c r="F145" s="16">
        <v>30.0</v>
      </c>
      <c r="G145" s="16">
        <v>0.0</v>
      </c>
      <c r="H145" s="16">
        <v>63.0</v>
      </c>
      <c r="I145" s="16">
        <v>3.0</v>
      </c>
      <c r="J145" s="16">
        <v>1.0</v>
      </c>
      <c r="K145" s="16">
        <v>0.0</v>
      </c>
      <c r="L145" s="16">
        <v>0.0</v>
      </c>
      <c r="M145" s="16">
        <v>0.0</v>
      </c>
      <c r="N145" s="16">
        <v>0.0</v>
      </c>
      <c r="O145" s="16">
        <v>11.0</v>
      </c>
      <c r="P145" s="16">
        <v>8.0</v>
      </c>
      <c r="Q145" s="16">
        <v>18.0</v>
      </c>
      <c r="R145" s="16">
        <v>0.0</v>
      </c>
      <c r="S145" s="16">
        <v>0.0</v>
      </c>
      <c r="T145" s="16">
        <v>0.0</v>
      </c>
      <c r="U145" s="16">
        <v>0.0</v>
      </c>
      <c r="V145" s="16">
        <v>0.0</v>
      </c>
      <c r="W145" s="16">
        <v>0.0</v>
      </c>
      <c r="X145" s="16">
        <v>1.0</v>
      </c>
      <c r="Y145" s="16">
        <v>0.0</v>
      </c>
      <c r="Z145" s="16">
        <v>0.0</v>
      </c>
      <c r="AA145" s="16">
        <v>0.0</v>
      </c>
      <c r="AB145" s="16">
        <v>0.0</v>
      </c>
      <c r="AC145" s="16">
        <v>0.0</v>
      </c>
      <c r="AD145" s="16">
        <v>0.0</v>
      </c>
      <c r="AE145" s="16">
        <v>0.0</v>
      </c>
      <c r="AF145" s="16">
        <v>0.0</v>
      </c>
      <c r="AG145" s="16">
        <v>14.0</v>
      </c>
      <c r="AH145" s="16">
        <v>0.0</v>
      </c>
      <c r="AI145" s="16">
        <v>0.0</v>
      </c>
      <c r="AJ145" s="16">
        <v>119.0</v>
      </c>
      <c r="AK145" s="17">
        <v>0.5583</v>
      </c>
      <c r="AL145" s="17">
        <v>0.0</v>
      </c>
      <c r="AM145" s="17">
        <v>0.3083</v>
      </c>
      <c r="AN145" s="17">
        <v>0.0083</v>
      </c>
      <c r="AO145" s="17">
        <v>0.1167</v>
      </c>
    </row>
    <row r="146" ht="14.25" customHeight="1">
      <c r="A146" s="15">
        <v>45464.0</v>
      </c>
      <c r="B146" s="16" t="s">
        <v>42</v>
      </c>
      <c r="C146" s="18">
        <v>11.9</v>
      </c>
      <c r="D146" s="16">
        <v>7.2</v>
      </c>
      <c r="E146" s="18">
        <v>6.4</v>
      </c>
      <c r="F146" s="16">
        <v>30.0</v>
      </c>
      <c r="G146" s="16">
        <v>11.0</v>
      </c>
      <c r="H146" s="16">
        <v>37.0</v>
      </c>
      <c r="I146" s="16">
        <v>10.0</v>
      </c>
      <c r="J146" s="16">
        <v>0.0</v>
      </c>
      <c r="K146" s="16">
        <v>7.0</v>
      </c>
      <c r="L146" s="16">
        <v>0.0</v>
      </c>
      <c r="M146" s="16">
        <v>1.0</v>
      </c>
      <c r="N146" s="16">
        <v>0.0</v>
      </c>
      <c r="O146" s="16">
        <v>26.0</v>
      </c>
      <c r="P146" s="16">
        <v>1.0</v>
      </c>
      <c r="Q146" s="16">
        <v>7.0</v>
      </c>
      <c r="R146" s="16">
        <v>3.0</v>
      </c>
      <c r="S146" s="16">
        <v>1.0</v>
      </c>
      <c r="T146" s="16">
        <v>0.0</v>
      </c>
      <c r="U146" s="16">
        <v>12.0</v>
      </c>
      <c r="V146" s="16">
        <v>2.0</v>
      </c>
      <c r="W146" s="16">
        <v>0.0</v>
      </c>
      <c r="X146" s="16">
        <v>0.0</v>
      </c>
      <c r="Y146" s="16">
        <v>0.0</v>
      </c>
      <c r="Z146" s="16">
        <v>0.0</v>
      </c>
      <c r="AA146" s="16">
        <v>0.0</v>
      </c>
      <c r="AB146" s="16">
        <v>1.0</v>
      </c>
      <c r="AC146" s="16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6">
        <v>0.0</v>
      </c>
      <c r="AJ146" s="16">
        <v>120.0</v>
      </c>
      <c r="AK146" s="17">
        <v>0.4833</v>
      </c>
      <c r="AL146" s="17">
        <v>0.0667</v>
      </c>
      <c r="AM146" s="17">
        <v>0.3167</v>
      </c>
      <c r="AN146" s="17">
        <v>0.1167</v>
      </c>
      <c r="AO146" s="17">
        <v>0.0167</v>
      </c>
    </row>
    <row r="147" ht="14.25" customHeight="1">
      <c r="A147" s="15">
        <v>45467.0</v>
      </c>
      <c r="B147" s="16" t="s">
        <v>42</v>
      </c>
      <c r="C147" s="18">
        <v>12.2</v>
      </c>
      <c r="D147" s="18">
        <v>10.5</v>
      </c>
      <c r="E147" s="16">
        <v>13.0</v>
      </c>
      <c r="F147" s="16">
        <v>31.0</v>
      </c>
      <c r="G147" s="16">
        <v>35.0</v>
      </c>
      <c r="H147" s="16">
        <v>32.0</v>
      </c>
      <c r="I147" s="16">
        <v>0.0</v>
      </c>
      <c r="J147" s="16">
        <v>0.0</v>
      </c>
      <c r="K147" s="16">
        <v>13.0</v>
      </c>
      <c r="L147" s="16">
        <v>0.0</v>
      </c>
      <c r="M147" s="16">
        <v>7.0</v>
      </c>
      <c r="N147" s="16">
        <v>3.0</v>
      </c>
      <c r="O147" s="16">
        <v>3.0</v>
      </c>
      <c r="P147" s="16">
        <v>0.0</v>
      </c>
      <c r="Q147" s="16">
        <v>6.0</v>
      </c>
      <c r="R147" s="16">
        <v>4.0</v>
      </c>
      <c r="S147" s="16">
        <v>1.0</v>
      </c>
      <c r="T147" s="16">
        <v>0.0</v>
      </c>
      <c r="U147" s="16">
        <v>9.0</v>
      </c>
      <c r="V147" s="16">
        <v>3.0</v>
      </c>
      <c r="W147" s="16">
        <v>0.0</v>
      </c>
      <c r="X147" s="16">
        <v>0.0</v>
      </c>
      <c r="Y147" s="16">
        <v>0.0</v>
      </c>
      <c r="Z147" s="16">
        <v>0.0</v>
      </c>
      <c r="AA147" s="16">
        <v>0.0</v>
      </c>
      <c r="AB147" s="16">
        <v>0.0</v>
      </c>
      <c r="AC147" s="16">
        <v>0.0</v>
      </c>
      <c r="AD147" s="16">
        <v>0.0</v>
      </c>
      <c r="AE147" s="16">
        <v>0.0</v>
      </c>
      <c r="AF147" s="16">
        <v>0.0</v>
      </c>
      <c r="AG147" s="16">
        <v>4.0</v>
      </c>
      <c r="AH147" s="16">
        <v>0.0</v>
      </c>
      <c r="AI147" s="16">
        <v>0.0</v>
      </c>
      <c r="AJ147" s="16">
        <v>120.0</v>
      </c>
      <c r="AK147" s="17">
        <v>0.5583</v>
      </c>
      <c r="AL147" s="17">
        <v>0.1667</v>
      </c>
      <c r="AM147" s="17">
        <v>0.1167</v>
      </c>
      <c r="AN147" s="17">
        <v>0.1</v>
      </c>
      <c r="AO147" s="17">
        <v>0.0333</v>
      </c>
    </row>
    <row r="148" ht="14.25" customHeight="1">
      <c r="A148" s="15">
        <v>45467.0</v>
      </c>
      <c r="B148" s="16" t="s">
        <v>43</v>
      </c>
      <c r="C148" s="16">
        <v>14.0</v>
      </c>
      <c r="D148" s="16">
        <v>12.0</v>
      </c>
      <c r="E148" s="18">
        <v>13.1</v>
      </c>
      <c r="F148" s="16">
        <v>31.0</v>
      </c>
      <c r="G148" s="16">
        <v>26.0</v>
      </c>
      <c r="H148" s="16">
        <v>23.0</v>
      </c>
      <c r="I148" s="16">
        <v>3.0</v>
      </c>
      <c r="J148" s="16">
        <v>9.0</v>
      </c>
      <c r="K148" s="16">
        <v>7.0</v>
      </c>
      <c r="L148" s="16">
        <v>0.0</v>
      </c>
      <c r="M148" s="16">
        <v>3.0</v>
      </c>
      <c r="N148" s="16">
        <v>10.0</v>
      </c>
      <c r="O148" s="16">
        <v>6.0</v>
      </c>
      <c r="P148" s="16">
        <v>0.0</v>
      </c>
      <c r="Q148" s="16">
        <v>10.0</v>
      </c>
      <c r="R148" s="16">
        <v>4.0</v>
      </c>
      <c r="S148" s="16">
        <v>1.0</v>
      </c>
      <c r="T148" s="16">
        <v>3.0</v>
      </c>
      <c r="U148" s="16">
        <v>7.0</v>
      </c>
      <c r="V148" s="16">
        <v>2.0</v>
      </c>
      <c r="W148" s="16">
        <v>0.0</v>
      </c>
      <c r="X148" s="16">
        <v>0.0</v>
      </c>
      <c r="Y148" s="16">
        <v>0.0</v>
      </c>
      <c r="Z148" s="16">
        <v>0.0</v>
      </c>
      <c r="AA148" s="16">
        <v>0.0</v>
      </c>
      <c r="AB148" s="16">
        <v>0.0</v>
      </c>
      <c r="AC148" s="16">
        <v>0.0</v>
      </c>
      <c r="AD148" s="16">
        <v>0.0</v>
      </c>
      <c r="AE148" s="16">
        <v>0.0</v>
      </c>
      <c r="AF148" s="16">
        <v>1.0</v>
      </c>
      <c r="AG148" s="16">
        <v>5.0</v>
      </c>
      <c r="AH148" s="16">
        <v>0.0</v>
      </c>
      <c r="AI148" s="16">
        <v>0.0</v>
      </c>
      <c r="AJ148" s="16">
        <v>120.0</v>
      </c>
      <c r="AK148" s="17">
        <v>0.5083</v>
      </c>
      <c r="AL148" s="17">
        <v>0.0833</v>
      </c>
      <c r="AM148" s="17">
        <v>0.175</v>
      </c>
      <c r="AN148" s="17">
        <v>0.075</v>
      </c>
      <c r="AO148" s="17">
        <v>0.05</v>
      </c>
    </row>
    <row r="149" ht="14.25" customHeight="1">
      <c r="A149" s="15">
        <v>45468.0</v>
      </c>
      <c r="B149" s="18" t="s">
        <v>41</v>
      </c>
      <c r="C149" s="16">
        <v>15.8</v>
      </c>
      <c r="D149" s="16">
        <v>11.0</v>
      </c>
      <c r="E149" s="16">
        <v>10.0</v>
      </c>
      <c r="F149" s="16">
        <v>31.0</v>
      </c>
      <c r="G149" s="16">
        <v>24.0</v>
      </c>
      <c r="H149" s="16">
        <v>17.0</v>
      </c>
      <c r="I149" s="16">
        <v>4.0</v>
      </c>
      <c r="J149" s="16">
        <v>1.0</v>
      </c>
      <c r="K149" s="16">
        <v>15.0</v>
      </c>
      <c r="L149" s="16">
        <v>0.0</v>
      </c>
      <c r="M149" s="16">
        <v>4.0</v>
      </c>
      <c r="N149" s="16">
        <v>8.0</v>
      </c>
      <c r="O149" s="16">
        <v>7.0</v>
      </c>
      <c r="P149" s="16">
        <v>3.0</v>
      </c>
      <c r="Q149" s="16">
        <v>6.0</v>
      </c>
      <c r="R149" s="16">
        <v>0.0</v>
      </c>
      <c r="S149" s="16">
        <v>3.0</v>
      </c>
      <c r="T149" s="16">
        <v>5.0</v>
      </c>
      <c r="U149" s="16">
        <v>9.0</v>
      </c>
      <c r="V149" s="16">
        <v>6.0</v>
      </c>
      <c r="W149" s="16">
        <v>0.0</v>
      </c>
      <c r="X149" s="16">
        <v>0.0</v>
      </c>
      <c r="Y149" s="16">
        <v>0.0</v>
      </c>
      <c r="Z149" s="16">
        <v>0.0</v>
      </c>
      <c r="AA149" s="16">
        <v>0.0</v>
      </c>
      <c r="AB149" s="16">
        <v>0.0</v>
      </c>
      <c r="AC149" s="16">
        <v>0.0</v>
      </c>
      <c r="AD149" s="16">
        <v>0.0</v>
      </c>
      <c r="AE149" s="16">
        <v>0.0</v>
      </c>
      <c r="AF149" s="16">
        <v>0.0</v>
      </c>
      <c r="AG149" s="16">
        <v>7.0</v>
      </c>
      <c r="AH149" s="16">
        <v>0.0</v>
      </c>
      <c r="AI149" s="16">
        <v>0.0</v>
      </c>
      <c r="AJ149" s="16">
        <v>121.0</v>
      </c>
      <c r="AK149" s="17">
        <v>0.3833</v>
      </c>
      <c r="AL149" s="17">
        <v>0.1583</v>
      </c>
      <c r="AM149" s="17">
        <v>0.1583</v>
      </c>
      <c r="AN149" s="17">
        <v>0.125</v>
      </c>
      <c r="AO149" s="17">
        <v>0.075</v>
      </c>
    </row>
    <row r="150" ht="14.25" customHeight="1">
      <c r="A150" s="15">
        <v>45468.0</v>
      </c>
      <c r="B150" s="16" t="s">
        <v>43</v>
      </c>
      <c r="C150" s="16">
        <v>12.7</v>
      </c>
      <c r="D150" s="16">
        <v>11.6</v>
      </c>
      <c r="E150" s="16">
        <v>8.3</v>
      </c>
      <c r="F150" s="16">
        <v>31.0</v>
      </c>
      <c r="G150" s="16">
        <v>9.0</v>
      </c>
      <c r="H150" s="16">
        <v>24.0</v>
      </c>
      <c r="I150" s="16">
        <v>14.0</v>
      </c>
      <c r="J150" s="16">
        <v>4.0</v>
      </c>
      <c r="K150" s="16">
        <v>14.0</v>
      </c>
      <c r="L150" s="16">
        <v>0.0</v>
      </c>
      <c r="M150" s="16">
        <v>4.0</v>
      </c>
      <c r="N150" s="16">
        <v>2.0</v>
      </c>
      <c r="O150" s="16">
        <v>12.0</v>
      </c>
      <c r="P150" s="16">
        <v>0.0</v>
      </c>
      <c r="Q150" s="16">
        <v>8.0</v>
      </c>
      <c r="R150" s="16">
        <v>4.0</v>
      </c>
      <c r="S150" s="16">
        <v>1.0</v>
      </c>
      <c r="T150" s="16">
        <v>4.0</v>
      </c>
      <c r="U150" s="16">
        <v>12.0</v>
      </c>
      <c r="V150" s="16">
        <v>2.0</v>
      </c>
      <c r="W150" s="16">
        <v>0.0</v>
      </c>
      <c r="X150" s="16">
        <v>0.0</v>
      </c>
      <c r="Y150" s="16">
        <v>0.0</v>
      </c>
      <c r="Z150" s="16">
        <v>0.0</v>
      </c>
      <c r="AA150" s="16">
        <v>0.0</v>
      </c>
      <c r="AB150" s="16">
        <v>0.0</v>
      </c>
      <c r="AC150" s="16">
        <v>0.0</v>
      </c>
      <c r="AD150" s="16">
        <v>0.0</v>
      </c>
      <c r="AE150" s="16">
        <v>0.0</v>
      </c>
      <c r="AF150" s="16">
        <v>2.0</v>
      </c>
      <c r="AG150" s="16">
        <v>2.0</v>
      </c>
      <c r="AH150" s="16">
        <v>0.0</v>
      </c>
      <c r="AI150" s="16">
        <v>0.0</v>
      </c>
      <c r="AJ150" s="16">
        <v>119.0</v>
      </c>
      <c r="AK150" s="17">
        <v>0.425</v>
      </c>
      <c r="AL150" s="17">
        <v>0.15</v>
      </c>
      <c r="AM150" s="17">
        <v>0.2083</v>
      </c>
      <c r="AN150" s="17">
        <v>0.1167</v>
      </c>
      <c r="AO150" s="17">
        <v>0.0417</v>
      </c>
    </row>
    <row r="151" ht="14.25" customHeight="1">
      <c r="A151" s="15">
        <v>45469.0</v>
      </c>
      <c r="B151" s="16" t="s">
        <v>42</v>
      </c>
      <c r="C151" s="16">
        <v>11.9</v>
      </c>
      <c r="D151" s="16">
        <v>8.4</v>
      </c>
      <c r="E151" s="16">
        <v>6.6</v>
      </c>
      <c r="F151" s="16">
        <v>31.0</v>
      </c>
      <c r="G151" s="16">
        <v>4.0</v>
      </c>
      <c r="H151" s="16">
        <v>48.0</v>
      </c>
      <c r="I151" s="16">
        <v>7.0</v>
      </c>
      <c r="J151" s="16">
        <v>1.0</v>
      </c>
      <c r="K151" s="16">
        <v>12.0</v>
      </c>
      <c r="L151" s="16">
        <v>0.0</v>
      </c>
      <c r="M151" s="16">
        <v>0.0</v>
      </c>
      <c r="N151" s="16">
        <v>0.0</v>
      </c>
      <c r="O151" s="16">
        <v>15.0</v>
      </c>
      <c r="P151" s="16">
        <v>1.0</v>
      </c>
      <c r="Q151" s="16">
        <v>9.0</v>
      </c>
      <c r="R151" s="16">
        <v>2.0</v>
      </c>
      <c r="S151" s="16">
        <v>0.0</v>
      </c>
      <c r="T151" s="16">
        <v>2.0</v>
      </c>
      <c r="U151" s="16">
        <v>4.0</v>
      </c>
      <c r="V151" s="16">
        <v>1.0</v>
      </c>
      <c r="W151" s="16">
        <v>4.0</v>
      </c>
      <c r="X151" s="16">
        <v>0.0</v>
      </c>
      <c r="Y151" s="16">
        <v>0.0</v>
      </c>
      <c r="Z151" s="16">
        <v>0.0</v>
      </c>
      <c r="AA151" s="16">
        <v>0.0</v>
      </c>
      <c r="AB151" s="16">
        <v>7.0</v>
      </c>
      <c r="AC151" s="16">
        <v>0.0</v>
      </c>
      <c r="AD151" s="16">
        <v>0.0</v>
      </c>
      <c r="AE151" s="16">
        <v>0.0</v>
      </c>
      <c r="AF151" s="16">
        <v>0.0</v>
      </c>
      <c r="AG151" s="16">
        <v>1.0</v>
      </c>
      <c r="AH151" s="16">
        <v>0.0</v>
      </c>
      <c r="AI151" s="16">
        <v>0.0</v>
      </c>
      <c r="AJ151" s="16">
        <v>119.0</v>
      </c>
      <c r="AK151" s="17">
        <v>0.5</v>
      </c>
      <c r="AL151" s="17">
        <v>0.1</v>
      </c>
      <c r="AM151" s="17">
        <v>0.225</v>
      </c>
      <c r="AN151" s="17">
        <v>0.075</v>
      </c>
      <c r="AO151" s="17">
        <v>0.075</v>
      </c>
    </row>
    <row r="152" ht="14.25" customHeight="1">
      <c r="A152" s="15">
        <v>45469.0</v>
      </c>
      <c r="B152" s="16" t="s">
        <v>45</v>
      </c>
      <c r="C152" s="16">
        <v>19.0</v>
      </c>
      <c r="D152" s="16">
        <v>15.0</v>
      </c>
      <c r="E152" s="16">
        <v>11.0</v>
      </c>
      <c r="F152" s="16">
        <v>31.0</v>
      </c>
      <c r="G152" s="16">
        <v>16.0</v>
      </c>
      <c r="H152" s="16">
        <v>14.0</v>
      </c>
      <c r="I152" s="16">
        <v>16.0</v>
      </c>
      <c r="J152" s="16">
        <v>1.0</v>
      </c>
      <c r="K152" s="16">
        <v>7.0</v>
      </c>
      <c r="L152" s="16">
        <v>0.0</v>
      </c>
      <c r="M152" s="16">
        <v>0.0</v>
      </c>
      <c r="N152" s="16">
        <v>0.0</v>
      </c>
      <c r="O152" s="16">
        <v>29.0</v>
      </c>
      <c r="P152" s="16">
        <v>0.0</v>
      </c>
      <c r="Q152" s="16">
        <v>23.0</v>
      </c>
      <c r="R152" s="16">
        <v>5.0</v>
      </c>
      <c r="S152" s="16">
        <v>1.0</v>
      </c>
      <c r="T152" s="16">
        <v>0.0</v>
      </c>
      <c r="U152" s="16">
        <v>1.0</v>
      </c>
      <c r="V152" s="16">
        <v>0.0</v>
      </c>
      <c r="W152" s="16">
        <v>0.0</v>
      </c>
      <c r="X152" s="16">
        <v>0.0</v>
      </c>
      <c r="Y152" s="16">
        <v>0.0</v>
      </c>
      <c r="Z152" s="16">
        <v>0.0</v>
      </c>
      <c r="AA152" s="16">
        <v>0.0</v>
      </c>
      <c r="AB152" s="16">
        <v>0.0</v>
      </c>
      <c r="AC152" s="16">
        <v>0.0</v>
      </c>
      <c r="AD152" s="16">
        <v>0.0</v>
      </c>
      <c r="AE152" s="16">
        <v>0.0</v>
      </c>
      <c r="AF152" s="16">
        <v>2.0</v>
      </c>
      <c r="AG152" s="16">
        <v>5.0</v>
      </c>
      <c r="AH152" s="16">
        <v>0.0</v>
      </c>
      <c r="AI152" s="16">
        <v>0.0</v>
      </c>
      <c r="AJ152" s="16">
        <v>120.0</v>
      </c>
      <c r="AK152" s="17">
        <v>0.3917</v>
      </c>
      <c r="AL152" s="17">
        <v>0.0583</v>
      </c>
      <c r="AM152" s="17">
        <v>0.4833</v>
      </c>
      <c r="AN152" s="17">
        <v>0.0083</v>
      </c>
      <c r="AO152" s="17">
        <v>0.0583</v>
      </c>
    </row>
    <row r="153" ht="14.25" customHeight="1">
      <c r="A153" s="15">
        <v>45470.0</v>
      </c>
      <c r="B153" s="16" t="s">
        <v>44</v>
      </c>
      <c r="C153" s="16">
        <v>17.5</v>
      </c>
      <c r="D153" s="16">
        <v>13.8</v>
      </c>
      <c r="E153" s="16">
        <v>11.0</v>
      </c>
      <c r="F153" s="16">
        <v>31.0</v>
      </c>
      <c r="G153" s="16">
        <v>5.0</v>
      </c>
      <c r="H153" s="16">
        <v>26.0</v>
      </c>
      <c r="I153" s="16">
        <v>4.0</v>
      </c>
      <c r="J153" s="16">
        <v>1.0</v>
      </c>
      <c r="K153" s="16">
        <v>27.0</v>
      </c>
      <c r="L153" s="16">
        <v>0.0</v>
      </c>
      <c r="M153" s="16">
        <v>9.0</v>
      </c>
      <c r="N153" s="16">
        <v>4.0</v>
      </c>
      <c r="O153" s="16">
        <v>11.0</v>
      </c>
      <c r="P153" s="16">
        <v>0.0</v>
      </c>
      <c r="Q153" s="16">
        <v>5.0</v>
      </c>
      <c r="R153" s="16">
        <v>3.0</v>
      </c>
      <c r="S153" s="16">
        <v>2.0</v>
      </c>
      <c r="T153" s="16">
        <v>6.0</v>
      </c>
      <c r="U153" s="16">
        <v>8.0</v>
      </c>
      <c r="V153" s="16">
        <v>7.0</v>
      </c>
      <c r="W153" s="16">
        <v>0.0</v>
      </c>
      <c r="X153" s="16">
        <v>0.0</v>
      </c>
      <c r="Y153" s="16">
        <v>1.0</v>
      </c>
      <c r="Z153" s="16">
        <v>1.0</v>
      </c>
      <c r="AA153" s="16">
        <v>0.0</v>
      </c>
      <c r="AB153" s="16">
        <v>0.0</v>
      </c>
      <c r="AC153" s="16">
        <v>0.0</v>
      </c>
      <c r="AD153" s="16">
        <v>0.0</v>
      </c>
      <c r="AE153" s="16">
        <v>0.0</v>
      </c>
      <c r="AF153" s="16">
        <v>0.0</v>
      </c>
      <c r="AG153" s="16">
        <v>0.0</v>
      </c>
      <c r="AH153" s="16">
        <v>0.0</v>
      </c>
      <c r="AI153" s="16">
        <v>0.0</v>
      </c>
      <c r="AJ153" s="16">
        <v>121.0</v>
      </c>
      <c r="AK153" s="17">
        <v>0.3</v>
      </c>
      <c r="AL153" s="17">
        <v>0.3</v>
      </c>
      <c r="AM153" s="17">
        <v>0.175</v>
      </c>
      <c r="AN153" s="17">
        <v>0.1417</v>
      </c>
      <c r="AO153" s="17">
        <v>0.0083</v>
      </c>
    </row>
    <row r="154" ht="14.25" customHeight="1">
      <c r="A154" s="15">
        <v>45471.0</v>
      </c>
      <c r="B154" s="16" t="s">
        <v>42</v>
      </c>
      <c r="C154" s="16">
        <v>9.7</v>
      </c>
      <c r="D154" s="16">
        <v>6.2</v>
      </c>
      <c r="E154" s="16">
        <v>8.3</v>
      </c>
      <c r="F154" s="16">
        <v>31.0</v>
      </c>
      <c r="G154" s="16">
        <v>11.0</v>
      </c>
      <c r="H154" s="16">
        <v>5.0</v>
      </c>
      <c r="I154" s="16">
        <v>27.0</v>
      </c>
      <c r="J154" s="16">
        <v>4.0</v>
      </c>
      <c r="K154" s="16">
        <v>19.0</v>
      </c>
      <c r="L154" s="16">
        <v>0.0</v>
      </c>
      <c r="M154" s="16">
        <v>6.0</v>
      </c>
      <c r="N154" s="16">
        <v>5.0</v>
      </c>
      <c r="O154" s="16">
        <v>8.0</v>
      </c>
      <c r="P154" s="16">
        <v>0.0</v>
      </c>
      <c r="Q154" s="16">
        <v>6.0</v>
      </c>
      <c r="R154" s="16">
        <v>6.0</v>
      </c>
      <c r="S154" s="16">
        <v>2.0</v>
      </c>
      <c r="T154" s="16">
        <v>0.0</v>
      </c>
      <c r="U154" s="16">
        <v>12.0</v>
      </c>
      <c r="V154" s="16">
        <v>0.0</v>
      </c>
      <c r="W154" s="16">
        <v>0.0</v>
      </c>
      <c r="X154" s="16">
        <v>1.0</v>
      </c>
      <c r="Y154" s="16">
        <v>1.0</v>
      </c>
      <c r="Z154" s="16">
        <v>0.0</v>
      </c>
      <c r="AA154" s="16">
        <v>0.0</v>
      </c>
      <c r="AB154" s="16">
        <v>0.0</v>
      </c>
      <c r="AC154" s="16">
        <v>0.0</v>
      </c>
      <c r="AD154" s="16">
        <v>0.0</v>
      </c>
      <c r="AE154" s="16">
        <v>0.0</v>
      </c>
      <c r="AF154" s="16">
        <v>0.0</v>
      </c>
      <c r="AG154" s="16">
        <v>2.0</v>
      </c>
      <c r="AH154" s="16">
        <v>0.0</v>
      </c>
      <c r="AI154" s="16">
        <v>0.0</v>
      </c>
      <c r="AJ154" s="16">
        <v>120.0</v>
      </c>
      <c r="AK154" s="17">
        <v>0.3917</v>
      </c>
      <c r="AL154" s="17">
        <v>0.2083</v>
      </c>
      <c r="AM154" s="17">
        <v>0.1833</v>
      </c>
      <c r="AN154" s="17">
        <v>0.1167</v>
      </c>
      <c r="AO154" s="17">
        <v>0.0583</v>
      </c>
    </row>
    <row r="155" ht="14.25" customHeight="1">
      <c r="A155" s="30">
        <v>45554.0</v>
      </c>
      <c r="B155" s="16" t="s">
        <v>43</v>
      </c>
      <c r="C155" s="16">
        <v>11.0</v>
      </c>
      <c r="D155" s="16">
        <v>5.0</v>
      </c>
      <c r="E155" s="16">
        <v>5.4</v>
      </c>
      <c r="F155" s="16">
        <v>29.0</v>
      </c>
      <c r="G155" s="16">
        <v>0.0</v>
      </c>
      <c r="H155" s="16">
        <v>8.0</v>
      </c>
      <c r="I155" s="16">
        <v>69.0</v>
      </c>
      <c r="J155" s="16">
        <v>2.0</v>
      </c>
      <c r="K155" s="16">
        <v>7.0</v>
      </c>
      <c r="L155" s="16">
        <v>0.0</v>
      </c>
      <c r="M155" s="16">
        <v>1.0</v>
      </c>
      <c r="N155" s="16">
        <v>1.0</v>
      </c>
      <c r="O155" s="16">
        <v>15.0</v>
      </c>
      <c r="P155" s="16">
        <v>0.0</v>
      </c>
      <c r="Q155" s="16">
        <v>6.0</v>
      </c>
      <c r="R155" s="16">
        <v>0.0</v>
      </c>
      <c r="S155" s="16">
        <v>0.0</v>
      </c>
      <c r="T155" s="16">
        <v>7.0</v>
      </c>
      <c r="U155" s="16">
        <v>2.0</v>
      </c>
      <c r="V155" s="16">
        <v>0.0</v>
      </c>
      <c r="W155" s="16">
        <v>0.0</v>
      </c>
      <c r="X155" s="16">
        <v>1.0</v>
      </c>
      <c r="Y155" s="16">
        <v>0.0</v>
      </c>
      <c r="Z155" s="16">
        <v>0.0</v>
      </c>
      <c r="AA155" s="16">
        <v>0.0</v>
      </c>
      <c r="AB155" s="16">
        <v>0.0</v>
      </c>
      <c r="AC155" s="16">
        <v>0.0</v>
      </c>
      <c r="AD155" s="16">
        <v>0.0</v>
      </c>
      <c r="AE155" s="16">
        <v>0.0</v>
      </c>
      <c r="AF155" s="16">
        <v>0.0</v>
      </c>
      <c r="AG155" s="16">
        <v>1.0</v>
      </c>
      <c r="AH155" s="16">
        <v>0.0</v>
      </c>
      <c r="AI155" s="16">
        <v>0.0</v>
      </c>
      <c r="AJ155" s="16">
        <v>120.0</v>
      </c>
      <c r="AK155" s="17">
        <v>0.6583</v>
      </c>
      <c r="AL155" s="17">
        <v>0.0667</v>
      </c>
      <c r="AM155" s="17">
        <v>0.175</v>
      </c>
      <c r="AN155" s="17">
        <v>0.025</v>
      </c>
      <c r="AO155" s="17">
        <v>0.0083</v>
      </c>
    </row>
    <row r="156" ht="14.25" customHeight="1">
      <c r="A156" s="30">
        <v>45555.0</v>
      </c>
      <c r="B156" s="18" t="s">
        <v>41</v>
      </c>
      <c r="C156" s="16">
        <v>10.0</v>
      </c>
      <c r="D156" s="16">
        <v>11.2</v>
      </c>
      <c r="E156" s="16">
        <v>10.9</v>
      </c>
      <c r="F156" s="16">
        <v>31.0</v>
      </c>
      <c r="G156" s="16">
        <v>0.0</v>
      </c>
      <c r="H156" s="16">
        <v>14.0</v>
      </c>
      <c r="I156" s="16">
        <v>62.0</v>
      </c>
      <c r="J156" s="16">
        <v>1.0</v>
      </c>
      <c r="K156" s="16">
        <v>13.0</v>
      </c>
      <c r="L156" s="16">
        <v>0.0</v>
      </c>
      <c r="M156" s="16">
        <v>0.0</v>
      </c>
      <c r="N156" s="16">
        <v>1.0</v>
      </c>
      <c r="O156" s="16">
        <v>12.0</v>
      </c>
      <c r="P156" s="16">
        <v>2.0</v>
      </c>
      <c r="Q156" s="16">
        <v>4.0</v>
      </c>
      <c r="R156" s="16">
        <v>0.0</v>
      </c>
      <c r="S156" s="16">
        <v>0.0</v>
      </c>
      <c r="T156" s="16">
        <v>5.0</v>
      </c>
      <c r="U156" s="16">
        <v>2.0</v>
      </c>
      <c r="V156" s="16">
        <v>0.0</v>
      </c>
      <c r="W156" s="16">
        <v>0.0</v>
      </c>
      <c r="X156" s="16">
        <v>0.0</v>
      </c>
      <c r="Y156" s="16">
        <v>0.0</v>
      </c>
      <c r="Z156" s="16">
        <v>0.0</v>
      </c>
      <c r="AA156" s="16">
        <v>0.0</v>
      </c>
      <c r="AB156" s="16">
        <v>0.0</v>
      </c>
      <c r="AC156" s="16">
        <v>0.0</v>
      </c>
      <c r="AD156" s="16">
        <v>0.0</v>
      </c>
      <c r="AE156" s="16">
        <v>0.0</v>
      </c>
      <c r="AF156" s="16">
        <v>0.0</v>
      </c>
      <c r="AG156" s="16">
        <v>3.0</v>
      </c>
      <c r="AH156" s="16">
        <v>0.0</v>
      </c>
      <c r="AI156" s="16">
        <v>0.0</v>
      </c>
      <c r="AJ156" s="16">
        <v>119.0</v>
      </c>
      <c r="AK156" s="17">
        <v>0.6417</v>
      </c>
      <c r="AL156" s="17">
        <v>0.1083</v>
      </c>
      <c r="AM156" s="17">
        <v>0.15</v>
      </c>
      <c r="AN156" s="17">
        <v>0.0167</v>
      </c>
      <c r="AO156" s="17">
        <v>0.025</v>
      </c>
    </row>
    <row r="157" ht="14.25" customHeight="1">
      <c r="A157" s="30">
        <v>45555.0</v>
      </c>
      <c r="B157" s="16" t="s">
        <v>42</v>
      </c>
      <c r="C157" s="16">
        <v>8.8</v>
      </c>
      <c r="D157" s="16">
        <v>6.0</v>
      </c>
      <c r="E157" s="16">
        <v>5.7</v>
      </c>
      <c r="F157" s="16">
        <v>30.0</v>
      </c>
      <c r="G157" s="16">
        <v>0.0</v>
      </c>
      <c r="H157" s="16">
        <v>9.0</v>
      </c>
      <c r="I157" s="16">
        <v>51.0</v>
      </c>
      <c r="J157" s="16">
        <v>0.0</v>
      </c>
      <c r="K157" s="16">
        <v>3.0</v>
      </c>
      <c r="L157" s="16">
        <v>0.0</v>
      </c>
      <c r="M157" s="16">
        <v>0.0</v>
      </c>
      <c r="N157" s="16">
        <v>0.0</v>
      </c>
      <c r="O157" s="16">
        <v>16.0</v>
      </c>
      <c r="P157" s="16">
        <v>1.0</v>
      </c>
      <c r="Q157" s="16">
        <v>7.0</v>
      </c>
      <c r="R157" s="16">
        <v>0.0</v>
      </c>
      <c r="S157" s="16">
        <v>0.0</v>
      </c>
      <c r="T157" s="16">
        <v>1.0</v>
      </c>
      <c r="U157" s="16">
        <v>0.0</v>
      </c>
      <c r="V157" s="16">
        <v>0.0</v>
      </c>
      <c r="W157" s="16">
        <v>0.0</v>
      </c>
      <c r="X157" s="16">
        <v>0.0</v>
      </c>
      <c r="Y157" s="16">
        <v>0.0</v>
      </c>
      <c r="Z157" s="16">
        <v>0.0</v>
      </c>
      <c r="AA157" s="16">
        <v>0.0</v>
      </c>
      <c r="AB157" s="16">
        <v>32.0</v>
      </c>
      <c r="AC157" s="16">
        <v>0.0</v>
      </c>
      <c r="AD157" s="16">
        <v>0.0</v>
      </c>
      <c r="AE157" s="16">
        <v>0.0</v>
      </c>
      <c r="AF157" s="16">
        <v>0.0</v>
      </c>
      <c r="AG157" s="16">
        <v>0.0</v>
      </c>
      <c r="AH157" s="16">
        <v>0.0</v>
      </c>
      <c r="AI157" s="16">
        <v>0.0</v>
      </c>
      <c r="AJ157" s="16">
        <v>120.0</v>
      </c>
      <c r="AK157" s="17">
        <v>0.5</v>
      </c>
      <c r="AL157" s="17">
        <v>0.025</v>
      </c>
      <c r="AM157" s="17">
        <v>0.2</v>
      </c>
      <c r="AN157" s="17">
        <v>0.0</v>
      </c>
      <c r="AO157" s="17">
        <v>0.2667</v>
      </c>
    </row>
    <row r="158" ht="14.25" customHeight="1">
      <c r="A158" s="30">
        <v>45595.0</v>
      </c>
      <c r="B158" s="18" t="s">
        <v>41</v>
      </c>
      <c r="C158" s="16">
        <v>3.0</v>
      </c>
      <c r="D158" s="16">
        <v>10.3</v>
      </c>
      <c r="E158" s="16">
        <v>13.4</v>
      </c>
      <c r="F158" s="16">
        <v>29.0</v>
      </c>
      <c r="G158" s="16">
        <v>26.0</v>
      </c>
      <c r="H158" s="16">
        <v>44.0</v>
      </c>
      <c r="I158" s="16">
        <v>2.0</v>
      </c>
      <c r="J158" s="16">
        <v>3.0</v>
      </c>
      <c r="K158" s="16">
        <v>0.0</v>
      </c>
      <c r="L158" s="16">
        <v>0.0</v>
      </c>
      <c r="M158" s="16">
        <v>0.0</v>
      </c>
      <c r="N158" s="16">
        <v>2.0</v>
      </c>
      <c r="O158" s="16">
        <v>13.0</v>
      </c>
      <c r="P158" s="16">
        <v>7.0</v>
      </c>
      <c r="Q158" s="16">
        <v>4.0</v>
      </c>
      <c r="R158" s="16">
        <v>8.0</v>
      </c>
      <c r="S158" s="16">
        <v>0.0</v>
      </c>
      <c r="T158" s="16">
        <v>0.0</v>
      </c>
      <c r="U158" s="16">
        <v>2.0</v>
      </c>
      <c r="V158" s="16">
        <v>1.0</v>
      </c>
      <c r="W158" s="16">
        <v>0.0</v>
      </c>
      <c r="X158" s="16">
        <v>0.0</v>
      </c>
      <c r="Y158" s="16">
        <v>0.0</v>
      </c>
      <c r="Z158" s="16">
        <v>0.0</v>
      </c>
      <c r="AA158" s="16">
        <v>0.0</v>
      </c>
      <c r="AB158" s="16">
        <v>0.0</v>
      </c>
      <c r="AC158" s="16">
        <v>0.0</v>
      </c>
      <c r="AD158" s="16">
        <v>0.0</v>
      </c>
      <c r="AE158" s="16">
        <v>0.0</v>
      </c>
      <c r="AF158" s="16">
        <v>0.0</v>
      </c>
      <c r="AG158" s="16">
        <v>8.0</v>
      </c>
      <c r="AH158" s="16">
        <v>0.0</v>
      </c>
      <c r="AI158" s="16">
        <v>0.0</v>
      </c>
      <c r="AJ158" s="16">
        <v>120.0</v>
      </c>
      <c r="AK158" s="17">
        <v>0.625</v>
      </c>
      <c r="AL158" s="17">
        <v>0.0</v>
      </c>
      <c r="AM158" s="17">
        <v>0.2667</v>
      </c>
      <c r="AN158" s="17">
        <v>0.025</v>
      </c>
      <c r="AO158" s="17">
        <v>0.0667</v>
      </c>
    </row>
    <row r="159" ht="14.25" customHeight="1">
      <c r="A159" s="30">
        <v>45595.0</v>
      </c>
      <c r="B159" s="16" t="s">
        <v>42</v>
      </c>
      <c r="C159" s="16">
        <v>4.0</v>
      </c>
      <c r="D159" s="16">
        <v>5.9</v>
      </c>
      <c r="E159" s="16">
        <v>6.7</v>
      </c>
      <c r="F159" s="16">
        <v>29.0</v>
      </c>
      <c r="G159" s="16">
        <v>3.0</v>
      </c>
      <c r="H159" s="16">
        <v>34.0</v>
      </c>
      <c r="I159" s="16">
        <v>16.0</v>
      </c>
      <c r="J159" s="16">
        <v>6.0</v>
      </c>
      <c r="K159" s="16">
        <v>0.0</v>
      </c>
      <c r="L159" s="16">
        <v>0.0</v>
      </c>
      <c r="M159" s="16">
        <v>0.0</v>
      </c>
      <c r="N159" s="16">
        <v>0.0</v>
      </c>
      <c r="O159" s="16">
        <v>21.0</v>
      </c>
      <c r="P159" s="16">
        <v>2.0</v>
      </c>
      <c r="Q159" s="16">
        <v>6.0</v>
      </c>
      <c r="R159" s="16">
        <v>5.0</v>
      </c>
      <c r="S159" s="16">
        <v>0.0</v>
      </c>
      <c r="T159" s="16">
        <v>0.0</v>
      </c>
      <c r="U159" s="16">
        <v>0.0</v>
      </c>
      <c r="V159" s="16">
        <v>0.0</v>
      </c>
      <c r="W159" s="16">
        <v>0.0</v>
      </c>
      <c r="X159" s="16">
        <v>0.0</v>
      </c>
      <c r="Y159" s="16">
        <v>0.0</v>
      </c>
      <c r="Z159" s="16">
        <v>0.0</v>
      </c>
      <c r="AA159" s="16">
        <v>0.0</v>
      </c>
      <c r="AB159" s="16">
        <v>25.0</v>
      </c>
      <c r="AC159" s="16">
        <v>0.0</v>
      </c>
      <c r="AD159" s="16">
        <v>0.0</v>
      </c>
      <c r="AE159" s="16">
        <v>0.0</v>
      </c>
      <c r="AF159" s="16">
        <v>0.0</v>
      </c>
      <c r="AG159" s="16">
        <v>1.0</v>
      </c>
      <c r="AH159" s="16">
        <v>0.0</v>
      </c>
      <c r="AI159" s="16">
        <v>0.0</v>
      </c>
      <c r="AJ159" s="16">
        <v>120.0</v>
      </c>
      <c r="AK159" s="17">
        <v>0.4917</v>
      </c>
      <c r="AL159" s="17">
        <v>0.0</v>
      </c>
      <c r="AM159" s="17">
        <v>0.2833</v>
      </c>
      <c r="AN159" s="17">
        <v>0.0</v>
      </c>
      <c r="AO159" s="17">
        <v>0.225</v>
      </c>
    </row>
    <row r="160" ht="14.25" customHeight="1">
      <c r="A160" s="30">
        <v>45596.0</v>
      </c>
      <c r="B160" s="18" t="s">
        <v>41</v>
      </c>
      <c r="C160" s="16">
        <v>4.7</v>
      </c>
      <c r="D160" s="16">
        <v>10.5</v>
      </c>
      <c r="E160" s="16">
        <v>10.2</v>
      </c>
      <c r="F160" s="16">
        <v>30.0</v>
      </c>
      <c r="G160" s="16">
        <v>56.0</v>
      </c>
      <c r="H160" s="16">
        <v>18.0</v>
      </c>
      <c r="I160" s="16">
        <v>0.0</v>
      </c>
      <c r="J160" s="16">
        <v>0.0</v>
      </c>
      <c r="K160" s="16">
        <v>7.0</v>
      </c>
      <c r="L160" s="16">
        <v>0.0</v>
      </c>
      <c r="M160" s="16">
        <v>2.0</v>
      </c>
      <c r="N160" s="16">
        <v>0.0</v>
      </c>
      <c r="O160" s="16">
        <v>19.0</v>
      </c>
      <c r="P160" s="16">
        <v>4.0</v>
      </c>
      <c r="Q160" s="16">
        <v>4.0</v>
      </c>
      <c r="R160" s="16">
        <v>7.0</v>
      </c>
      <c r="S160" s="16">
        <v>0.0</v>
      </c>
      <c r="T160" s="16">
        <v>0.0</v>
      </c>
      <c r="U160" s="16">
        <v>1.0</v>
      </c>
      <c r="V160" s="16">
        <v>0.0</v>
      </c>
      <c r="W160" s="16">
        <v>0.0</v>
      </c>
      <c r="X160" s="16">
        <v>0.0</v>
      </c>
      <c r="Y160" s="16">
        <v>0.0</v>
      </c>
      <c r="Z160" s="16">
        <v>0.0</v>
      </c>
      <c r="AA160" s="16">
        <v>0.0</v>
      </c>
      <c r="AB160" s="16">
        <v>2.0</v>
      </c>
      <c r="AC160" s="16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6">
        <v>0.0</v>
      </c>
      <c r="AJ160" s="16">
        <v>120.0</v>
      </c>
      <c r="AK160" s="17">
        <v>0.6167</v>
      </c>
      <c r="AL160" s="17">
        <v>0.075</v>
      </c>
      <c r="AM160" s="17">
        <v>0.2833</v>
      </c>
      <c r="AN160" s="17">
        <v>0.0083</v>
      </c>
      <c r="AO160" s="17">
        <v>0.0167</v>
      </c>
    </row>
    <row r="161" ht="14.25" customHeight="1">
      <c r="A161" s="30">
        <v>45596.0</v>
      </c>
      <c r="B161" s="16" t="s">
        <v>44</v>
      </c>
      <c r="C161" s="16">
        <v>4.4</v>
      </c>
      <c r="D161" s="16">
        <v>12.0</v>
      </c>
      <c r="E161" s="16">
        <v>10.0</v>
      </c>
      <c r="F161" s="16">
        <v>30.0</v>
      </c>
      <c r="G161" s="16">
        <v>80.0</v>
      </c>
      <c r="H161" s="16">
        <v>11.0</v>
      </c>
      <c r="I161" s="16">
        <v>5.0</v>
      </c>
      <c r="J161" s="16">
        <v>0.0</v>
      </c>
      <c r="K161" s="16">
        <v>7.0</v>
      </c>
      <c r="L161" s="16">
        <v>0.0</v>
      </c>
      <c r="M161" s="16">
        <v>1.0</v>
      </c>
      <c r="N161" s="16">
        <v>0.0</v>
      </c>
      <c r="O161" s="16">
        <v>7.0</v>
      </c>
      <c r="P161" s="16">
        <v>0.0</v>
      </c>
      <c r="Q161" s="16">
        <v>2.0</v>
      </c>
      <c r="R161" s="16">
        <v>3.0</v>
      </c>
      <c r="S161" s="16">
        <v>0.0</v>
      </c>
      <c r="T161" s="16">
        <v>0.0</v>
      </c>
      <c r="U161" s="16">
        <v>0.0</v>
      </c>
      <c r="V161" s="16">
        <v>1.0</v>
      </c>
      <c r="W161" s="16">
        <v>0.0</v>
      </c>
      <c r="X161" s="16">
        <v>0.0</v>
      </c>
      <c r="Y161" s="16">
        <v>0.0</v>
      </c>
      <c r="Z161" s="16">
        <v>0.0</v>
      </c>
      <c r="AA161" s="16">
        <v>0.0</v>
      </c>
      <c r="AB161" s="16">
        <v>0.0</v>
      </c>
      <c r="AC161" s="16">
        <v>0.0</v>
      </c>
      <c r="AD161" s="16">
        <v>0.0</v>
      </c>
      <c r="AE161" s="16">
        <v>0.0</v>
      </c>
      <c r="AF161" s="16">
        <v>0.0</v>
      </c>
      <c r="AG161" s="16">
        <v>2.0</v>
      </c>
      <c r="AH161" s="16">
        <v>0.0</v>
      </c>
      <c r="AI161" s="16">
        <v>0.0</v>
      </c>
      <c r="AJ161" s="16">
        <v>120.0</v>
      </c>
      <c r="AK161" s="17">
        <v>0.8</v>
      </c>
      <c r="AL161" s="17">
        <v>0.0667</v>
      </c>
      <c r="AM161" s="17">
        <v>0.1</v>
      </c>
      <c r="AN161" s="17">
        <v>0.0083</v>
      </c>
      <c r="AO161" s="17">
        <v>0.025</v>
      </c>
    </row>
    <row r="162" ht="14.25" customHeight="1">
      <c r="A162" s="30">
        <v>45597.0</v>
      </c>
      <c r="B162" s="16" t="s">
        <v>42</v>
      </c>
      <c r="C162" s="16">
        <v>6.0</v>
      </c>
      <c r="D162" s="16">
        <v>6.9</v>
      </c>
      <c r="E162" s="16">
        <v>10.4</v>
      </c>
      <c r="F162" s="16">
        <v>29.0</v>
      </c>
      <c r="G162" s="16">
        <v>0.0</v>
      </c>
      <c r="H162" s="16">
        <v>14.0</v>
      </c>
      <c r="I162" s="16">
        <v>23.0</v>
      </c>
      <c r="J162" s="16">
        <v>1.0</v>
      </c>
      <c r="K162" s="16">
        <v>17.0</v>
      </c>
      <c r="L162" s="16">
        <v>0.0</v>
      </c>
      <c r="M162" s="16">
        <v>6.0</v>
      </c>
      <c r="N162" s="16">
        <v>0.0</v>
      </c>
      <c r="O162" s="16">
        <v>22.0</v>
      </c>
      <c r="P162" s="16">
        <v>0.0</v>
      </c>
      <c r="Q162" s="16">
        <v>10.0</v>
      </c>
      <c r="R162" s="16">
        <v>6.0</v>
      </c>
      <c r="S162" s="16">
        <v>0.0</v>
      </c>
      <c r="T162" s="16">
        <v>0.0</v>
      </c>
      <c r="U162" s="16">
        <v>10.0</v>
      </c>
      <c r="V162" s="16">
        <v>2.0</v>
      </c>
      <c r="W162" s="16">
        <v>0.0</v>
      </c>
      <c r="X162" s="16">
        <v>0.0</v>
      </c>
      <c r="Y162" s="16">
        <v>0.0</v>
      </c>
      <c r="Z162" s="16">
        <v>0.0</v>
      </c>
      <c r="AA162" s="16">
        <v>0.0</v>
      </c>
      <c r="AB162" s="16">
        <v>0.0</v>
      </c>
      <c r="AC162" s="16">
        <v>0.0</v>
      </c>
      <c r="AD162" s="16">
        <v>0.0</v>
      </c>
      <c r="AE162" s="16">
        <v>0.0</v>
      </c>
      <c r="AF162" s="16">
        <v>0.0</v>
      </c>
      <c r="AG162" s="16">
        <v>8.0</v>
      </c>
      <c r="AH162" s="16">
        <v>0.0</v>
      </c>
      <c r="AI162" s="16">
        <v>0.0</v>
      </c>
      <c r="AJ162" s="16">
        <v>120.0</v>
      </c>
      <c r="AK162" s="17">
        <v>0.3167</v>
      </c>
      <c r="AL162" s="17">
        <v>0.1917</v>
      </c>
      <c r="AM162" s="17">
        <v>0.3167</v>
      </c>
      <c r="AN162" s="17">
        <v>0.1</v>
      </c>
      <c r="AO162" s="17">
        <v>0.075</v>
      </c>
    </row>
    <row r="163" ht="14.25" customHeight="1">
      <c r="A163" s="30">
        <v>45597.0</v>
      </c>
      <c r="B163" s="16" t="s">
        <v>45</v>
      </c>
      <c r="C163" s="16">
        <v>6.0</v>
      </c>
      <c r="D163" s="16">
        <v>11.5</v>
      </c>
      <c r="E163" s="16">
        <v>9.4</v>
      </c>
      <c r="F163" s="16">
        <v>29.0</v>
      </c>
      <c r="G163" s="16">
        <v>3.0</v>
      </c>
      <c r="H163" s="16">
        <v>12.0</v>
      </c>
      <c r="I163" s="16">
        <v>3.0</v>
      </c>
      <c r="J163" s="16">
        <v>0.0</v>
      </c>
      <c r="K163" s="16">
        <v>7.0</v>
      </c>
      <c r="L163" s="16">
        <v>0.0</v>
      </c>
      <c r="M163" s="16">
        <v>1.0</v>
      </c>
      <c r="N163" s="16">
        <v>0.0</v>
      </c>
      <c r="O163" s="16">
        <v>22.0</v>
      </c>
      <c r="P163" s="16">
        <v>0.0</v>
      </c>
      <c r="Q163" s="16">
        <v>14.0</v>
      </c>
      <c r="R163" s="16">
        <v>6.0</v>
      </c>
      <c r="S163" s="16">
        <v>2.0</v>
      </c>
      <c r="T163" s="16">
        <v>0.0</v>
      </c>
      <c r="U163" s="16">
        <v>0.0</v>
      </c>
      <c r="V163" s="16">
        <v>1.0</v>
      </c>
      <c r="W163" s="16">
        <v>0.0</v>
      </c>
      <c r="X163" s="16">
        <v>0.0</v>
      </c>
      <c r="Y163" s="16">
        <v>0.0</v>
      </c>
      <c r="Z163" s="16">
        <v>0.0</v>
      </c>
      <c r="AA163" s="16">
        <v>0.0</v>
      </c>
      <c r="AB163" s="16">
        <v>0.0</v>
      </c>
      <c r="AC163" s="16">
        <v>0.0</v>
      </c>
      <c r="AD163" s="16">
        <v>0.0</v>
      </c>
      <c r="AE163" s="16">
        <v>0.0</v>
      </c>
      <c r="AF163" s="16">
        <v>0.0</v>
      </c>
      <c r="AG163" s="16">
        <v>49.0</v>
      </c>
      <c r="AH163" s="16">
        <v>0.0</v>
      </c>
      <c r="AI163" s="16">
        <v>0.0</v>
      </c>
      <c r="AJ163" s="16">
        <v>120.0</v>
      </c>
      <c r="AK163" s="17">
        <v>0.15</v>
      </c>
      <c r="AL163" s="17">
        <v>0.0667</v>
      </c>
      <c r="AM163" s="17">
        <v>0.3667</v>
      </c>
      <c r="AN163" s="17">
        <v>0.0083</v>
      </c>
      <c r="AO163" s="17">
        <v>0.4083</v>
      </c>
    </row>
    <row r="164" ht="14.25" customHeight="1">
      <c r="A164" s="30">
        <v>45598.0</v>
      </c>
      <c r="B164" s="16" t="s">
        <v>43</v>
      </c>
      <c r="C164" s="16">
        <v>4.6</v>
      </c>
      <c r="D164" s="16">
        <v>9.6</v>
      </c>
      <c r="E164" s="16">
        <v>6.4</v>
      </c>
      <c r="F164" s="16">
        <v>30.0</v>
      </c>
      <c r="G164" s="16">
        <v>45.0</v>
      </c>
      <c r="H164" s="16">
        <v>3.0</v>
      </c>
      <c r="I164" s="16">
        <v>26.0</v>
      </c>
      <c r="J164" s="16">
        <v>0.0</v>
      </c>
      <c r="K164" s="16">
        <v>14.0</v>
      </c>
      <c r="L164" s="16">
        <v>0.0</v>
      </c>
      <c r="M164" s="16">
        <v>0.0</v>
      </c>
      <c r="N164" s="16">
        <v>0.0</v>
      </c>
      <c r="O164" s="16">
        <v>15.0</v>
      </c>
      <c r="P164" s="16">
        <v>1.0</v>
      </c>
      <c r="Q164" s="16">
        <v>3.0</v>
      </c>
      <c r="R164" s="16">
        <v>0.0</v>
      </c>
      <c r="S164" s="16">
        <v>0.0</v>
      </c>
      <c r="T164" s="16">
        <v>2.0</v>
      </c>
      <c r="U164" s="16">
        <v>6.0</v>
      </c>
      <c r="V164" s="16">
        <v>0.0</v>
      </c>
      <c r="W164" s="16">
        <v>0.0</v>
      </c>
      <c r="X164" s="16">
        <v>0.0</v>
      </c>
      <c r="Y164" s="16">
        <v>0.0</v>
      </c>
      <c r="Z164" s="16">
        <v>0.0</v>
      </c>
      <c r="AA164" s="16">
        <v>0.0</v>
      </c>
      <c r="AB164" s="16">
        <v>0.0</v>
      </c>
      <c r="AC164" s="16">
        <v>0.0</v>
      </c>
      <c r="AD164" s="16">
        <v>0.0</v>
      </c>
      <c r="AE164" s="16">
        <v>0.0</v>
      </c>
      <c r="AF164" s="16">
        <v>0.0</v>
      </c>
      <c r="AG164" s="16">
        <v>4.0</v>
      </c>
      <c r="AH164" s="16">
        <v>0.0</v>
      </c>
      <c r="AI164" s="16">
        <v>0.0</v>
      </c>
      <c r="AJ164" s="16">
        <v>120.0</v>
      </c>
      <c r="AK164" s="17">
        <v>0.6167</v>
      </c>
      <c r="AL164" s="17">
        <v>0.1167</v>
      </c>
      <c r="AM164" s="17">
        <v>0.1583</v>
      </c>
      <c r="AN164" s="17">
        <v>0.05</v>
      </c>
      <c r="AO164" s="17">
        <v>0.0417</v>
      </c>
    </row>
    <row r="165" ht="14.25" customHeight="1">
      <c r="A165" s="30">
        <v>45598.0</v>
      </c>
      <c r="B165" s="16" t="s">
        <v>45</v>
      </c>
      <c r="C165" s="16">
        <v>6.2</v>
      </c>
      <c r="D165" s="16">
        <v>11.3</v>
      </c>
      <c r="E165" s="16">
        <v>10.2</v>
      </c>
      <c r="F165" s="16">
        <v>30.0</v>
      </c>
      <c r="G165" s="16">
        <v>79.0</v>
      </c>
      <c r="H165" s="16">
        <v>10.0</v>
      </c>
      <c r="I165" s="16">
        <v>1.0</v>
      </c>
      <c r="J165" s="16">
        <v>1.0</v>
      </c>
      <c r="K165" s="16">
        <v>4.0</v>
      </c>
      <c r="L165" s="16">
        <v>0.0</v>
      </c>
      <c r="M165" s="16">
        <v>0.0</v>
      </c>
      <c r="N165" s="16">
        <v>0.0</v>
      </c>
      <c r="O165" s="16">
        <v>18.0</v>
      </c>
      <c r="P165" s="16">
        <v>2.0</v>
      </c>
      <c r="Q165" s="16">
        <v>0.0</v>
      </c>
      <c r="R165" s="16">
        <v>0.0</v>
      </c>
      <c r="S165" s="16">
        <v>1.0</v>
      </c>
      <c r="T165" s="16">
        <v>1.0</v>
      </c>
      <c r="U165" s="16">
        <v>0.0</v>
      </c>
      <c r="V165" s="16">
        <v>0.0</v>
      </c>
      <c r="W165" s="16">
        <v>0.0</v>
      </c>
      <c r="X165" s="16">
        <v>0.0</v>
      </c>
      <c r="Y165" s="16">
        <v>0.0</v>
      </c>
      <c r="Z165" s="16">
        <v>0.0</v>
      </c>
      <c r="AA165" s="16">
        <v>0.0</v>
      </c>
      <c r="AB165" s="16">
        <v>0.0</v>
      </c>
      <c r="AC165" s="16">
        <v>0.0</v>
      </c>
      <c r="AD165" s="16">
        <v>0.0</v>
      </c>
      <c r="AE165" s="16">
        <v>0.0</v>
      </c>
      <c r="AF165" s="16">
        <v>0.0</v>
      </c>
      <c r="AG165" s="16">
        <v>0.0</v>
      </c>
      <c r="AH165" s="16">
        <v>0.0</v>
      </c>
      <c r="AI165" s="16">
        <v>0.0</v>
      </c>
      <c r="AJ165" s="16">
        <v>120.0</v>
      </c>
      <c r="AK165" s="17">
        <v>0.7583</v>
      </c>
      <c r="AL165" s="17">
        <v>0.0333</v>
      </c>
      <c r="AM165" s="17">
        <v>0.175</v>
      </c>
      <c r="AN165" s="17">
        <v>0.0</v>
      </c>
      <c r="AO165" s="17">
        <v>0.025</v>
      </c>
    </row>
    <row r="166" ht="14.25" customHeight="1">
      <c r="A166" s="25">
        <v>45609.0</v>
      </c>
      <c r="B166" s="16" t="s">
        <v>42</v>
      </c>
      <c r="C166" s="16">
        <v>6.2</v>
      </c>
      <c r="D166" s="16">
        <v>4.3</v>
      </c>
      <c r="E166" s="16">
        <v>5.0</v>
      </c>
      <c r="F166" s="16">
        <v>30.0</v>
      </c>
      <c r="G166" s="16">
        <v>9.0</v>
      </c>
      <c r="H166" s="16">
        <v>2.0</v>
      </c>
      <c r="I166" s="16">
        <v>56.0</v>
      </c>
      <c r="J166" s="16">
        <v>8.0</v>
      </c>
      <c r="K166" s="16">
        <v>0.0</v>
      </c>
      <c r="L166" s="16">
        <v>0.0</v>
      </c>
      <c r="M166" s="16">
        <v>0.0</v>
      </c>
      <c r="N166" s="16">
        <v>0.0</v>
      </c>
      <c r="O166" s="16">
        <v>6.0</v>
      </c>
      <c r="P166" s="16">
        <v>0.0</v>
      </c>
      <c r="Q166" s="16">
        <v>10.0</v>
      </c>
      <c r="R166" s="16">
        <v>4.0</v>
      </c>
      <c r="S166" s="16">
        <v>3.0</v>
      </c>
      <c r="T166" s="16">
        <v>0.0</v>
      </c>
      <c r="U166" s="16">
        <v>9.0</v>
      </c>
      <c r="V166" s="16">
        <v>0.0</v>
      </c>
      <c r="W166" s="16">
        <v>2.0</v>
      </c>
      <c r="X166" s="16">
        <v>0.0</v>
      </c>
      <c r="Y166" s="16">
        <v>0.0</v>
      </c>
      <c r="Z166" s="16">
        <v>0.0</v>
      </c>
      <c r="AA166" s="16">
        <v>0.0</v>
      </c>
      <c r="AB166" s="16">
        <v>10.0</v>
      </c>
      <c r="AC166" s="16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6">
        <v>1.0</v>
      </c>
      <c r="AJ166" s="16">
        <v>120.0</v>
      </c>
      <c r="AK166" s="17">
        <v>0.625</v>
      </c>
      <c r="AL166" s="17">
        <v>0.0</v>
      </c>
      <c r="AM166" s="17">
        <v>0.1917</v>
      </c>
      <c r="AN166" s="17">
        <v>0.0917</v>
      </c>
      <c r="AO166" s="17">
        <v>0.0917</v>
      </c>
    </row>
    <row r="167" ht="14.25" customHeight="1">
      <c r="A167" s="25">
        <v>45609.0</v>
      </c>
      <c r="B167" s="16" t="s">
        <v>43</v>
      </c>
      <c r="C167" s="16">
        <v>6.9</v>
      </c>
      <c r="D167" s="16">
        <v>8.8</v>
      </c>
      <c r="E167" s="16">
        <v>11.0</v>
      </c>
      <c r="F167" s="16">
        <v>29.0</v>
      </c>
      <c r="G167" s="16">
        <v>9.0</v>
      </c>
      <c r="H167" s="16">
        <v>1.0</v>
      </c>
      <c r="I167" s="16">
        <v>48.0</v>
      </c>
      <c r="J167" s="16">
        <v>5.0</v>
      </c>
      <c r="K167" s="16">
        <v>0.0</v>
      </c>
      <c r="L167" s="16">
        <v>0.0</v>
      </c>
      <c r="M167" s="16">
        <v>2.0</v>
      </c>
      <c r="N167" s="16">
        <v>2.0</v>
      </c>
      <c r="O167" s="16">
        <v>18.0</v>
      </c>
      <c r="P167" s="16">
        <v>0.0</v>
      </c>
      <c r="Q167" s="16">
        <v>9.0</v>
      </c>
      <c r="R167" s="16">
        <v>4.0</v>
      </c>
      <c r="S167" s="16">
        <v>3.0</v>
      </c>
      <c r="T167" s="16">
        <v>7.0</v>
      </c>
      <c r="U167" s="16">
        <v>10.0</v>
      </c>
      <c r="V167" s="16">
        <v>0.0</v>
      </c>
      <c r="W167" s="16">
        <v>1.0</v>
      </c>
      <c r="X167" s="16">
        <v>0.0</v>
      </c>
      <c r="Y167" s="16">
        <v>0.0</v>
      </c>
      <c r="Z167" s="16">
        <v>0.0</v>
      </c>
      <c r="AA167" s="16">
        <v>0.0</v>
      </c>
      <c r="AB167" s="16">
        <v>0.0</v>
      </c>
      <c r="AC167" s="16">
        <v>0.0</v>
      </c>
      <c r="AD167" s="16">
        <v>0.0</v>
      </c>
      <c r="AE167" s="16">
        <v>0.0</v>
      </c>
      <c r="AF167" s="16">
        <v>0.0</v>
      </c>
      <c r="AG167" s="16">
        <v>0.0</v>
      </c>
      <c r="AH167" s="16">
        <v>0.0</v>
      </c>
      <c r="AI167" s="16">
        <v>1.0</v>
      </c>
      <c r="AJ167" s="16">
        <v>120.0</v>
      </c>
      <c r="AK167" s="17">
        <v>0.525</v>
      </c>
      <c r="AL167" s="17">
        <v>0.0167</v>
      </c>
      <c r="AM167" s="17">
        <v>0.2833</v>
      </c>
      <c r="AN167" s="17">
        <v>0.0917</v>
      </c>
      <c r="AO167" s="17">
        <v>0.0083</v>
      </c>
    </row>
    <row r="168" ht="14.25" customHeight="1">
      <c r="A168" s="25">
        <v>45610.0</v>
      </c>
      <c r="B168" s="18" t="s">
        <v>41</v>
      </c>
      <c r="C168" s="16">
        <v>6.7</v>
      </c>
      <c r="D168" s="16">
        <v>8.7</v>
      </c>
      <c r="E168" s="16">
        <v>9.5</v>
      </c>
      <c r="F168" s="16">
        <v>29.0</v>
      </c>
      <c r="G168" s="16">
        <v>0.0</v>
      </c>
      <c r="H168" s="16">
        <v>48.0</v>
      </c>
      <c r="I168" s="16">
        <v>29.0</v>
      </c>
      <c r="J168" s="16">
        <v>10.0</v>
      </c>
      <c r="K168" s="16">
        <v>0.0</v>
      </c>
      <c r="L168" s="16">
        <v>0.0</v>
      </c>
      <c r="M168" s="16">
        <v>0.0</v>
      </c>
      <c r="N168" s="16">
        <v>0.0</v>
      </c>
      <c r="O168" s="16">
        <v>9.0</v>
      </c>
      <c r="P168" s="16">
        <v>3.0</v>
      </c>
      <c r="Q168" s="16">
        <v>5.0</v>
      </c>
      <c r="R168" s="16">
        <v>5.0</v>
      </c>
      <c r="S168" s="16">
        <v>2.0</v>
      </c>
      <c r="T168" s="16">
        <v>1.0</v>
      </c>
      <c r="U168" s="16">
        <v>5.0</v>
      </c>
      <c r="V168" s="16">
        <v>0.0</v>
      </c>
      <c r="W168" s="16">
        <v>0.0</v>
      </c>
      <c r="X168" s="16">
        <v>0.0</v>
      </c>
      <c r="Y168" s="16">
        <v>0.0</v>
      </c>
      <c r="Z168" s="16">
        <v>0.0</v>
      </c>
      <c r="AA168" s="16">
        <v>0.0</v>
      </c>
      <c r="AB168" s="16">
        <v>0.0</v>
      </c>
      <c r="AC168" s="16">
        <v>0.0</v>
      </c>
      <c r="AD168" s="16">
        <v>0.0</v>
      </c>
      <c r="AE168" s="16">
        <v>0.0</v>
      </c>
      <c r="AF168" s="16">
        <v>2.0</v>
      </c>
      <c r="AG168" s="16">
        <v>0.0</v>
      </c>
      <c r="AH168" s="16">
        <v>0.0</v>
      </c>
      <c r="AI168" s="16">
        <v>0.0</v>
      </c>
      <c r="AJ168" s="16">
        <v>120.0</v>
      </c>
      <c r="AK168" s="17">
        <v>0.725</v>
      </c>
      <c r="AL168" s="17">
        <v>0.0</v>
      </c>
      <c r="AM168" s="17">
        <v>0.2</v>
      </c>
      <c r="AN168" s="17">
        <v>0.0417</v>
      </c>
      <c r="AO168" s="17">
        <v>0.025</v>
      </c>
    </row>
    <row r="169" ht="14.25" customHeight="1">
      <c r="A169" s="25">
        <v>45610.0</v>
      </c>
      <c r="B169" s="16" t="s">
        <v>43</v>
      </c>
      <c r="C169" s="16">
        <v>7.9</v>
      </c>
      <c r="D169" s="16">
        <v>5.2</v>
      </c>
      <c r="E169" s="16">
        <v>6.8</v>
      </c>
      <c r="F169" s="16">
        <v>29.0</v>
      </c>
      <c r="G169" s="16">
        <v>16.0</v>
      </c>
      <c r="H169" s="16">
        <v>11.0</v>
      </c>
      <c r="I169" s="16">
        <v>39.0</v>
      </c>
      <c r="J169" s="16">
        <v>6.0</v>
      </c>
      <c r="K169" s="16">
        <v>0.0</v>
      </c>
      <c r="L169" s="16">
        <v>0.0</v>
      </c>
      <c r="M169" s="16">
        <v>0.0</v>
      </c>
      <c r="N169" s="16">
        <v>0.0</v>
      </c>
      <c r="O169" s="16">
        <v>15.0</v>
      </c>
      <c r="P169" s="16">
        <v>0.0</v>
      </c>
      <c r="Q169" s="16">
        <v>11.0</v>
      </c>
      <c r="R169" s="16">
        <v>2.0</v>
      </c>
      <c r="S169" s="16">
        <v>15.0</v>
      </c>
      <c r="T169" s="16">
        <v>3.0</v>
      </c>
      <c r="U169" s="16">
        <v>2.0</v>
      </c>
      <c r="V169" s="16">
        <v>0.0</v>
      </c>
      <c r="W169" s="16">
        <v>0.0</v>
      </c>
      <c r="X169" s="16">
        <v>0.0</v>
      </c>
      <c r="Y169" s="16">
        <v>0.0</v>
      </c>
      <c r="Z169" s="16">
        <v>0.0</v>
      </c>
      <c r="AA169" s="16">
        <v>0.0</v>
      </c>
      <c r="AB169" s="16">
        <v>0.0</v>
      </c>
      <c r="AC169" s="16">
        <v>0.0</v>
      </c>
      <c r="AD169" s="16">
        <v>0.0</v>
      </c>
      <c r="AE169" s="16">
        <v>0.0</v>
      </c>
      <c r="AF169" s="16">
        <v>0.0</v>
      </c>
      <c r="AG169" s="16">
        <v>0.0</v>
      </c>
      <c r="AH169" s="16">
        <v>0.0</v>
      </c>
      <c r="AI169" s="16">
        <v>0.0</v>
      </c>
      <c r="AJ169" s="16">
        <v>120.0</v>
      </c>
      <c r="AK169" s="17">
        <v>0.6</v>
      </c>
      <c r="AL169" s="17">
        <v>0.0</v>
      </c>
      <c r="AM169" s="17">
        <v>0.3583</v>
      </c>
      <c r="AN169" s="17">
        <v>0.0167</v>
      </c>
      <c r="AO169" s="17">
        <v>0.0</v>
      </c>
    </row>
    <row r="170" ht="14.25" customHeight="1">
      <c r="A170" s="25">
        <v>45611.0</v>
      </c>
      <c r="B170" s="16" t="s">
        <v>42</v>
      </c>
      <c r="C170" s="16">
        <v>9.2</v>
      </c>
      <c r="D170" s="16">
        <v>7.3</v>
      </c>
      <c r="E170" s="16">
        <v>8.2</v>
      </c>
      <c r="F170" s="16">
        <v>29.0</v>
      </c>
      <c r="G170" s="16">
        <v>0.0</v>
      </c>
      <c r="H170" s="16">
        <v>19.0</v>
      </c>
      <c r="I170" s="16">
        <v>42.0</v>
      </c>
      <c r="J170" s="16">
        <v>5.0</v>
      </c>
      <c r="K170" s="16">
        <v>0.0</v>
      </c>
      <c r="L170" s="16">
        <v>0.0</v>
      </c>
      <c r="M170" s="16">
        <v>0.0</v>
      </c>
      <c r="N170" s="16">
        <v>0.0</v>
      </c>
      <c r="O170" s="16">
        <v>14.0</v>
      </c>
      <c r="P170" s="16">
        <v>1.0</v>
      </c>
      <c r="Q170" s="16">
        <v>15.0</v>
      </c>
      <c r="R170" s="16">
        <v>3.0</v>
      </c>
      <c r="S170" s="16">
        <v>7.0</v>
      </c>
      <c r="T170" s="16">
        <v>0.0</v>
      </c>
      <c r="U170" s="16">
        <v>7.0</v>
      </c>
      <c r="V170" s="16">
        <v>0.0</v>
      </c>
      <c r="W170" s="16">
        <v>1.0</v>
      </c>
      <c r="X170" s="16">
        <v>2.0</v>
      </c>
      <c r="Y170" s="16">
        <v>0.0</v>
      </c>
      <c r="Z170" s="16">
        <v>0.0</v>
      </c>
      <c r="AA170" s="16">
        <v>0.0</v>
      </c>
      <c r="AB170" s="16">
        <v>0.0</v>
      </c>
      <c r="AC170" s="16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3.0</v>
      </c>
      <c r="AI170" s="16">
        <v>0.0</v>
      </c>
      <c r="AJ170" s="16">
        <v>120.0</v>
      </c>
      <c r="AK170" s="17">
        <v>0.55</v>
      </c>
      <c r="AL170" s="17">
        <v>0.0</v>
      </c>
      <c r="AM170" s="17">
        <v>0.3333</v>
      </c>
      <c r="AN170" s="17">
        <v>0.0833</v>
      </c>
      <c r="AO170" s="17">
        <v>0.0333</v>
      </c>
    </row>
    <row r="171" ht="14.25" customHeight="1">
      <c r="A171" s="25">
        <v>45611.0</v>
      </c>
      <c r="B171" s="16" t="s">
        <v>44</v>
      </c>
      <c r="C171" s="16">
        <v>13.8</v>
      </c>
      <c r="D171" s="16">
        <v>12.3</v>
      </c>
      <c r="E171" s="16">
        <v>13.7</v>
      </c>
      <c r="F171" s="16">
        <v>30.0</v>
      </c>
      <c r="G171" s="16">
        <v>1.0</v>
      </c>
      <c r="H171" s="16">
        <v>35.0</v>
      </c>
      <c r="I171" s="16">
        <v>28.0</v>
      </c>
      <c r="J171" s="16">
        <v>14.0</v>
      </c>
      <c r="K171" s="16">
        <v>0.0</v>
      </c>
      <c r="L171" s="16">
        <v>0.0</v>
      </c>
      <c r="M171" s="16">
        <v>2.0</v>
      </c>
      <c r="N171" s="16">
        <v>0.0</v>
      </c>
      <c r="O171" s="16">
        <v>5.0</v>
      </c>
      <c r="P171" s="16">
        <v>0.0</v>
      </c>
      <c r="Q171" s="16">
        <v>4.0</v>
      </c>
      <c r="R171" s="16">
        <v>3.0</v>
      </c>
      <c r="S171" s="16">
        <v>3.0</v>
      </c>
      <c r="T171" s="16">
        <v>4.0</v>
      </c>
      <c r="U171" s="16">
        <v>12.0</v>
      </c>
      <c r="V171" s="16">
        <v>0.0</v>
      </c>
      <c r="W171" s="16">
        <v>0.0</v>
      </c>
      <c r="X171" s="16">
        <v>0.0</v>
      </c>
      <c r="Y171" s="16">
        <v>0.0</v>
      </c>
      <c r="Z171" s="16">
        <v>1.0</v>
      </c>
      <c r="AA171" s="16">
        <v>0.0</v>
      </c>
      <c r="AB171" s="16">
        <v>0.0</v>
      </c>
      <c r="AC171" s="16">
        <v>0.0</v>
      </c>
      <c r="AD171" s="16">
        <v>0.0</v>
      </c>
      <c r="AE171" s="16">
        <v>0.0</v>
      </c>
      <c r="AF171" s="16">
        <v>0.0</v>
      </c>
      <c r="AG171" s="16">
        <v>0.0</v>
      </c>
      <c r="AH171" s="16">
        <v>8.0</v>
      </c>
      <c r="AI171" s="16">
        <v>0.0</v>
      </c>
      <c r="AJ171" s="16">
        <v>120.0</v>
      </c>
      <c r="AK171" s="17">
        <v>0.65</v>
      </c>
      <c r="AL171" s="17">
        <v>0.0167</v>
      </c>
      <c r="AM171" s="17">
        <v>0.125</v>
      </c>
      <c r="AN171" s="17">
        <v>0.1083</v>
      </c>
      <c r="AO171" s="17">
        <v>0.0667</v>
      </c>
    </row>
    <row r="172" ht="14.25" customHeight="1">
      <c r="A172" s="25">
        <v>45621.0</v>
      </c>
      <c r="B172" s="16" t="s">
        <v>42</v>
      </c>
      <c r="C172" s="16">
        <v>5.2</v>
      </c>
      <c r="D172" s="16">
        <v>7.4</v>
      </c>
      <c r="E172" s="16">
        <v>9.0</v>
      </c>
      <c r="F172" s="16">
        <v>28.0</v>
      </c>
      <c r="G172" s="16">
        <v>1.0</v>
      </c>
      <c r="H172" s="16">
        <v>48.0</v>
      </c>
      <c r="I172" s="16">
        <v>28.0</v>
      </c>
      <c r="J172" s="16">
        <v>0.0</v>
      </c>
      <c r="K172" s="16">
        <v>3.0</v>
      </c>
      <c r="L172" s="16">
        <v>0.0</v>
      </c>
      <c r="M172" s="16">
        <v>0.0</v>
      </c>
      <c r="N172" s="16">
        <v>1.0</v>
      </c>
      <c r="O172" s="16">
        <v>17.0</v>
      </c>
      <c r="P172" s="16">
        <v>0.0</v>
      </c>
      <c r="Q172" s="16">
        <v>6.0</v>
      </c>
      <c r="R172" s="16">
        <v>0.0</v>
      </c>
      <c r="S172" s="16">
        <v>0.0</v>
      </c>
      <c r="T172" s="16">
        <v>3.0</v>
      </c>
      <c r="U172" s="16">
        <v>4.0</v>
      </c>
      <c r="V172" s="16">
        <v>6.0</v>
      </c>
      <c r="W172" s="16">
        <v>0.0</v>
      </c>
      <c r="X172" s="16">
        <v>0.0</v>
      </c>
      <c r="Y172" s="16">
        <v>0.0</v>
      </c>
      <c r="Z172" s="16">
        <v>0.0</v>
      </c>
      <c r="AA172" s="16">
        <v>0.0</v>
      </c>
      <c r="AB172" s="16">
        <v>0.0</v>
      </c>
      <c r="AC172" s="16">
        <v>0.0</v>
      </c>
      <c r="AD172" s="16">
        <v>0.0</v>
      </c>
      <c r="AE172" s="16">
        <v>0.0</v>
      </c>
      <c r="AF172" s="16">
        <v>0.0</v>
      </c>
      <c r="AG172" s="16">
        <v>2.0</v>
      </c>
      <c r="AH172" s="16">
        <v>0.0</v>
      </c>
      <c r="AI172" s="16">
        <v>0.0</v>
      </c>
      <c r="AJ172" s="16">
        <v>120.0</v>
      </c>
      <c r="AK172" s="17">
        <v>0.6417</v>
      </c>
      <c r="AL172" s="17">
        <v>0.025</v>
      </c>
      <c r="AM172" s="17">
        <v>0.1917</v>
      </c>
      <c r="AN172" s="17">
        <v>0.0833</v>
      </c>
      <c r="AO172" s="17">
        <v>0.025</v>
      </c>
    </row>
    <row r="173" ht="14.25" customHeight="1">
      <c r="A173" s="25">
        <v>45621.0</v>
      </c>
      <c r="B173" s="16" t="s">
        <v>43</v>
      </c>
      <c r="C173" s="16">
        <v>5.6</v>
      </c>
      <c r="D173" s="16">
        <v>8.1</v>
      </c>
      <c r="E173" s="16">
        <v>9.0</v>
      </c>
      <c r="F173" s="16">
        <v>28.0</v>
      </c>
      <c r="G173" s="16">
        <v>0.0</v>
      </c>
      <c r="H173" s="16">
        <v>9.0</v>
      </c>
      <c r="I173" s="16">
        <v>72.0</v>
      </c>
      <c r="J173" s="16">
        <v>2.0</v>
      </c>
      <c r="K173" s="16">
        <v>0.0</v>
      </c>
      <c r="L173" s="16">
        <v>0.0</v>
      </c>
      <c r="M173" s="16">
        <v>0.0</v>
      </c>
      <c r="N173" s="16">
        <v>0.0</v>
      </c>
      <c r="O173" s="16">
        <v>13.0</v>
      </c>
      <c r="P173" s="16">
        <v>0.0</v>
      </c>
      <c r="Q173" s="16">
        <v>15.0</v>
      </c>
      <c r="R173" s="16">
        <v>2.0</v>
      </c>
      <c r="S173" s="16">
        <v>0.0</v>
      </c>
      <c r="T173" s="16">
        <v>3.0</v>
      </c>
      <c r="U173" s="16">
        <v>4.0</v>
      </c>
      <c r="V173" s="16">
        <v>0.0</v>
      </c>
      <c r="W173" s="16">
        <v>0.0</v>
      </c>
      <c r="X173" s="16">
        <v>0.0</v>
      </c>
      <c r="Y173" s="16">
        <v>0.0</v>
      </c>
      <c r="Z173" s="16">
        <v>0.0</v>
      </c>
      <c r="AA173" s="16">
        <v>0.0</v>
      </c>
      <c r="AB173" s="16">
        <v>0.0</v>
      </c>
      <c r="AC173" s="16">
        <v>0.0</v>
      </c>
      <c r="AD173" s="16">
        <v>0.0</v>
      </c>
      <c r="AE173" s="16">
        <v>0.0</v>
      </c>
      <c r="AF173" s="16">
        <v>0.0</v>
      </c>
      <c r="AG173" s="16">
        <v>0.0</v>
      </c>
      <c r="AH173" s="16">
        <v>0.0</v>
      </c>
      <c r="AI173" s="16">
        <v>0.0</v>
      </c>
      <c r="AJ173" s="16">
        <v>120.0</v>
      </c>
      <c r="AK173" s="17">
        <v>0.6917</v>
      </c>
      <c r="AL173" s="17">
        <v>0.0</v>
      </c>
      <c r="AM173" s="17">
        <v>0.25</v>
      </c>
      <c r="AN173" s="17">
        <v>0.0333</v>
      </c>
      <c r="AO173" s="17">
        <v>0.0</v>
      </c>
    </row>
    <row r="174" ht="14.25" customHeight="1">
      <c r="A174" s="25">
        <v>45622.0</v>
      </c>
      <c r="B174" s="16" t="s">
        <v>45</v>
      </c>
      <c r="C174" s="16">
        <v>9.2</v>
      </c>
      <c r="D174" s="16">
        <v>11.1</v>
      </c>
      <c r="E174" s="16">
        <v>10.0</v>
      </c>
      <c r="F174" s="16">
        <v>29.0</v>
      </c>
      <c r="G174" s="16">
        <v>9.0</v>
      </c>
      <c r="H174" s="16">
        <v>42.0</v>
      </c>
      <c r="I174" s="16">
        <v>13.0</v>
      </c>
      <c r="J174" s="16">
        <v>15.0</v>
      </c>
      <c r="K174" s="16">
        <v>0.0</v>
      </c>
      <c r="L174" s="16">
        <v>0.0</v>
      </c>
      <c r="M174" s="16">
        <v>0.0</v>
      </c>
      <c r="N174" s="16">
        <v>0.0</v>
      </c>
      <c r="O174" s="16">
        <v>21.0</v>
      </c>
      <c r="P174" s="16">
        <v>7.0</v>
      </c>
      <c r="Q174" s="16">
        <v>6.0</v>
      </c>
      <c r="R174" s="16">
        <v>0.0</v>
      </c>
      <c r="S174" s="16">
        <v>3.0</v>
      </c>
      <c r="T174" s="16">
        <v>1.0</v>
      </c>
      <c r="U174" s="16">
        <v>3.0</v>
      </c>
      <c r="V174" s="16">
        <v>0.0</v>
      </c>
      <c r="W174" s="16">
        <v>0.0</v>
      </c>
      <c r="X174" s="16">
        <v>0.0</v>
      </c>
      <c r="Y174" s="16">
        <v>0.0</v>
      </c>
      <c r="Z174" s="16">
        <v>0.0</v>
      </c>
      <c r="AA174" s="16">
        <v>0.0</v>
      </c>
      <c r="AB174" s="16">
        <v>0.0</v>
      </c>
      <c r="AC174" s="16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6">
        <v>0.0</v>
      </c>
      <c r="AJ174" s="16">
        <v>120.0</v>
      </c>
      <c r="AK174" s="17">
        <v>0.6583</v>
      </c>
      <c r="AL174" s="17">
        <v>0.0</v>
      </c>
      <c r="AM174" s="17">
        <v>0.3083</v>
      </c>
      <c r="AN174" s="17">
        <v>0.025</v>
      </c>
      <c r="AO174" s="17">
        <v>0.0</v>
      </c>
    </row>
    <row r="175" ht="14.25" customHeight="1">
      <c r="A175" s="25">
        <v>45622.0</v>
      </c>
      <c r="B175" s="16" t="s">
        <v>44</v>
      </c>
      <c r="C175" s="16">
        <v>10.0</v>
      </c>
      <c r="D175" s="16">
        <v>12.6</v>
      </c>
      <c r="E175" s="16">
        <v>12.0</v>
      </c>
      <c r="F175" s="16">
        <v>30.0</v>
      </c>
      <c r="G175" s="16">
        <v>5.0</v>
      </c>
      <c r="H175" s="16">
        <v>46.0</v>
      </c>
      <c r="I175" s="16">
        <v>20.0</v>
      </c>
      <c r="J175" s="16">
        <v>14.0</v>
      </c>
      <c r="K175" s="16">
        <v>0.0</v>
      </c>
      <c r="L175" s="16">
        <v>0.0</v>
      </c>
      <c r="M175" s="16">
        <v>0.0</v>
      </c>
      <c r="N175" s="16">
        <v>0.0</v>
      </c>
      <c r="O175" s="16">
        <v>15.0</v>
      </c>
      <c r="P175" s="16">
        <v>0.0</v>
      </c>
      <c r="Q175" s="16">
        <v>8.0</v>
      </c>
      <c r="R175" s="16">
        <v>0.0</v>
      </c>
      <c r="S175" s="16">
        <v>5.0</v>
      </c>
      <c r="T175" s="16">
        <v>1.0</v>
      </c>
      <c r="U175" s="16">
        <v>3.0</v>
      </c>
      <c r="V175" s="16">
        <v>0.0</v>
      </c>
      <c r="W175" s="16">
        <v>0.0</v>
      </c>
      <c r="X175" s="16">
        <v>0.0</v>
      </c>
      <c r="Y175" s="16">
        <v>0.0</v>
      </c>
      <c r="Z175" s="16">
        <v>0.0</v>
      </c>
      <c r="AA175" s="16">
        <v>0.0</v>
      </c>
      <c r="AB175" s="16">
        <v>1.0</v>
      </c>
      <c r="AC175" s="16">
        <v>0.0</v>
      </c>
      <c r="AD175" s="16">
        <v>1.0</v>
      </c>
      <c r="AE175" s="16">
        <v>0.0</v>
      </c>
      <c r="AF175" s="16">
        <v>0.0</v>
      </c>
      <c r="AG175" s="16">
        <v>1.0</v>
      </c>
      <c r="AH175" s="16">
        <v>0.0</v>
      </c>
      <c r="AI175" s="16">
        <v>0.0</v>
      </c>
      <c r="AJ175" s="16">
        <v>120.0</v>
      </c>
      <c r="AK175" s="17">
        <v>0.7083</v>
      </c>
      <c r="AL175" s="17">
        <v>0.0</v>
      </c>
      <c r="AM175" s="17">
        <v>0.2333</v>
      </c>
      <c r="AN175" s="17">
        <v>0.025</v>
      </c>
      <c r="AO175" s="17">
        <v>0.025</v>
      </c>
    </row>
    <row r="176" ht="14.25" customHeight="1">
      <c r="A176" s="25">
        <v>45623.0</v>
      </c>
      <c r="B176" s="16" t="s">
        <v>45</v>
      </c>
      <c r="C176" s="16">
        <v>10.5</v>
      </c>
      <c r="D176" s="16">
        <v>11.1</v>
      </c>
      <c r="E176" s="16">
        <v>10.1</v>
      </c>
      <c r="F176" s="16">
        <v>28.0</v>
      </c>
      <c r="G176" s="16">
        <v>0.0</v>
      </c>
      <c r="H176" s="16">
        <v>41.0</v>
      </c>
      <c r="I176" s="16">
        <v>22.0</v>
      </c>
      <c r="J176" s="16">
        <v>1.0</v>
      </c>
      <c r="K176" s="16">
        <v>0.0</v>
      </c>
      <c r="L176" s="16">
        <v>0.0</v>
      </c>
      <c r="M176" s="16">
        <v>6.0</v>
      </c>
      <c r="N176" s="16">
        <v>0.0</v>
      </c>
      <c r="O176" s="16">
        <v>19.0</v>
      </c>
      <c r="P176" s="16">
        <v>1.0</v>
      </c>
      <c r="Q176" s="16">
        <v>12.0</v>
      </c>
      <c r="R176" s="16">
        <v>6.0</v>
      </c>
      <c r="S176" s="16">
        <v>0.0</v>
      </c>
      <c r="T176" s="16">
        <v>2.0</v>
      </c>
      <c r="U176" s="16">
        <v>7.0</v>
      </c>
      <c r="V176" s="16">
        <v>1.0</v>
      </c>
      <c r="W176" s="16">
        <v>0.0</v>
      </c>
      <c r="X176" s="16">
        <v>1.0</v>
      </c>
      <c r="Y176" s="16">
        <v>0.0</v>
      </c>
      <c r="Z176" s="16">
        <v>0.0</v>
      </c>
      <c r="AA176" s="16">
        <v>0.0</v>
      </c>
      <c r="AB176" s="16">
        <v>0.0</v>
      </c>
      <c r="AC176" s="16">
        <v>0.0</v>
      </c>
      <c r="AD176" s="16">
        <v>0.0</v>
      </c>
      <c r="AE176" s="16">
        <v>0.0</v>
      </c>
      <c r="AF176" s="16">
        <v>0.0</v>
      </c>
      <c r="AG176" s="16">
        <v>1.0</v>
      </c>
      <c r="AH176" s="16">
        <v>0.0</v>
      </c>
      <c r="AI176" s="16">
        <v>0.0</v>
      </c>
      <c r="AJ176" s="16">
        <v>120.0</v>
      </c>
      <c r="AK176" s="17">
        <v>0.5333</v>
      </c>
      <c r="AL176" s="17">
        <v>0.05</v>
      </c>
      <c r="AM176" s="17">
        <v>0.3167</v>
      </c>
      <c r="AN176" s="17">
        <v>0.075</v>
      </c>
      <c r="AO176" s="17">
        <v>0.0083</v>
      </c>
    </row>
    <row r="177" ht="14.25" customHeight="1">
      <c r="A177" s="25">
        <v>45623.0</v>
      </c>
      <c r="B177" s="16" t="s">
        <v>44</v>
      </c>
      <c r="C177" s="16">
        <v>7.7</v>
      </c>
      <c r="D177" s="16">
        <v>13.0</v>
      </c>
      <c r="E177" s="16">
        <v>15.0</v>
      </c>
      <c r="F177" s="16">
        <v>29.0</v>
      </c>
      <c r="G177" s="16">
        <v>1.0</v>
      </c>
      <c r="H177" s="16">
        <v>44.0</v>
      </c>
      <c r="I177" s="16">
        <v>34.0</v>
      </c>
      <c r="J177" s="16">
        <v>3.0</v>
      </c>
      <c r="K177" s="16">
        <v>1.0</v>
      </c>
      <c r="L177" s="16">
        <v>0.0</v>
      </c>
      <c r="M177" s="16">
        <v>6.0</v>
      </c>
      <c r="N177" s="16">
        <v>5.0</v>
      </c>
      <c r="O177" s="16">
        <v>5.0</v>
      </c>
      <c r="P177" s="16">
        <v>0.0</v>
      </c>
      <c r="Q177" s="16">
        <v>8.0</v>
      </c>
      <c r="R177" s="16">
        <v>5.0</v>
      </c>
      <c r="S177" s="16">
        <v>4.0</v>
      </c>
      <c r="T177" s="16">
        <v>0.0</v>
      </c>
      <c r="U177" s="16">
        <v>2.0</v>
      </c>
      <c r="V177" s="16">
        <v>2.0</v>
      </c>
      <c r="W177" s="16">
        <v>0.0</v>
      </c>
      <c r="X177" s="16">
        <v>0.0</v>
      </c>
      <c r="Y177" s="16">
        <v>0.0</v>
      </c>
      <c r="Z177" s="16">
        <v>0.0</v>
      </c>
      <c r="AA177" s="16">
        <v>0.0</v>
      </c>
      <c r="AB177" s="16">
        <v>0.0</v>
      </c>
      <c r="AC177" s="16">
        <v>0.0</v>
      </c>
      <c r="AD177" s="16">
        <v>0.0</v>
      </c>
      <c r="AE177" s="16">
        <v>0.0</v>
      </c>
      <c r="AF177" s="16">
        <v>0.0</v>
      </c>
      <c r="AG177" s="16">
        <v>0.0</v>
      </c>
      <c r="AH177" s="16">
        <v>0.0</v>
      </c>
      <c r="AI177" s="16">
        <v>0.0</v>
      </c>
      <c r="AJ177" s="16">
        <v>120.0</v>
      </c>
      <c r="AK177" s="17">
        <v>0.6833</v>
      </c>
      <c r="AL177" s="17">
        <v>0.0583</v>
      </c>
      <c r="AM177" s="17">
        <v>0.1833</v>
      </c>
      <c r="AN177" s="17">
        <v>0.0333</v>
      </c>
      <c r="AO177" s="17">
        <v>0.0</v>
      </c>
    </row>
    <row r="178" ht="14.25" customHeight="1">
      <c r="A178" s="25">
        <v>45624.0</v>
      </c>
      <c r="B178" s="18" t="s">
        <v>41</v>
      </c>
      <c r="C178" s="16">
        <v>11.3</v>
      </c>
      <c r="D178" s="16">
        <v>9.3</v>
      </c>
      <c r="E178" s="16">
        <v>9.1</v>
      </c>
      <c r="F178" s="16">
        <v>28.0</v>
      </c>
      <c r="G178" s="16">
        <v>0.0</v>
      </c>
      <c r="H178" s="16">
        <v>62.0</v>
      </c>
      <c r="I178" s="16">
        <v>26.0</v>
      </c>
      <c r="J178" s="16">
        <v>0.0</v>
      </c>
      <c r="K178" s="16">
        <v>0.0</v>
      </c>
      <c r="L178" s="16">
        <v>0.0</v>
      </c>
      <c r="M178" s="16">
        <v>0.0</v>
      </c>
      <c r="N178" s="16">
        <v>0.0</v>
      </c>
      <c r="O178" s="16">
        <v>15.0</v>
      </c>
      <c r="P178" s="16">
        <v>3.0</v>
      </c>
      <c r="Q178" s="16">
        <v>8.0</v>
      </c>
      <c r="R178" s="16">
        <v>3.0</v>
      </c>
      <c r="S178" s="16">
        <v>0.0</v>
      </c>
      <c r="T178" s="16">
        <v>0.0</v>
      </c>
      <c r="U178" s="16">
        <v>2.0</v>
      </c>
      <c r="V178" s="16">
        <v>0.0</v>
      </c>
      <c r="W178" s="16">
        <v>0.0</v>
      </c>
      <c r="X178" s="16">
        <v>0.0</v>
      </c>
      <c r="Y178" s="16">
        <v>0.0</v>
      </c>
      <c r="Z178" s="16">
        <v>0.0</v>
      </c>
      <c r="AA178" s="16">
        <v>0.0</v>
      </c>
      <c r="AB178" s="16">
        <v>0.0</v>
      </c>
      <c r="AC178" s="16">
        <v>0.0</v>
      </c>
      <c r="AD178" s="16">
        <v>1.0</v>
      </c>
      <c r="AE178" s="16">
        <v>0.0</v>
      </c>
      <c r="AF178" s="16">
        <v>0.0</v>
      </c>
      <c r="AG178" s="16">
        <v>0.0</v>
      </c>
      <c r="AH178" s="16">
        <v>0.0</v>
      </c>
      <c r="AI178" s="16">
        <v>0.0</v>
      </c>
      <c r="AJ178" s="16">
        <v>120.0</v>
      </c>
      <c r="AK178" s="17">
        <v>0.7333</v>
      </c>
      <c r="AL178" s="17">
        <v>0.0</v>
      </c>
      <c r="AM178" s="17">
        <v>0.2417</v>
      </c>
      <c r="AN178" s="17">
        <v>0.0167</v>
      </c>
      <c r="AO178" s="17">
        <v>0.0083</v>
      </c>
    </row>
    <row r="179" ht="14.25" customHeight="1">
      <c r="A179" s="25">
        <v>45624.0</v>
      </c>
      <c r="B179" s="16" t="s">
        <v>42</v>
      </c>
      <c r="C179" s="16">
        <v>18.0</v>
      </c>
      <c r="D179" s="16">
        <v>5.9</v>
      </c>
      <c r="E179" s="16">
        <v>6.7</v>
      </c>
      <c r="F179" s="16">
        <v>28.0</v>
      </c>
      <c r="G179" s="16">
        <v>3.0</v>
      </c>
      <c r="H179" s="16">
        <v>24.0</v>
      </c>
      <c r="I179" s="16">
        <v>61.0</v>
      </c>
      <c r="J179" s="16">
        <v>3.0</v>
      </c>
      <c r="K179" s="16">
        <v>2.0</v>
      </c>
      <c r="L179" s="16">
        <v>0.0</v>
      </c>
      <c r="M179" s="16">
        <v>0.0</v>
      </c>
      <c r="N179" s="16">
        <v>0.0</v>
      </c>
      <c r="O179" s="16">
        <v>13.0</v>
      </c>
      <c r="P179" s="16">
        <v>0.0</v>
      </c>
      <c r="Q179" s="16">
        <v>2.0</v>
      </c>
      <c r="R179" s="16">
        <v>3.0</v>
      </c>
      <c r="S179" s="16">
        <v>0.0</v>
      </c>
      <c r="T179" s="16">
        <v>2.0</v>
      </c>
      <c r="U179" s="16">
        <v>2.0</v>
      </c>
      <c r="V179" s="16">
        <v>0.0</v>
      </c>
      <c r="W179" s="16">
        <v>0.0</v>
      </c>
      <c r="X179" s="16">
        <v>0.0</v>
      </c>
      <c r="Y179" s="16">
        <v>0.0</v>
      </c>
      <c r="Z179" s="16">
        <v>0.0</v>
      </c>
      <c r="AA179" s="16">
        <v>0.0</v>
      </c>
      <c r="AB179" s="16">
        <v>5.0</v>
      </c>
      <c r="AC179" s="16">
        <v>0.0</v>
      </c>
      <c r="AD179" s="16">
        <v>0.0</v>
      </c>
      <c r="AE179" s="16">
        <v>0.0</v>
      </c>
      <c r="AF179" s="16">
        <v>0.0</v>
      </c>
      <c r="AG179" s="16">
        <v>0.0</v>
      </c>
      <c r="AH179" s="16">
        <v>0.0</v>
      </c>
      <c r="AI179" s="16">
        <v>0.0</v>
      </c>
      <c r="AJ179" s="16">
        <v>120.0</v>
      </c>
      <c r="AK179" s="17">
        <v>0.7583</v>
      </c>
      <c r="AL179" s="17">
        <v>0.0167</v>
      </c>
      <c r="AM179" s="17">
        <v>0.15</v>
      </c>
      <c r="AN179" s="17">
        <v>0.0167</v>
      </c>
      <c r="AO179" s="17">
        <v>0.0417</v>
      </c>
    </row>
    <row r="180" ht="14.25" customHeight="1">
      <c r="A180" s="25">
        <v>45638.0</v>
      </c>
      <c r="B180" s="16" t="s">
        <v>42</v>
      </c>
      <c r="C180" s="16">
        <v>10.0</v>
      </c>
      <c r="D180" s="16">
        <v>7.7</v>
      </c>
      <c r="E180" s="16">
        <v>6.4</v>
      </c>
      <c r="F180" s="16">
        <v>28.0</v>
      </c>
      <c r="G180" s="16">
        <v>0.0</v>
      </c>
      <c r="H180" s="16">
        <v>0.0</v>
      </c>
      <c r="I180" s="16">
        <v>27.0</v>
      </c>
      <c r="J180" s="16">
        <v>0.0</v>
      </c>
      <c r="K180" s="16">
        <v>31.0</v>
      </c>
      <c r="L180" s="16">
        <v>0.0</v>
      </c>
      <c r="M180" s="16">
        <v>3.0</v>
      </c>
      <c r="N180" s="16">
        <v>1.0</v>
      </c>
      <c r="O180" s="16">
        <v>14.0</v>
      </c>
      <c r="P180" s="16">
        <v>0.0</v>
      </c>
      <c r="Q180" s="16">
        <v>13.0</v>
      </c>
      <c r="R180" s="16">
        <v>2.0</v>
      </c>
      <c r="S180" s="16">
        <v>3.0</v>
      </c>
      <c r="T180" s="16">
        <v>6.0</v>
      </c>
      <c r="U180" s="16">
        <v>1.0</v>
      </c>
      <c r="V180" s="16">
        <v>0.0</v>
      </c>
      <c r="W180" s="16">
        <v>0.0</v>
      </c>
      <c r="X180" s="16">
        <v>0.0</v>
      </c>
      <c r="Y180" s="16">
        <v>0.0</v>
      </c>
      <c r="Z180" s="16">
        <v>0.0</v>
      </c>
      <c r="AA180" s="16">
        <v>0.0</v>
      </c>
      <c r="AB180" s="16">
        <v>0.0</v>
      </c>
      <c r="AC180" s="16">
        <v>0.0</v>
      </c>
      <c r="AD180" s="16">
        <v>10.0</v>
      </c>
      <c r="AE180" s="16">
        <v>0.0</v>
      </c>
      <c r="AF180" s="16">
        <v>0.0</v>
      </c>
      <c r="AG180" s="16">
        <v>7.0</v>
      </c>
      <c r="AH180" s="16">
        <v>1.0</v>
      </c>
      <c r="AI180" s="16">
        <v>0.0</v>
      </c>
      <c r="AJ180" s="16">
        <v>120.0</v>
      </c>
      <c r="AK180" s="17">
        <v>0.225</v>
      </c>
      <c r="AL180" s="17">
        <v>0.2833</v>
      </c>
      <c r="AM180" s="17">
        <v>0.2667</v>
      </c>
      <c r="AN180" s="17">
        <v>0.0083</v>
      </c>
      <c r="AO180" s="17">
        <v>0.1583</v>
      </c>
    </row>
    <row r="181" ht="14.25" customHeight="1">
      <c r="A181" s="25">
        <v>45639.0</v>
      </c>
      <c r="B181" s="16" t="s">
        <v>43</v>
      </c>
      <c r="C181" s="16">
        <v>13.5</v>
      </c>
      <c r="D181" s="16">
        <v>7.3</v>
      </c>
      <c r="E181" s="16">
        <v>6.2</v>
      </c>
      <c r="F181" s="16">
        <v>29.0</v>
      </c>
      <c r="G181" s="16">
        <v>1.0</v>
      </c>
      <c r="H181" s="16">
        <v>3.0</v>
      </c>
      <c r="I181" s="16">
        <v>33.0</v>
      </c>
      <c r="J181" s="16">
        <v>0.0</v>
      </c>
      <c r="K181" s="16">
        <v>27.0</v>
      </c>
      <c r="L181" s="16">
        <v>0.0</v>
      </c>
      <c r="M181" s="16">
        <v>1.0</v>
      </c>
      <c r="N181" s="16">
        <v>0.0</v>
      </c>
      <c r="O181" s="16">
        <v>20.0</v>
      </c>
      <c r="P181" s="16">
        <v>0.0</v>
      </c>
      <c r="Q181" s="16">
        <v>13.0</v>
      </c>
      <c r="R181" s="16">
        <v>3.0</v>
      </c>
      <c r="S181" s="16">
        <v>1.0</v>
      </c>
      <c r="T181" s="16">
        <v>4.0</v>
      </c>
      <c r="U181" s="16">
        <v>5.0</v>
      </c>
      <c r="V181" s="16">
        <v>0.0</v>
      </c>
      <c r="W181" s="16">
        <v>0.0</v>
      </c>
      <c r="X181" s="16">
        <v>0.0</v>
      </c>
      <c r="Y181" s="16">
        <v>0.0</v>
      </c>
      <c r="Z181" s="16">
        <v>0.0</v>
      </c>
      <c r="AA181" s="16">
        <v>0.0</v>
      </c>
      <c r="AB181" s="16">
        <v>0.0</v>
      </c>
      <c r="AC181" s="16">
        <v>0.0</v>
      </c>
      <c r="AD181" s="16">
        <v>5.0</v>
      </c>
      <c r="AE181" s="16">
        <v>0.0</v>
      </c>
      <c r="AF181" s="16">
        <v>0.0</v>
      </c>
      <c r="AG181" s="16">
        <v>4.0</v>
      </c>
      <c r="AH181" s="16">
        <v>0.0</v>
      </c>
      <c r="AI181" s="16">
        <v>0.0</v>
      </c>
      <c r="AJ181" s="16">
        <v>120.0</v>
      </c>
      <c r="AK181" s="17">
        <v>0.3083</v>
      </c>
      <c r="AL181" s="17">
        <v>0.2333</v>
      </c>
      <c r="AM181" s="17">
        <v>0.3083</v>
      </c>
      <c r="AN181" s="17">
        <v>0.0417</v>
      </c>
      <c r="AO181" s="17">
        <v>0.075</v>
      </c>
    </row>
    <row r="182" ht="14.25" customHeight="1">
      <c r="A182" s="25">
        <v>45639.0</v>
      </c>
      <c r="B182" s="16" t="s">
        <v>44</v>
      </c>
      <c r="C182" s="16">
        <v>8.4</v>
      </c>
      <c r="D182" s="16">
        <v>12.3</v>
      </c>
      <c r="E182" s="16">
        <v>13.4</v>
      </c>
      <c r="F182" s="16">
        <v>27.0</v>
      </c>
      <c r="G182" s="16">
        <v>0.0</v>
      </c>
      <c r="H182" s="16">
        <v>0.0</v>
      </c>
      <c r="I182" s="16">
        <v>3.0</v>
      </c>
      <c r="J182" s="16">
        <v>0.0</v>
      </c>
      <c r="K182" s="16">
        <v>20.0</v>
      </c>
      <c r="L182" s="16">
        <v>0.0</v>
      </c>
      <c r="M182" s="16">
        <v>15.0</v>
      </c>
      <c r="N182" s="16">
        <v>7.0</v>
      </c>
      <c r="O182" s="16">
        <v>8.0</v>
      </c>
      <c r="P182" s="16">
        <v>0.0</v>
      </c>
      <c r="Q182" s="16">
        <v>8.0</v>
      </c>
      <c r="R182" s="16">
        <v>2.0</v>
      </c>
      <c r="S182" s="16">
        <v>0.0</v>
      </c>
      <c r="T182" s="16">
        <v>2.0</v>
      </c>
      <c r="U182" s="16">
        <v>12.0</v>
      </c>
      <c r="V182" s="16">
        <v>2.0</v>
      </c>
      <c r="W182" s="16">
        <v>0.0</v>
      </c>
      <c r="X182" s="16">
        <v>1.0</v>
      </c>
      <c r="Y182" s="16">
        <v>0.0</v>
      </c>
      <c r="Z182" s="16">
        <v>0.0</v>
      </c>
      <c r="AA182" s="16">
        <v>0.0</v>
      </c>
      <c r="AB182" s="16">
        <v>0.0</v>
      </c>
      <c r="AC182" s="16">
        <v>0.0</v>
      </c>
      <c r="AD182" s="16">
        <v>0.0</v>
      </c>
      <c r="AE182" s="16">
        <v>0.0</v>
      </c>
      <c r="AF182" s="16">
        <v>0.0</v>
      </c>
      <c r="AG182" s="16">
        <v>38.0</v>
      </c>
      <c r="AH182" s="16">
        <v>0.0</v>
      </c>
      <c r="AI182" s="16">
        <v>0.0</v>
      </c>
      <c r="AJ182" s="16">
        <v>120.0</v>
      </c>
      <c r="AK182" s="17">
        <v>0.025</v>
      </c>
      <c r="AL182" s="17">
        <v>0.2917</v>
      </c>
      <c r="AM182" s="17">
        <v>0.15</v>
      </c>
      <c r="AN182" s="17">
        <v>0.125</v>
      </c>
      <c r="AO182" s="17">
        <v>0.3333</v>
      </c>
    </row>
    <row r="183" ht="14.25" customHeight="1">
      <c r="A183" s="25">
        <v>45642.0</v>
      </c>
      <c r="B183" s="16" t="s">
        <v>43</v>
      </c>
      <c r="C183" s="16">
        <v>8.6</v>
      </c>
      <c r="D183" s="16">
        <v>9.0</v>
      </c>
      <c r="E183" s="16">
        <v>10.9</v>
      </c>
      <c r="F183" s="16">
        <v>24.0</v>
      </c>
      <c r="G183" s="16">
        <v>3.0</v>
      </c>
      <c r="H183" s="16">
        <v>18.0</v>
      </c>
      <c r="I183" s="16">
        <v>27.0</v>
      </c>
      <c r="J183" s="16">
        <v>0.0</v>
      </c>
      <c r="K183" s="16">
        <v>30.0</v>
      </c>
      <c r="L183" s="16">
        <v>0.0</v>
      </c>
      <c r="M183" s="16">
        <v>2.0</v>
      </c>
      <c r="N183" s="16">
        <v>0.0</v>
      </c>
      <c r="O183" s="16">
        <v>13.0</v>
      </c>
      <c r="P183" s="16">
        <v>0.0</v>
      </c>
      <c r="Q183" s="16">
        <v>11.0</v>
      </c>
      <c r="R183" s="16">
        <v>2.0</v>
      </c>
      <c r="S183" s="16">
        <v>2.0</v>
      </c>
      <c r="T183" s="16">
        <v>3.0</v>
      </c>
      <c r="U183" s="16">
        <v>3.0</v>
      </c>
      <c r="V183" s="16">
        <v>0.0</v>
      </c>
      <c r="W183" s="16">
        <v>0.0</v>
      </c>
      <c r="X183" s="16">
        <v>0.0</v>
      </c>
      <c r="Y183" s="16">
        <v>0.0</v>
      </c>
      <c r="Z183" s="16">
        <v>1.0</v>
      </c>
      <c r="AA183" s="16">
        <v>0.0</v>
      </c>
      <c r="AB183" s="16">
        <v>0.0</v>
      </c>
      <c r="AC183" s="16">
        <v>0.0</v>
      </c>
      <c r="AD183" s="16">
        <v>1.0</v>
      </c>
      <c r="AE183" s="16">
        <v>0.0</v>
      </c>
      <c r="AF183" s="16">
        <v>0.0</v>
      </c>
      <c r="AG183" s="16">
        <v>4.0</v>
      </c>
      <c r="AH183" s="16">
        <v>0.0</v>
      </c>
      <c r="AI183" s="16">
        <v>0.0</v>
      </c>
      <c r="AJ183" s="16">
        <v>120.0</v>
      </c>
      <c r="AK183" s="17">
        <v>0.4</v>
      </c>
      <c r="AL183" s="17">
        <v>0.2667</v>
      </c>
      <c r="AM183" s="17">
        <v>0.2333</v>
      </c>
      <c r="AN183" s="17">
        <v>0.0333</v>
      </c>
      <c r="AO183" s="17">
        <v>0.0417</v>
      </c>
    </row>
    <row r="184" ht="14.25" customHeight="1">
      <c r="A184" s="25">
        <v>45642.0</v>
      </c>
      <c r="B184" s="16" t="s">
        <v>44</v>
      </c>
      <c r="C184" s="16">
        <v>9.6</v>
      </c>
      <c r="D184" s="16">
        <v>13.5</v>
      </c>
      <c r="E184" s="16">
        <v>14.0</v>
      </c>
      <c r="F184" s="16">
        <v>28.0</v>
      </c>
      <c r="G184" s="16">
        <v>1.0</v>
      </c>
      <c r="H184" s="16">
        <v>7.0</v>
      </c>
      <c r="I184" s="16">
        <v>1.0</v>
      </c>
      <c r="J184" s="16">
        <v>0.0</v>
      </c>
      <c r="K184" s="16">
        <v>27.0</v>
      </c>
      <c r="L184" s="16">
        <v>0.0</v>
      </c>
      <c r="M184" s="16">
        <v>7.0</v>
      </c>
      <c r="N184" s="16">
        <v>2.0</v>
      </c>
      <c r="O184" s="16">
        <v>7.0</v>
      </c>
      <c r="P184" s="16">
        <v>0.0</v>
      </c>
      <c r="Q184" s="16">
        <v>7.0</v>
      </c>
      <c r="R184" s="16">
        <v>0.0</v>
      </c>
      <c r="S184" s="16">
        <v>2.0</v>
      </c>
      <c r="T184" s="16">
        <v>5.0</v>
      </c>
      <c r="U184" s="16">
        <v>3.0</v>
      </c>
      <c r="V184" s="16">
        <v>4.0</v>
      </c>
      <c r="W184" s="16">
        <v>0.0</v>
      </c>
      <c r="X184" s="16">
        <v>0.0</v>
      </c>
      <c r="Y184" s="16">
        <v>0.0</v>
      </c>
      <c r="Z184" s="16">
        <v>2.0</v>
      </c>
      <c r="AA184" s="16">
        <v>1.0</v>
      </c>
      <c r="AB184" s="16">
        <v>0.0</v>
      </c>
      <c r="AC184" s="16">
        <v>5.0</v>
      </c>
      <c r="AD184" s="16">
        <v>2.0</v>
      </c>
      <c r="AE184" s="16">
        <v>0.0</v>
      </c>
      <c r="AF184" s="16">
        <v>0.0</v>
      </c>
      <c r="AG184" s="16">
        <v>37.0</v>
      </c>
      <c r="AH184" s="16">
        <v>0.0</v>
      </c>
      <c r="AI184" s="16">
        <v>0.0</v>
      </c>
      <c r="AJ184" s="16">
        <v>120.0</v>
      </c>
      <c r="AK184" s="17">
        <v>0.075</v>
      </c>
      <c r="AL184" s="17">
        <v>0.2833</v>
      </c>
      <c r="AM184" s="17">
        <v>0.1333</v>
      </c>
      <c r="AN184" s="17">
        <v>0.0833</v>
      </c>
      <c r="AO184" s="17">
        <v>0.3667</v>
      </c>
    </row>
    <row r="185" ht="14.25" customHeight="1">
      <c r="A185" s="25">
        <v>45643.0</v>
      </c>
      <c r="B185" s="18" t="s">
        <v>41</v>
      </c>
      <c r="C185" s="16">
        <v>10.3</v>
      </c>
      <c r="D185" s="16">
        <v>10.9</v>
      </c>
      <c r="E185" s="16">
        <v>10.9</v>
      </c>
      <c r="F185" s="16">
        <v>29.0</v>
      </c>
      <c r="G185" s="16">
        <v>0.0</v>
      </c>
      <c r="H185" s="16">
        <v>17.0</v>
      </c>
      <c r="I185" s="16">
        <v>19.0</v>
      </c>
      <c r="J185" s="16">
        <v>0.0</v>
      </c>
      <c r="K185" s="16">
        <v>16.0</v>
      </c>
      <c r="L185" s="16">
        <v>0.0</v>
      </c>
      <c r="M185" s="16">
        <v>6.0</v>
      </c>
      <c r="N185" s="16">
        <v>0.0</v>
      </c>
      <c r="O185" s="16">
        <v>20.0</v>
      </c>
      <c r="P185" s="16">
        <v>1.0</v>
      </c>
      <c r="Q185" s="16">
        <v>5.0</v>
      </c>
      <c r="R185" s="16">
        <v>4.0</v>
      </c>
      <c r="S185" s="16">
        <v>1.0</v>
      </c>
      <c r="T185" s="16">
        <v>2.0</v>
      </c>
      <c r="U185" s="16">
        <v>3.0</v>
      </c>
      <c r="V185" s="16">
        <v>1.0</v>
      </c>
      <c r="W185" s="16">
        <v>0.0</v>
      </c>
      <c r="X185" s="16">
        <v>0.0</v>
      </c>
      <c r="Y185" s="16">
        <v>0.0</v>
      </c>
      <c r="Z185" s="16">
        <v>0.0</v>
      </c>
      <c r="AA185" s="16">
        <v>0.0</v>
      </c>
      <c r="AB185" s="16">
        <v>0.0</v>
      </c>
      <c r="AC185" s="16">
        <v>0.0</v>
      </c>
      <c r="AD185" s="16">
        <v>0.0</v>
      </c>
      <c r="AE185" s="16">
        <v>1.0</v>
      </c>
      <c r="AF185" s="16">
        <v>0.0</v>
      </c>
      <c r="AG185" s="16">
        <v>24.0</v>
      </c>
      <c r="AH185" s="16">
        <v>0.0</v>
      </c>
      <c r="AI185" s="16">
        <v>0.0</v>
      </c>
      <c r="AJ185" s="16">
        <v>120.0</v>
      </c>
      <c r="AK185" s="17">
        <v>0.3</v>
      </c>
      <c r="AL185" s="17">
        <v>0.1833</v>
      </c>
      <c r="AM185" s="17">
        <v>0.2583</v>
      </c>
      <c r="AN185" s="17">
        <v>0.0333</v>
      </c>
      <c r="AO185" s="17">
        <v>0.2083</v>
      </c>
    </row>
    <row r="186" ht="14.25" customHeight="1">
      <c r="A186" s="25">
        <v>45643.0</v>
      </c>
      <c r="B186" s="16" t="s">
        <v>45</v>
      </c>
      <c r="C186" s="16">
        <v>9.6</v>
      </c>
      <c r="D186" s="16">
        <v>10.7</v>
      </c>
      <c r="E186" s="16">
        <v>9.5</v>
      </c>
      <c r="F186" s="16">
        <v>29.0</v>
      </c>
      <c r="G186" s="16">
        <v>0.0</v>
      </c>
      <c r="H186" s="16">
        <v>39.0</v>
      </c>
      <c r="I186" s="16">
        <v>6.0</v>
      </c>
      <c r="J186" s="16">
        <v>0.0</v>
      </c>
      <c r="K186" s="16">
        <v>6.0</v>
      </c>
      <c r="L186" s="16">
        <v>0.0</v>
      </c>
      <c r="M186" s="16">
        <v>1.0</v>
      </c>
      <c r="N186" s="16">
        <v>0.0</v>
      </c>
      <c r="O186" s="16">
        <v>25.0</v>
      </c>
      <c r="P186" s="16">
        <v>3.0</v>
      </c>
      <c r="Q186" s="16">
        <v>9.0</v>
      </c>
      <c r="R186" s="16">
        <v>3.0</v>
      </c>
      <c r="S186" s="16">
        <v>0.0</v>
      </c>
      <c r="T186" s="16">
        <v>1.0</v>
      </c>
      <c r="U186" s="16">
        <v>1.0</v>
      </c>
      <c r="V186" s="16">
        <v>0.0</v>
      </c>
      <c r="W186" s="16">
        <v>0.0</v>
      </c>
      <c r="X186" s="16">
        <v>0.0</v>
      </c>
      <c r="Y186" s="16">
        <v>0.0</v>
      </c>
      <c r="Z186" s="16">
        <v>2.0</v>
      </c>
      <c r="AA186" s="16">
        <v>0.0</v>
      </c>
      <c r="AB186" s="16">
        <v>0.0</v>
      </c>
      <c r="AC186" s="16">
        <v>0.0</v>
      </c>
      <c r="AD186" s="16">
        <v>3.0</v>
      </c>
      <c r="AE186" s="16">
        <v>0.0</v>
      </c>
      <c r="AF186" s="16">
        <v>0.0</v>
      </c>
      <c r="AG186" s="16">
        <v>21.0</v>
      </c>
      <c r="AH186" s="16">
        <v>0.0</v>
      </c>
      <c r="AI186" s="16">
        <v>0.0</v>
      </c>
      <c r="AJ186" s="16">
        <v>120.0</v>
      </c>
      <c r="AK186" s="17">
        <v>0.375</v>
      </c>
      <c r="AL186" s="17">
        <v>0.0583</v>
      </c>
      <c r="AM186" s="17">
        <v>0.3333</v>
      </c>
      <c r="AN186" s="17">
        <v>0.025</v>
      </c>
      <c r="AO186" s="17">
        <v>0.2</v>
      </c>
    </row>
    <row r="187" ht="14.25" customHeight="1">
      <c r="A187" s="25">
        <v>45644.0</v>
      </c>
      <c r="B187" s="16" t="s">
        <v>43</v>
      </c>
      <c r="C187" s="16">
        <v>10.2</v>
      </c>
      <c r="D187" s="16">
        <v>6.2</v>
      </c>
      <c r="E187" s="16">
        <v>8.7</v>
      </c>
      <c r="F187" s="16">
        <v>28.0</v>
      </c>
      <c r="G187" s="16">
        <v>4.0</v>
      </c>
      <c r="H187" s="16">
        <v>11.0</v>
      </c>
      <c r="I187" s="16">
        <v>27.0</v>
      </c>
      <c r="J187" s="16">
        <v>0.0</v>
      </c>
      <c r="K187" s="16">
        <v>26.0</v>
      </c>
      <c r="L187" s="16">
        <v>0.0</v>
      </c>
      <c r="M187" s="16">
        <v>0.0</v>
      </c>
      <c r="N187" s="16">
        <v>0.0</v>
      </c>
      <c r="O187" s="16">
        <v>3.0</v>
      </c>
      <c r="P187" s="16">
        <v>0.0</v>
      </c>
      <c r="Q187" s="16">
        <v>10.0</v>
      </c>
      <c r="R187" s="16">
        <v>7.0</v>
      </c>
      <c r="S187" s="16">
        <v>1.0</v>
      </c>
      <c r="T187" s="16">
        <v>11.0</v>
      </c>
      <c r="U187" s="16">
        <v>18.0</v>
      </c>
      <c r="V187" s="16">
        <v>0.0</v>
      </c>
      <c r="W187" s="16">
        <v>0.0</v>
      </c>
      <c r="X187" s="16">
        <v>1.0</v>
      </c>
      <c r="Y187" s="16">
        <v>0.0</v>
      </c>
      <c r="Z187" s="16">
        <v>0.0</v>
      </c>
      <c r="AA187" s="16">
        <v>0.0</v>
      </c>
      <c r="AB187" s="16">
        <v>0.0</v>
      </c>
      <c r="AC187" s="16">
        <v>0.0</v>
      </c>
      <c r="AD187" s="16">
        <v>1.0</v>
      </c>
      <c r="AE187" s="16">
        <v>0.0</v>
      </c>
      <c r="AF187" s="16">
        <v>0.0</v>
      </c>
      <c r="AG187" s="16">
        <v>0.0</v>
      </c>
      <c r="AH187" s="16">
        <v>0.0</v>
      </c>
      <c r="AI187" s="16">
        <v>0.0</v>
      </c>
      <c r="AJ187" s="16">
        <v>120.0</v>
      </c>
      <c r="AK187" s="17">
        <v>0.35</v>
      </c>
      <c r="AL187" s="17">
        <v>0.2167</v>
      </c>
      <c r="AM187" s="17">
        <v>0.175</v>
      </c>
      <c r="AN187" s="17">
        <v>0.1583</v>
      </c>
      <c r="AO187" s="17">
        <v>0.0083</v>
      </c>
    </row>
    <row r="188" ht="14.25" customHeight="1">
      <c r="A188" s="25">
        <v>45644.0</v>
      </c>
      <c r="B188" s="16" t="s">
        <v>44</v>
      </c>
      <c r="C188" s="16">
        <v>8.7</v>
      </c>
      <c r="D188" s="16">
        <v>13.0</v>
      </c>
      <c r="E188" s="16">
        <v>13.2</v>
      </c>
      <c r="F188" s="16">
        <v>28.0</v>
      </c>
      <c r="G188" s="16">
        <v>0.0</v>
      </c>
      <c r="H188" s="16">
        <v>2.0</v>
      </c>
      <c r="I188" s="16">
        <v>10.0</v>
      </c>
      <c r="J188" s="16">
        <v>0.0</v>
      </c>
      <c r="K188" s="16">
        <v>24.0</v>
      </c>
      <c r="L188" s="16">
        <v>0.0</v>
      </c>
      <c r="M188" s="16">
        <v>10.0</v>
      </c>
      <c r="N188" s="16">
        <v>2.0</v>
      </c>
      <c r="O188" s="16">
        <v>7.0</v>
      </c>
      <c r="P188" s="16">
        <v>0.0</v>
      </c>
      <c r="Q188" s="16">
        <v>1.0</v>
      </c>
      <c r="R188" s="16">
        <v>5.0</v>
      </c>
      <c r="S188" s="16">
        <v>0.0</v>
      </c>
      <c r="T188" s="16">
        <v>5.0</v>
      </c>
      <c r="U188" s="16">
        <v>4.0</v>
      </c>
      <c r="V188" s="16">
        <v>1.0</v>
      </c>
      <c r="W188" s="16">
        <v>1.0</v>
      </c>
      <c r="X188" s="16">
        <v>3.0</v>
      </c>
      <c r="Y188" s="16">
        <v>0.0</v>
      </c>
      <c r="Z188" s="16">
        <v>2.0</v>
      </c>
      <c r="AA188" s="16">
        <v>0.0</v>
      </c>
      <c r="AB188" s="16">
        <v>0.0</v>
      </c>
      <c r="AC188" s="16">
        <v>0.0</v>
      </c>
      <c r="AD188" s="16">
        <v>0.0</v>
      </c>
      <c r="AE188" s="16">
        <v>0.0</v>
      </c>
      <c r="AF188" s="16">
        <v>0.0</v>
      </c>
      <c r="AG188" s="16">
        <v>43.0</v>
      </c>
      <c r="AH188" s="16">
        <v>0.0</v>
      </c>
      <c r="AI188" s="16">
        <v>0.0</v>
      </c>
      <c r="AJ188" s="16">
        <v>120.0</v>
      </c>
      <c r="AK188" s="17">
        <v>0.1</v>
      </c>
      <c r="AL188" s="17">
        <v>0.2833</v>
      </c>
      <c r="AM188" s="17">
        <v>0.1083</v>
      </c>
      <c r="AN188" s="17">
        <v>0.0917</v>
      </c>
      <c r="AO188" s="17">
        <v>0.3583</v>
      </c>
    </row>
    <row r="189" ht="14.25" customHeight="1">
      <c r="A189" s="25">
        <v>45645.0</v>
      </c>
      <c r="B189" s="16" t="s">
        <v>42</v>
      </c>
      <c r="C189" s="16">
        <v>10.5</v>
      </c>
      <c r="D189" s="16">
        <v>6.2</v>
      </c>
      <c r="E189" s="16" t="s">
        <v>50</v>
      </c>
      <c r="F189" s="16">
        <v>29.0</v>
      </c>
      <c r="G189" s="16">
        <v>0.0</v>
      </c>
      <c r="H189" s="16">
        <v>33.0</v>
      </c>
      <c r="I189" s="16">
        <v>19.0</v>
      </c>
      <c r="J189" s="16">
        <v>0.0</v>
      </c>
      <c r="K189" s="16">
        <v>3.0</v>
      </c>
      <c r="L189" s="16">
        <v>0.0</v>
      </c>
      <c r="M189" s="16">
        <v>1.0</v>
      </c>
      <c r="N189" s="16">
        <v>0.0</v>
      </c>
      <c r="O189" s="16">
        <v>18.0</v>
      </c>
      <c r="P189" s="16">
        <v>0.0</v>
      </c>
      <c r="Q189" s="16">
        <v>4.0</v>
      </c>
      <c r="R189" s="16">
        <v>1.0</v>
      </c>
      <c r="S189" s="16">
        <v>4.0</v>
      </c>
      <c r="T189" s="16">
        <v>0.0</v>
      </c>
      <c r="U189" s="16">
        <v>5.0</v>
      </c>
      <c r="V189" s="16">
        <v>0.0</v>
      </c>
      <c r="W189" s="16">
        <v>0.0</v>
      </c>
      <c r="X189" s="16">
        <v>0.0</v>
      </c>
      <c r="Y189" s="16">
        <v>0.0</v>
      </c>
      <c r="Z189" s="16">
        <v>12.0</v>
      </c>
      <c r="AA189" s="16">
        <v>0.0</v>
      </c>
      <c r="AB189" s="16">
        <v>0.0</v>
      </c>
      <c r="AC189" s="16">
        <v>3.0</v>
      </c>
      <c r="AD189" s="16">
        <v>12.0</v>
      </c>
      <c r="AE189" s="16">
        <v>0.0</v>
      </c>
      <c r="AF189" s="16">
        <v>0.0</v>
      </c>
      <c r="AG189" s="16">
        <v>5.0</v>
      </c>
      <c r="AH189" s="16">
        <v>0.0</v>
      </c>
      <c r="AI189" s="16">
        <v>0.0</v>
      </c>
      <c r="AJ189" s="16">
        <v>120.0</v>
      </c>
      <c r="AK189" s="17">
        <v>0.4333</v>
      </c>
      <c r="AL189" s="17">
        <v>0.0333</v>
      </c>
      <c r="AM189" s="17">
        <v>0.225</v>
      </c>
      <c r="AN189" s="17">
        <v>0.1417</v>
      </c>
      <c r="AO189" s="17">
        <v>0.1667</v>
      </c>
    </row>
    <row r="190" ht="14.25" customHeight="1">
      <c r="A190" s="25">
        <v>45646.0</v>
      </c>
      <c r="B190" s="18" t="s">
        <v>41</v>
      </c>
      <c r="C190" s="16">
        <v>11.3</v>
      </c>
      <c r="D190" s="16">
        <v>9.2</v>
      </c>
      <c r="E190" s="16">
        <v>7.5</v>
      </c>
      <c r="F190" s="16">
        <v>28.0</v>
      </c>
      <c r="G190" s="16">
        <v>0.0</v>
      </c>
      <c r="H190" s="16">
        <v>22.0</v>
      </c>
      <c r="I190" s="16">
        <v>5.0</v>
      </c>
      <c r="J190" s="16">
        <v>0.0</v>
      </c>
      <c r="K190" s="16">
        <v>1.0</v>
      </c>
      <c r="L190" s="16">
        <v>0.0</v>
      </c>
      <c r="M190" s="16">
        <v>0.0</v>
      </c>
      <c r="N190" s="16">
        <v>0.0</v>
      </c>
      <c r="O190" s="16">
        <v>21.0</v>
      </c>
      <c r="P190" s="16">
        <v>7.0</v>
      </c>
      <c r="Q190" s="16">
        <v>14.0</v>
      </c>
      <c r="R190" s="16">
        <v>0.0</v>
      </c>
      <c r="S190" s="16">
        <v>0.0</v>
      </c>
      <c r="T190" s="16">
        <v>1.0</v>
      </c>
      <c r="U190" s="16">
        <v>0.0</v>
      </c>
      <c r="V190" s="16">
        <v>0.0</v>
      </c>
      <c r="W190" s="16">
        <v>0.0</v>
      </c>
      <c r="X190" s="16">
        <v>0.0</v>
      </c>
      <c r="Y190" s="16">
        <v>0.0</v>
      </c>
      <c r="Z190" s="16">
        <v>0.0</v>
      </c>
      <c r="AA190" s="16">
        <v>0.0</v>
      </c>
      <c r="AB190" s="16">
        <v>0.0</v>
      </c>
      <c r="AC190" s="16">
        <v>0.0</v>
      </c>
      <c r="AD190" s="16">
        <v>4.0</v>
      </c>
      <c r="AE190" s="16">
        <v>0.0</v>
      </c>
      <c r="AF190" s="16">
        <v>0.0</v>
      </c>
      <c r="AG190" s="16">
        <v>45.0</v>
      </c>
      <c r="AH190" s="16">
        <v>0.0</v>
      </c>
      <c r="AI190" s="16">
        <v>0.0</v>
      </c>
      <c r="AJ190" s="16">
        <v>120.0</v>
      </c>
      <c r="AK190" s="17">
        <v>0.225</v>
      </c>
      <c r="AL190" s="17">
        <v>0.0083</v>
      </c>
      <c r="AM190" s="17">
        <v>0.35</v>
      </c>
      <c r="AN190" s="17">
        <v>0.0</v>
      </c>
      <c r="AO190" s="17">
        <v>0.4083</v>
      </c>
    </row>
    <row r="191" ht="14.25" customHeight="1">
      <c r="A191" s="25">
        <v>45646.0</v>
      </c>
      <c r="B191" s="16" t="s">
        <v>44</v>
      </c>
      <c r="C191" s="16">
        <v>10.45</v>
      </c>
      <c r="D191" s="16">
        <v>11.9</v>
      </c>
      <c r="E191" s="16">
        <v>13.0</v>
      </c>
      <c r="F191" s="16">
        <v>28.0</v>
      </c>
      <c r="G191" s="16">
        <v>0.0</v>
      </c>
      <c r="H191" s="16">
        <v>15.0</v>
      </c>
      <c r="I191" s="16">
        <v>9.0</v>
      </c>
      <c r="J191" s="16">
        <v>0.0</v>
      </c>
      <c r="K191" s="16">
        <v>22.0</v>
      </c>
      <c r="L191" s="16">
        <v>0.0</v>
      </c>
      <c r="M191" s="16">
        <v>13.0</v>
      </c>
      <c r="N191" s="16">
        <v>3.0</v>
      </c>
      <c r="O191" s="16">
        <v>14.0</v>
      </c>
      <c r="P191" s="16">
        <v>5.0</v>
      </c>
      <c r="Q191" s="16">
        <v>3.0</v>
      </c>
      <c r="R191" s="16">
        <v>7.0</v>
      </c>
      <c r="S191" s="16">
        <v>1.0</v>
      </c>
      <c r="T191" s="16">
        <v>1.0</v>
      </c>
      <c r="U191" s="16">
        <v>1.0</v>
      </c>
      <c r="V191" s="16">
        <v>2.0</v>
      </c>
      <c r="W191" s="16">
        <v>0.0</v>
      </c>
      <c r="X191" s="16">
        <v>0.0</v>
      </c>
      <c r="Y191" s="16">
        <v>0.0</v>
      </c>
      <c r="Z191" s="16">
        <v>0.0</v>
      </c>
      <c r="AA191" s="16">
        <v>0.0</v>
      </c>
      <c r="AB191" s="16">
        <v>0.0</v>
      </c>
      <c r="AC191" s="16">
        <v>2.0</v>
      </c>
      <c r="AD191" s="16">
        <v>0.0</v>
      </c>
      <c r="AE191" s="16">
        <v>0.0</v>
      </c>
      <c r="AF191" s="16">
        <v>0.0</v>
      </c>
      <c r="AG191" s="16">
        <v>22.0</v>
      </c>
      <c r="AH191" s="16">
        <v>0.0</v>
      </c>
      <c r="AI191" s="16">
        <v>0.0</v>
      </c>
      <c r="AJ191" s="16">
        <v>120.0</v>
      </c>
      <c r="AK191" s="17">
        <v>0.2</v>
      </c>
      <c r="AL191" s="17">
        <v>0.2917</v>
      </c>
      <c r="AM191" s="17">
        <v>0.25</v>
      </c>
      <c r="AN191" s="17">
        <v>0.025</v>
      </c>
      <c r="AO191" s="17">
        <v>0.2</v>
      </c>
    </row>
    <row r="192" ht="14.25" customHeight="1">
      <c r="A192" s="31">
        <v>45659.0</v>
      </c>
      <c r="B192" s="16" t="s">
        <v>42</v>
      </c>
      <c r="C192" s="32">
        <v>9.0</v>
      </c>
      <c r="D192" s="32">
        <v>5.0</v>
      </c>
      <c r="E192" s="33">
        <v>4.5</v>
      </c>
      <c r="F192" s="16">
        <v>28.0</v>
      </c>
      <c r="G192" s="16"/>
      <c r="H192" s="16">
        <v>23.0</v>
      </c>
      <c r="I192" s="16">
        <v>7.0</v>
      </c>
      <c r="J192" s="16"/>
      <c r="K192" s="16">
        <v>2.0</v>
      </c>
      <c r="L192" s="16"/>
      <c r="M192" s="16"/>
      <c r="N192" s="16"/>
      <c r="O192" s="16">
        <v>10.0</v>
      </c>
      <c r="P192" s="16"/>
      <c r="Q192" s="16">
        <v>7.0</v>
      </c>
      <c r="R192" s="16"/>
      <c r="S192" s="16"/>
      <c r="T192" s="16">
        <v>1.0</v>
      </c>
      <c r="U192" s="16">
        <v>3.0</v>
      </c>
      <c r="V192" s="16"/>
      <c r="W192" s="16"/>
      <c r="X192" s="16"/>
      <c r="Y192" s="16"/>
      <c r="Z192" s="16"/>
      <c r="AA192" s="16"/>
      <c r="AB192" s="16">
        <v>48.0</v>
      </c>
      <c r="AC192" s="16"/>
      <c r="AD192" s="16">
        <v>3.0</v>
      </c>
      <c r="AE192" s="16"/>
      <c r="AF192" s="16"/>
      <c r="AG192" s="16"/>
      <c r="AH192" s="16">
        <v>1.0</v>
      </c>
      <c r="AI192" s="16"/>
      <c r="AJ192" s="16">
        <f t="shared" ref="AJ192:AJ330" si="19">SUM(G192:AI192)</f>
        <v>105</v>
      </c>
      <c r="AK192" s="17">
        <f t="shared" ref="AK192:AK330" si="20">SUM(G192:J192)/120</f>
        <v>0.25</v>
      </c>
      <c r="AL192" s="17">
        <f>SUM(K192:N192)/120</f>
        <v>0.01666666667</v>
      </c>
      <c r="AM192" s="17">
        <f> SUM(O192:T192)/120</f>
        <v>0.15</v>
      </c>
      <c r="AN192" s="17">
        <f t="shared" ref="AN192:AN330" si="21">SUM(U192:AA192)/120</f>
        <v>0.025</v>
      </c>
      <c r="AO192" s="17">
        <f t="shared" ref="AO192:AO330" si="22">SUM(AD192:AI192)/120</f>
        <v>0.03333333333</v>
      </c>
    </row>
    <row r="193" ht="14.25" customHeight="1">
      <c r="A193" s="31">
        <v>45659.0</v>
      </c>
      <c r="B193" s="16" t="s">
        <v>44</v>
      </c>
      <c r="C193" s="32">
        <v>14.0</v>
      </c>
      <c r="D193" s="32">
        <v>13.0</v>
      </c>
      <c r="E193" s="32">
        <v>11.0</v>
      </c>
      <c r="F193" s="16">
        <v>27.0</v>
      </c>
      <c r="G193" s="16">
        <v>40.0</v>
      </c>
      <c r="H193" s="16">
        <v>10.0</v>
      </c>
      <c r="I193" s="16"/>
      <c r="J193" s="16"/>
      <c r="K193" s="16">
        <v>16.0</v>
      </c>
      <c r="L193" s="16"/>
      <c r="M193" s="16">
        <v>17.0</v>
      </c>
      <c r="N193" s="16">
        <v>5.0</v>
      </c>
      <c r="O193" s="16">
        <v>14.0</v>
      </c>
      <c r="P193" s="16"/>
      <c r="Q193" s="16">
        <v>6.0</v>
      </c>
      <c r="R193" s="16"/>
      <c r="S193" s="16">
        <v>1.0</v>
      </c>
      <c r="T193" s="16">
        <v>6.0</v>
      </c>
      <c r="U193" s="16">
        <v>3.0</v>
      </c>
      <c r="V193" s="16"/>
      <c r="W193" s="16"/>
      <c r="X193" s="16"/>
      <c r="Y193" s="16"/>
      <c r="Z193" s="16"/>
      <c r="AA193" s="16"/>
      <c r="AB193" s="16">
        <v>1.0</v>
      </c>
      <c r="AC193" s="16"/>
      <c r="AD193" s="16">
        <v>1.0</v>
      </c>
      <c r="AE193" s="16"/>
      <c r="AF193" s="16"/>
      <c r="AG193" s="16"/>
      <c r="AH193" s="16"/>
      <c r="AI193" s="16"/>
      <c r="AJ193" s="16">
        <f t="shared" si="19"/>
        <v>120</v>
      </c>
      <c r="AK193" s="17">
        <f t="shared" si="20"/>
        <v>0.4166666667</v>
      </c>
      <c r="AL193" s="17">
        <f t="shared" ref="AL193:AL330" si="23">SUM(K193:M193)/120</f>
        <v>0.275</v>
      </c>
      <c r="AM193" s="17">
        <f t="shared" ref="AM193:AM330" si="24"> SUM(O193:S193)/120</f>
        <v>0.175</v>
      </c>
      <c r="AN193" s="17">
        <f t="shared" si="21"/>
        <v>0.025</v>
      </c>
      <c r="AO193" s="17">
        <f t="shared" si="22"/>
        <v>0.008333333333</v>
      </c>
    </row>
    <row r="194" ht="14.25" customHeight="1">
      <c r="A194" s="31">
        <v>45661.0</v>
      </c>
      <c r="B194" s="18" t="s">
        <v>41</v>
      </c>
      <c r="C194" s="32">
        <v>15.0</v>
      </c>
      <c r="D194" s="33">
        <v>9.7</v>
      </c>
      <c r="E194" s="32">
        <v>14.0</v>
      </c>
      <c r="F194" s="16">
        <v>27.0</v>
      </c>
      <c r="G194" s="16"/>
      <c r="H194" s="16">
        <v>47.0</v>
      </c>
      <c r="I194" s="16">
        <v>6.0</v>
      </c>
      <c r="J194" s="16"/>
      <c r="K194" s="16">
        <v>16.0</v>
      </c>
      <c r="L194" s="16"/>
      <c r="M194" s="16">
        <v>4.0</v>
      </c>
      <c r="N194" s="16"/>
      <c r="O194" s="16">
        <v>12.0</v>
      </c>
      <c r="P194" s="16">
        <v>3.0</v>
      </c>
      <c r="Q194" s="16">
        <v>7.0</v>
      </c>
      <c r="R194" s="16"/>
      <c r="S194" s="16"/>
      <c r="T194" s="16">
        <v>1.0</v>
      </c>
      <c r="U194" s="16">
        <v>4.0</v>
      </c>
      <c r="V194" s="16"/>
      <c r="W194" s="16"/>
      <c r="X194" s="16"/>
      <c r="Y194" s="16"/>
      <c r="Z194" s="16"/>
      <c r="AA194" s="16"/>
      <c r="AB194" s="16"/>
      <c r="AC194" s="16"/>
      <c r="AD194" s="16">
        <v>1.0</v>
      </c>
      <c r="AE194" s="16"/>
      <c r="AF194" s="16"/>
      <c r="AG194" s="16">
        <v>17.0</v>
      </c>
      <c r="AH194" s="16">
        <v>1.0</v>
      </c>
      <c r="AI194" s="16"/>
      <c r="AJ194" s="16">
        <f t="shared" si="19"/>
        <v>119</v>
      </c>
      <c r="AK194" s="17">
        <f t="shared" si="20"/>
        <v>0.4416666667</v>
      </c>
      <c r="AL194" s="17">
        <f t="shared" si="23"/>
        <v>0.1666666667</v>
      </c>
      <c r="AM194" s="17">
        <f t="shared" si="24"/>
        <v>0.1833333333</v>
      </c>
      <c r="AN194" s="17">
        <f t="shared" si="21"/>
        <v>0.03333333333</v>
      </c>
      <c r="AO194" s="17">
        <f t="shared" si="22"/>
        <v>0.1583333333</v>
      </c>
    </row>
    <row r="195" ht="14.25" customHeight="1">
      <c r="A195" s="31">
        <v>45661.0</v>
      </c>
      <c r="B195" s="16" t="s">
        <v>43</v>
      </c>
      <c r="C195" s="32">
        <v>16.0</v>
      </c>
      <c r="D195" s="32">
        <v>8.0</v>
      </c>
      <c r="E195" s="32">
        <v>12.0</v>
      </c>
      <c r="F195" s="16">
        <v>27.0</v>
      </c>
      <c r="G195" s="16">
        <v>11.0</v>
      </c>
      <c r="H195" s="16">
        <v>14.0</v>
      </c>
      <c r="I195" s="16">
        <v>22.0</v>
      </c>
      <c r="J195" s="16"/>
      <c r="K195" s="16">
        <v>6.0</v>
      </c>
      <c r="L195" s="16"/>
      <c r="M195" s="16">
        <v>20.0</v>
      </c>
      <c r="N195" s="16">
        <v>11.0</v>
      </c>
      <c r="O195" s="16">
        <v>13.0</v>
      </c>
      <c r="P195" s="16"/>
      <c r="Q195" s="16">
        <v>7.0</v>
      </c>
      <c r="R195" s="16"/>
      <c r="S195" s="16"/>
      <c r="T195" s="16">
        <v>4.0</v>
      </c>
      <c r="U195" s="16">
        <v>10.0</v>
      </c>
      <c r="V195" s="16">
        <v>1.0</v>
      </c>
      <c r="W195" s="16"/>
      <c r="X195" s="16">
        <v>1.0</v>
      </c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>
        <f t="shared" si="19"/>
        <v>120</v>
      </c>
      <c r="AK195" s="17">
        <f t="shared" si="20"/>
        <v>0.3916666667</v>
      </c>
      <c r="AL195" s="17">
        <f t="shared" si="23"/>
        <v>0.2166666667</v>
      </c>
      <c r="AM195" s="17">
        <f t="shared" si="24"/>
        <v>0.1666666667</v>
      </c>
      <c r="AN195" s="17">
        <f t="shared" si="21"/>
        <v>0.1</v>
      </c>
      <c r="AO195" s="17">
        <f t="shared" si="22"/>
        <v>0</v>
      </c>
    </row>
    <row r="196" ht="14.25" customHeight="1">
      <c r="A196" s="31">
        <v>45664.0</v>
      </c>
      <c r="B196" s="16" t="s">
        <v>43</v>
      </c>
      <c r="C196" s="32">
        <v>17.0</v>
      </c>
      <c r="D196" s="33">
        <v>4.5</v>
      </c>
      <c r="E196" s="32">
        <v>5.0</v>
      </c>
      <c r="F196" s="16">
        <v>27.0</v>
      </c>
      <c r="G196" s="16">
        <v>6.0</v>
      </c>
      <c r="H196" s="16">
        <v>20.0</v>
      </c>
      <c r="I196" s="16">
        <v>28.0</v>
      </c>
      <c r="J196" s="16"/>
      <c r="K196" s="16"/>
      <c r="L196" s="16"/>
      <c r="M196" s="16"/>
      <c r="N196" s="16"/>
      <c r="O196" s="16">
        <v>28.0</v>
      </c>
      <c r="P196" s="16"/>
      <c r="Q196" s="16">
        <v>13.0</v>
      </c>
      <c r="R196" s="16"/>
      <c r="S196" s="16">
        <v>1.0</v>
      </c>
      <c r="T196" s="16"/>
      <c r="U196" s="16">
        <v>2.0</v>
      </c>
      <c r="V196" s="16"/>
      <c r="W196" s="16"/>
      <c r="X196" s="16"/>
      <c r="Y196" s="16"/>
      <c r="Z196" s="16"/>
      <c r="AA196" s="16"/>
      <c r="AB196" s="16">
        <v>3.0</v>
      </c>
      <c r="AC196" s="16"/>
      <c r="AD196" s="16"/>
      <c r="AE196" s="16"/>
      <c r="AF196" s="16"/>
      <c r="AG196" s="16">
        <v>19.0</v>
      </c>
      <c r="AH196" s="16"/>
      <c r="AI196" s="16"/>
      <c r="AJ196" s="16">
        <f t="shared" si="19"/>
        <v>120</v>
      </c>
      <c r="AK196" s="17">
        <f t="shared" si="20"/>
        <v>0.45</v>
      </c>
      <c r="AL196" s="17">
        <f t="shared" si="23"/>
        <v>0</v>
      </c>
      <c r="AM196" s="17">
        <f t="shared" si="24"/>
        <v>0.35</v>
      </c>
      <c r="AN196" s="17">
        <f t="shared" si="21"/>
        <v>0.01666666667</v>
      </c>
      <c r="AO196" s="17">
        <f t="shared" si="22"/>
        <v>0.1583333333</v>
      </c>
    </row>
    <row r="197" ht="14.25" customHeight="1">
      <c r="A197" s="31">
        <v>45665.0</v>
      </c>
      <c r="B197" s="16" t="s">
        <v>42</v>
      </c>
      <c r="C197" s="32">
        <v>14.0</v>
      </c>
      <c r="D197" s="32">
        <v>9.0</v>
      </c>
      <c r="E197" s="32">
        <v>9.0</v>
      </c>
      <c r="F197" s="16">
        <v>27.0</v>
      </c>
      <c r="G197" s="16">
        <v>15.0</v>
      </c>
      <c r="H197" s="16">
        <v>6.0</v>
      </c>
      <c r="I197" s="16">
        <v>19.0</v>
      </c>
      <c r="J197" s="16"/>
      <c r="K197" s="16">
        <v>10.0</v>
      </c>
      <c r="L197" s="16"/>
      <c r="M197" s="16">
        <v>1.0</v>
      </c>
      <c r="N197" s="16">
        <v>3.0</v>
      </c>
      <c r="O197" s="16">
        <v>33.0</v>
      </c>
      <c r="P197" s="16">
        <v>2.0</v>
      </c>
      <c r="Q197" s="16">
        <v>17.0</v>
      </c>
      <c r="R197" s="16"/>
      <c r="S197" s="16"/>
      <c r="T197" s="16"/>
      <c r="U197" s="16">
        <v>6.0</v>
      </c>
      <c r="V197" s="16">
        <v>1.0</v>
      </c>
      <c r="W197" s="16"/>
      <c r="X197" s="16"/>
      <c r="Y197" s="16">
        <v>1.0</v>
      </c>
      <c r="Z197" s="16"/>
      <c r="AA197" s="16"/>
      <c r="AB197" s="16"/>
      <c r="AC197" s="16"/>
      <c r="AD197" s="16"/>
      <c r="AE197" s="16"/>
      <c r="AF197" s="16"/>
      <c r="AG197" s="16">
        <v>1.0</v>
      </c>
      <c r="AH197" s="16">
        <v>4.0</v>
      </c>
      <c r="AI197" s="16"/>
      <c r="AJ197" s="16">
        <f t="shared" si="19"/>
        <v>119</v>
      </c>
      <c r="AK197" s="17">
        <f t="shared" si="20"/>
        <v>0.3333333333</v>
      </c>
      <c r="AL197" s="17">
        <f t="shared" si="23"/>
        <v>0.09166666667</v>
      </c>
      <c r="AM197" s="17">
        <f t="shared" si="24"/>
        <v>0.4333333333</v>
      </c>
      <c r="AN197" s="17">
        <f t="shared" si="21"/>
        <v>0.06666666667</v>
      </c>
      <c r="AO197" s="17">
        <f t="shared" si="22"/>
        <v>0.04166666667</v>
      </c>
    </row>
    <row r="198" ht="14.25" customHeight="1">
      <c r="A198" s="31">
        <v>45665.0</v>
      </c>
      <c r="B198" s="16" t="s">
        <v>43</v>
      </c>
      <c r="C198" s="32">
        <v>15.0</v>
      </c>
      <c r="D198" s="32">
        <v>8.0</v>
      </c>
      <c r="E198" s="33">
        <v>10.5</v>
      </c>
      <c r="F198" s="16">
        <v>27.0</v>
      </c>
      <c r="G198" s="16">
        <v>4.0</v>
      </c>
      <c r="H198" s="16">
        <v>4.0</v>
      </c>
      <c r="I198" s="16">
        <v>21.0</v>
      </c>
      <c r="J198" s="16"/>
      <c r="K198" s="16">
        <v>18.0</v>
      </c>
      <c r="L198" s="16"/>
      <c r="M198" s="16">
        <v>22.0</v>
      </c>
      <c r="N198" s="16">
        <v>12.0</v>
      </c>
      <c r="O198" s="16">
        <v>12.0</v>
      </c>
      <c r="P198" s="16"/>
      <c r="Q198" s="16">
        <v>10.0</v>
      </c>
      <c r="R198" s="16">
        <v>2.0</v>
      </c>
      <c r="S198" s="16"/>
      <c r="T198" s="16"/>
      <c r="U198" s="16">
        <v>10.0</v>
      </c>
      <c r="V198" s="16">
        <v>4.0</v>
      </c>
      <c r="W198" s="16"/>
      <c r="X198" s="16"/>
      <c r="Y198" s="16">
        <v>1.0</v>
      </c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>
        <f t="shared" si="19"/>
        <v>120</v>
      </c>
      <c r="AK198" s="17">
        <f t="shared" si="20"/>
        <v>0.2416666667</v>
      </c>
      <c r="AL198" s="17">
        <f t="shared" si="23"/>
        <v>0.3333333333</v>
      </c>
      <c r="AM198" s="17">
        <f t="shared" si="24"/>
        <v>0.2</v>
      </c>
      <c r="AN198" s="17">
        <f t="shared" si="21"/>
        <v>0.125</v>
      </c>
      <c r="AO198" s="17">
        <f t="shared" si="22"/>
        <v>0</v>
      </c>
    </row>
    <row r="199" ht="14.25" customHeight="1">
      <c r="A199" s="31">
        <v>45666.0</v>
      </c>
      <c r="B199" s="16" t="s">
        <v>43</v>
      </c>
      <c r="C199" s="32">
        <v>17.0</v>
      </c>
      <c r="D199" s="32">
        <v>8.0</v>
      </c>
      <c r="E199" s="32">
        <v>4.0</v>
      </c>
      <c r="F199" s="16">
        <v>27.0</v>
      </c>
      <c r="G199" s="16">
        <v>13.0</v>
      </c>
      <c r="H199" s="16"/>
      <c r="I199" s="16">
        <v>40.0</v>
      </c>
      <c r="J199" s="16"/>
      <c r="K199" s="16">
        <v>6.0</v>
      </c>
      <c r="L199" s="16"/>
      <c r="M199" s="16"/>
      <c r="N199" s="16"/>
      <c r="O199" s="16">
        <v>19.0</v>
      </c>
      <c r="P199" s="16"/>
      <c r="Q199" s="16">
        <v>30.0</v>
      </c>
      <c r="R199" s="16"/>
      <c r="S199" s="16"/>
      <c r="T199" s="16"/>
      <c r="U199" s="16">
        <v>9.0</v>
      </c>
      <c r="V199" s="16"/>
      <c r="W199" s="16"/>
      <c r="X199" s="16"/>
      <c r="Y199" s="16"/>
      <c r="Z199" s="16"/>
      <c r="AA199" s="16"/>
      <c r="AB199" s="16">
        <v>1.0</v>
      </c>
      <c r="AC199" s="16"/>
      <c r="AD199" s="16"/>
      <c r="AE199" s="16"/>
      <c r="AF199" s="16"/>
      <c r="AG199" s="16"/>
      <c r="AH199" s="16">
        <v>2.0</v>
      </c>
      <c r="AI199" s="16"/>
      <c r="AJ199" s="16">
        <f t="shared" si="19"/>
        <v>120</v>
      </c>
      <c r="AK199" s="17">
        <f t="shared" si="20"/>
        <v>0.4416666667</v>
      </c>
      <c r="AL199" s="17">
        <f t="shared" si="23"/>
        <v>0.05</v>
      </c>
      <c r="AM199" s="17">
        <f t="shared" si="24"/>
        <v>0.4083333333</v>
      </c>
      <c r="AN199" s="17">
        <f t="shared" si="21"/>
        <v>0.075</v>
      </c>
      <c r="AO199" s="17">
        <f t="shared" si="22"/>
        <v>0.01666666667</v>
      </c>
    </row>
    <row r="200" ht="14.25" customHeight="1">
      <c r="A200" s="31">
        <v>45666.0</v>
      </c>
      <c r="B200" s="16" t="s">
        <v>44</v>
      </c>
      <c r="C200" s="32">
        <v>13.0</v>
      </c>
      <c r="D200" s="33">
        <v>12.5</v>
      </c>
      <c r="E200" s="33">
        <v>13.5</v>
      </c>
      <c r="F200" s="16">
        <v>27.0</v>
      </c>
      <c r="G200" s="16"/>
      <c r="H200" s="16">
        <v>27.0</v>
      </c>
      <c r="I200" s="16">
        <v>7.0</v>
      </c>
      <c r="J200" s="16"/>
      <c r="K200" s="16">
        <v>7.0</v>
      </c>
      <c r="L200" s="16"/>
      <c r="M200" s="16">
        <v>16.0</v>
      </c>
      <c r="N200" s="16">
        <v>4.0</v>
      </c>
      <c r="O200" s="16">
        <v>19.0</v>
      </c>
      <c r="P200" s="16"/>
      <c r="Q200" s="16">
        <v>15.0</v>
      </c>
      <c r="R200" s="16">
        <v>5.0</v>
      </c>
      <c r="S200" s="16"/>
      <c r="T200" s="16">
        <v>1.0</v>
      </c>
      <c r="U200" s="16">
        <v>5.0</v>
      </c>
      <c r="V200" s="16">
        <v>7.0</v>
      </c>
      <c r="W200" s="16"/>
      <c r="X200" s="16"/>
      <c r="Y200" s="16"/>
      <c r="Z200" s="16">
        <v>1.0</v>
      </c>
      <c r="AA200" s="16"/>
      <c r="AB200" s="16"/>
      <c r="AC200" s="16"/>
      <c r="AD200" s="16"/>
      <c r="AE200" s="16"/>
      <c r="AF200" s="16"/>
      <c r="AG200" s="16">
        <v>5.0</v>
      </c>
      <c r="AH200" s="16"/>
      <c r="AI200" s="16"/>
      <c r="AJ200" s="16">
        <f t="shared" si="19"/>
        <v>119</v>
      </c>
      <c r="AK200" s="17">
        <f t="shared" si="20"/>
        <v>0.2833333333</v>
      </c>
      <c r="AL200" s="17">
        <f t="shared" si="23"/>
        <v>0.1916666667</v>
      </c>
      <c r="AM200" s="17">
        <f t="shared" si="24"/>
        <v>0.325</v>
      </c>
      <c r="AN200" s="17">
        <f t="shared" si="21"/>
        <v>0.1083333333</v>
      </c>
      <c r="AO200" s="17">
        <f t="shared" si="22"/>
        <v>0.04166666667</v>
      </c>
    </row>
    <row r="201" ht="14.25" customHeight="1">
      <c r="A201" s="31">
        <v>45667.0</v>
      </c>
      <c r="B201" s="18" t="s">
        <v>41</v>
      </c>
      <c r="C201" s="32">
        <v>15.0</v>
      </c>
      <c r="D201" s="32">
        <v>9.0</v>
      </c>
      <c r="E201" s="32">
        <v>9.0</v>
      </c>
      <c r="F201" s="16">
        <v>27.0</v>
      </c>
      <c r="G201" s="16"/>
      <c r="H201" s="16">
        <v>50.0</v>
      </c>
      <c r="I201" s="16">
        <v>4.0</v>
      </c>
      <c r="J201" s="16"/>
      <c r="K201" s="16"/>
      <c r="L201" s="16"/>
      <c r="M201" s="16"/>
      <c r="N201" s="16"/>
      <c r="O201" s="16">
        <v>39.0</v>
      </c>
      <c r="P201" s="16"/>
      <c r="Q201" s="16">
        <v>4.0</v>
      </c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>
        <v>23.0</v>
      </c>
      <c r="AH201" s="16"/>
      <c r="AI201" s="16"/>
      <c r="AJ201" s="16">
        <f t="shared" si="19"/>
        <v>120</v>
      </c>
      <c r="AK201" s="17">
        <f t="shared" si="20"/>
        <v>0.45</v>
      </c>
      <c r="AL201" s="17">
        <f t="shared" si="23"/>
        <v>0</v>
      </c>
      <c r="AM201" s="17">
        <f t="shared" si="24"/>
        <v>0.3583333333</v>
      </c>
      <c r="AN201" s="17">
        <f t="shared" si="21"/>
        <v>0</v>
      </c>
      <c r="AO201" s="17">
        <f t="shared" si="22"/>
        <v>0.1916666667</v>
      </c>
    </row>
    <row r="202" ht="14.25" customHeight="1">
      <c r="A202" s="31">
        <v>45667.0</v>
      </c>
      <c r="B202" s="16" t="s">
        <v>42</v>
      </c>
      <c r="C202" s="32">
        <v>15.0</v>
      </c>
      <c r="D202" s="32">
        <v>9.0</v>
      </c>
      <c r="E202" s="32">
        <v>11.0</v>
      </c>
      <c r="F202" s="16">
        <v>27.0</v>
      </c>
      <c r="G202" s="16">
        <v>11.0</v>
      </c>
      <c r="H202" s="16">
        <v>7.0</v>
      </c>
      <c r="I202" s="16">
        <v>29.0</v>
      </c>
      <c r="J202" s="16"/>
      <c r="K202" s="16">
        <v>10.0</v>
      </c>
      <c r="L202" s="16"/>
      <c r="M202" s="16"/>
      <c r="N202" s="16"/>
      <c r="O202" s="16">
        <v>23.0</v>
      </c>
      <c r="P202" s="16">
        <v>1.0</v>
      </c>
      <c r="Q202" s="16">
        <v>26.0</v>
      </c>
      <c r="R202" s="16"/>
      <c r="S202" s="16">
        <v>1.0</v>
      </c>
      <c r="T202" s="16">
        <v>2.0</v>
      </c>
      <c r="U202" s="16">
        <v>3.0</v>
      </c>
      <c r="V202" s="16"/>
      <c r="W202" s="16">
        <v>1.0</v>
      </c>
      <c r="X202" s="16">
        <v>3.0</v>
      </c>
      <c r="Y202" s="16">
        <v>1.0</v>
      </c>
      <c r="Z202" s="16"/>
      <c r="AA202" s="16"/>
      <c r="AB202" s="16"/>
      <c r="AC202" s="16"/>
      <c r="AD202" s="16"/>
      <c r="AE202" s="16"/>
      <c r="AF202" s="16"/>
      <c r="AG202" s="16">
        <v>1.0</v>
      </c>
      <c r="AH202" s="16">
        <v>1.0</v>
      </c>
      <c r="AI202" s="16"/>
      <c r="AJ202" s="16">
        <f t="shared" si="19"/>
        <v>120</v>
      </c>
      <c r="AK202" s="17">
        <f t="shared" si="20"/>
        <v>0.3916666667</v>
      </c>
      <c r="AL202" s="17">
        <f t="shared" si="23"/>
        <v>0.08333333333</v>
      </c>
      <c r="AM202" s="17">
        <f t="shared" si="24"/>
        <v>0.425</v>
      </c>
      <c r="AN202" s="17">
        <f t="shared" si="21"/>
        <v>0.06666666667</v>
      </c>
      <c r="AO202" s="17">
        <f t="shared" si="22"/>
        <v>0.01666666667</v>
      </c>
    </row>
    <row r="203" ht="14.25" customHeight="1">
      <c r="A203" s="31">
        <v>45670.0</v>
      </c>
      <c r="B203" s="16" t="s">
        <v>43</v>
      </c>
      <c r="C203" s="32">
        <v>15.0</v>
      </c>
      <c r="D203" s="32">
        <v>7.0</v>
      </c>
      <c r="E203" s="33">
        <v>8.5</v>
      </c>
      <c r="F203" s="16">
        <v>27.0</v>
      </c>
      <c r="G203" s="16">
        <v>5.0</v>
      </c>
      <c r="H203" s="16"/>
      <c r="I203" s="16">
        <v>51.0</v>
      </c>
      <c r="J203" s="16"/>
      <c r="K203" s="16">
        <v>17.0</v>
      </c>
      <c r="L203" s="16"/>
      <c r="M203" s="16"/>
      <c r="N203" s="16">
        <v>3.0</v>
      </c>
      <c r="O203" s="16">
        <v>7.0</v>
      </c>
      <c r="P203" s="16"/>
      <c r="Q203" s="16">
        <v>18.0</v>
      </c>
      <c r="R203" s="16"/>
      <c r="S203" s="16"/>
      <c r="T203" s="16"/>
      <c r="U203" s="16">
        <v>14.0</v>
      </c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>
        <v>5.0</v>
      </c>
      <c r="AH203" s="16"/>
      <c r="AI203" s="16"/>
      <c r="AJ203" s="16">
        <f t="shared" si="19"/>
        <v>120</v>
      </c>
      <c r="AK203" s="17">
        <f t="shared" si="20"/>
        <v>0.4666666667</v>
      </c>
      <c r="AL203" s="17">
        <f t="shared" si="23"/>
        <v>0.1416666667</v>
      </c>
      <c r="AM203" s="17">
        <f t="shared" si="24"/>
        <v>0.2083333333</v>
      </c>
      <c r="AN203" s="17">
        <f t="shared" si="21"/>
        <v>0.1166666667</v>
      </c>
      <c r="AO203" s="17">
        <f t="shared" si="22"/>
        <v>0.04166666667</v>
      </c>
    </row>
    <row r="204" ht="14.25" customHeight="1">
      <c r="A204" s="31">
        <v>45670.0</v>
      </c>
      <c r="B204" s="16" t="s">
        <v>44</v>
      </c>
      <c r="C204" s="32">
        <v>14.0</v>
      </c>
      <c r="D204" s="33">
        <v>14.5</v>
      </c>
      <c r="E204" s="32">
        <v>17.0</v>
      </c>
      <c r="F204" s="16">
        <v>27.0</v>
      </c>
      <c r="G204" s="16">
        <v>5.0</v>
      </c>
      <c r="H204" s="16">
        <v>20.0</v>
      </c>
      <c r="I204" s="16">
        <v>5.0</v>
      </c>
      <c r="J204" s="16"/>
      <c r="K204" s="16">
        <v>2.0</v>
      </c>
      <c r="L204" s="16"/>
      <c r="M204" s="16">
        <v>4.0</v>
      </c>
      <c r="N204" s="16">
        <v>7.0</v>
      </c>
      <c r="O204" s="16">
        <v>23.0</v>
      </c>
      <c r="P204" s="16"/>
      <c r="Q204" s="16">
        <v>9.0</v>
      </c>
      <c r="R204" s="16">
        <v>4.0</v>
      </c>
      <c r="S204" s="16">
        <v>4.0</v>
      </c>
      <c r="T204" s="16"/>
      <c r="U204" s="16">
        <v>3.0</v>
      </c>
      <c r="V204" s="16">
        <v>5.0</v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>
        <v>29.0</v>
      </c>
      <c r="AH204" s="16"/>
      <c r="AI204" s="16"/>
      <c r="AJ204" s="16">
        <f t="shared" si="19"/>
        <v>120</v>
      </c>
      <c r="AK204" s="17">
        <f t="shared" si="20"/>
        <v>0.25</v>
      </c>
      <c r="AL204" s="17">
        <f t="shared" si="23"/>
        <v>0.05</v>
      </c>
      <c r="AM204" s="17">
        <f t="shared" si="24"/>
        <v>0.3333333333</v>
      </c>
      <c r="AN204" s="17">
        <f t="shared" si="21"/>
        <v>0.06666666667</v>
      </c>
      <c r="AO204" s="17">
        <f t="shared" si="22"/>
        <v>0.2416666667</v>
      </c>
    </row>
    <row r="205" ht="14.25" customHeight="1">
      <c r="A205" s="31">
        <v>45671.0</v>
      </c>
      <c r="B205" s="18" t="s">
        <v>41</v>
      </c>
      <c r="C205" s="32">
        <v>11.0</v>
      </c>
      <c r="D205" s="32">
        <v>8.0</v>
      </c>
      <c r="E205" s="32">
        <v>8.0</v>
      </c>
      <c r="F205" s="16">
        <v>27.0</v>
      </c>
      <c r="G205" s="16">
        <v>9.0</v>
      </c>
      <c r="H205" s="16"/>
      <c r="I205" s="16">
        <v>29.0</v>
      </c>
      <c r="J205" s="16"/>
      <c r="K205" s="16"/>
      <c r="L205" s="16"/>
      <c r="M205" s="16"/>
      <c r="N205" s="16"/>
      <c r="O205" s="16">
        <v>29.0</v>
      </c>
      <c r="P205" s="16">
        <v>7.0</v>
      </c>
      <c r="Q205" s="16">
        <v>31.0</v>
      </c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>
        <v>3.0</v>
      </c>
      <c r="AC205" s="16"/>
      <c r="AD205" s="16">
        <v>3.0</v>
      </c>
      <c r="AE205" s="16"/>
      <c r="AF205" s="16"/>
      <c r="AG205" s="16">
        <v>6.0</v>
      </c>
      <c r="AH205" s="16"/>
      <c r="AI205" s="16"/>
      <c r="AJ205" s="16">
        <f t="shared" si="19"/>
        <v>117</v>
      </c>
      <c r="AK205" s="17">
        <f t="shared" si="20"/>
        <v>0.3166666667</v>
      </c>
      <c r="AL205" s="17">
        <f t="shared" si="23"/>
        <v>0</v>
      </c>
      <c r="AM205" s="17">
        <f t="shared" si="24"/>
        <v>0.5583333333</v>
      </c>
      <c r="AN205" s="17">
        <f t="shared" si="21"/>
        <v>0</v>
      </c>
      <c r="AO205" s="17">
        <f t="shared" si="22"/>
        <v>0.075</v>
      </c>
    </row>
    <row r="206" ht="14.25" customHeight="1">
      <c r="A206" s="31">
        <v>45671.0</v>
      </c>
      <c r="B206" s="16" t="s">
        <v>45</v>
      </c>
      <c r="C206" s="32">
        <v>14.0</v>
      </c>
      <c r="D206" s="32">
        <v>9.0</v>
      </c>
      <c r="E206" s="32">
        <v>10.0</v>
      </c>
      <c r="F206" s="16">
        <v>27.0</v>
      </c>
      <c r="G206" s="16"/>
      <c r="H206" s="16">
        <v>28.0</v>
      </c>
      <c r="I206" s="16">
        <v>7.0</v>
      </c>
      <c r="J206" s="16"/>
      <c r="K206" s="16">
        <v>3.0</v>
      </c>
      <c r="L206" s="16"/>
      <c r="M206" s="16">
        <v>1.0</v>
      </c>
      <c r="N206" s="16">
        <v>1.0</v>
      </c>
      <c r="O206" s="16">
        <v>54.0</v>
      </c>
      <c r="P206" s="16">
        <v>3.0</v>
      </c>
      <c r="Q206" s="16">
        <v>10.0</v>
      </c>
      <c r="R206" s="16">
        <v>1.0</v>
      </c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>
        <v>9.0</v>
      </c>
      <c r="AH206" s="16"/>
      <c r="AI206" s="16"/>
      <c r="AJ206" s="16">
        <f t="shared" si="19"/>
        <v>117</v>
      </c>
      <c r="AK206" s="17">
        <f t="shared" si="20"/>
        <v>0.2916666667</v>
      </c>
      <c r="AL206" s="17">
        <f t="shared" si="23"/>
        <v>0.03333333333</v>
      </c>
      <c r="AM206" s="17">
        <f t="shared" si="24"/>
        <v>0.5666666667</v>
      </c>
      <c r="AN206" s="17">
        <f t="shared" si="21"/>
        <v>0</v>
      </c>
      <c r="AO206" s="17">
        <f t="shared" si="22"/>
        <v>0.075</v>
      </c>
    </row>
    <row r="207" ht="14.25" customHeight="1">
      <c r="A207" s="31">
        <v>45672.0</v>
      </c>
      <c r="B207" s="16" t="s">
        <v>42</v>
      </c>
      <c r="C207" s="32">
        <v>15.0</v>
      </c>
      <c r="D207" s="32">
        <v>9.0</v>
      </c>
      <c r="E207" s="32">
        <v>8.0</v>
      </c>
      <c r="F207" s="16">
        <v>27.0</v>
      </c>
      <c r="G207" s="16">
        <v>1.0</v>
      </c>
      <c r="H207" s="16"/>
      <c r="I207" s="16">
        <v>21.0</v>
      </c>
      <c r="J207" s="16"/>
      <c r="K207" s="16">
        <v>31.0</v>
      </c>
      <c r="L207" s="16"/>
      <c r="M207" s="16"/>
      <c r="N207" s="16"/>
      <c r="O207" s="16">
        <v>21.0</v>
      </c>
      <c r="P207" s="16"/>
      <c r="Q207" s="16">
        <v>31.0</v>
      </c>
      <c r="R207" s="16">
        <v>1.0</v>
      </c>
      <c r="S207" s="16"/>
      <c r="T207" s="16"/>
      <c r="U207" s="16">
        <v>4.0</v>
      </c>
      <c r="V207" s="16"/>
      <c r="W207" s="16"/>
      <c r="X207" s="16">
        <v>4.0</v>
      </c>
      <c r="Y207" s="16"/>
      <c r="Z207" s="16"/>
      <c r="AA207" s="16"/>
      <c r="AB207" s="16"/>
      <c r="AC207" s="16"/>
      <c r="AD207" s="16"/>
      <c r="AE207" s="16"/>
      <c r="AF207" s="16"/>
      <c r="AG207" s="16"/>
      <c r="AH207" s="16">
        <v>1.0</v>
      </c>
      <c r="AI207" s="16"/>
      <c r="AJ207" s="16">
        <f t="shared" si="19"/>
        <v>115</v>
      </c>
      <c r="AK207" s="17">
        <f t="shared" si="20"/>
        <v>0.1833333333</v>
      </c>
      <c r="AL207" s="17">
        <f t="shared" si="23"/>
        <v>0.2583333333</v>
      </c>
      <c r="AM207" s="17">
        <f t="shared" si="24"/>
        <v>0.4416666667</v>
      </c>
      <c r="AN207" s="17">
        <f t="shared" si="21"/>
        <v>0.06666666667</v>
      </c>
      <c r="AO207" s="17">
        <f t="shared" si="22"/>
        <v>0.008333333333</v>
      </c>
    </row>
    <row r="208" ht="14.25" customHeight="1">
      <c r="A208" s="31">
        <v>45672.0</v>
      </c>
      <c r="B208" s="16" t="s">
        <v>43</v>
      </c>
      <c r="C208" s="32">
        <v>16.0</v>
      </c>
      <c r="D208" s="32">
        <v>7.0</v>
      </c>
      <c r="E208" s="33">
        <v>9.5</v>
      </c>
      <c r="F208" s="16">
        <v>27.0</v>
      </c>
      <c r="G208" s="16"/>
      <c r="H208" s="16">
        <v>20.0</v>
      </c>
      <c r="I208" s="16">
        <v>31.0</v>
      </c>
      <c r="J208" s="16"/>
      <c r="K208" s="16">
        <v>20.0</v>
      </c>
      <c r="L208" s="16"/>
      <c r="M208" s="16">
        <v>2.0</v>
      </c>
      <c r="N208" s="16"/>
      <c r="O208" s="16">
        <v>15.0</v>
      </c>
      <c r="P208" s="16"/>
      <c r="Q208" s="16">
        <v>8.0</v>
      </c>
      <c r="R208" s="16"/>
      <c r="S208" s="16">
        <v>3.0</v>
      </c>
      <c r="T208" s="16"/>
      <c r="U208" s="16">
        <v>19.0</v>
      </c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>
        <v>1.0</v>
      </c>
      <c r="AH208" s="16"/>
      <c r="AI208" s="16"/>
      <c r="AJ208" s="16">
        <f t="shared" si="19"/>
        <v>119</v>
      </c>
      <c r="AK208" s="17">
        <f t="shared" si="20"/>
        <v>0.425</v>
      </c>
      <c r="AL208" s="17">
        <f t="shared" si="23"/>
        <v>0.1833333333</v>
      </c>
      <c r="AM208" s="17">
        <f t="shared" si="24"/>
        <v>0.2166666667</v>
      </c>
      <c r="AN208" s="17">
        <f t="shared" si="21"/>
        <v>0.1583333333</v>
      </c>
      <c r="AO208" s="17">
        <f t="shared" si="22"/>
        <v>0.008333333333</v>
      </c>
    </row>
    <row r="209" ht="14.25" customHeight="1">
      <c r="A209" s="31">
        <v>45673.0</v>
      </c>
      <c r="B209" s="16" t="s">
        <v>45</v>
      </c>
      <c r="C209" s="32">
        <v>9.0</v>
      </c>
      <c r="D209" s="32">
        <v>9.0</v>
      </c>
      <c r="E209" s="32">
        <v>10.0</v>
      </c>
      <c r="F209" s="16">
        <v>27.0</v>
      </c>
      <c r="G209" s="16"/>
      <c r="H209" s="16">
        <v>35.0</v>
      </c>
      <c r="I209" s="16">
        <v>5.0</v>
      </c>
      <c r="J209" s="16"/>
      <c r="K209" s="16">
        <v>3.0</v>
      </c>
      <c r="L209" s="16"/>
      <c r="M209" s="16"/>
      <c r="N209" s="16"/>
      <c r="O209" s="16">
        <v>48.0</v>
      </c>
      <c r="P209" s="16">
        <v>4.0</v>
      </c>
      <c r="Q209" s="16">
        <v>5.0</v>
      </c>
      <c r="R209" s="16">
        <v>5.0</v>
      </c>
      <c r="S209" s="16"/>
      <c r="T209" s="16"/>
      <c r="U209" s="16"/>
      <c r="V209" s="16">
        <v>1.0</v>
      </c>
      <c r="W209" s="16"/>
      <c r="X209" s="16"/>
      <c r="Y209" s="16"/>
      <c r="Z209" s="16"/>
      <c r="AA209" s="16"/>
      <c r="AB209" s="16">
        <v>4.0</v>
      </c>
      <c r="AC209" s="16"/>
      <c r="AD209" s="16"/>
      <c r="AE209" s="16"/>
      <c r="AF209" s="16"/>
      <c r="AG209" s="16">
        <v>9.0</v>
      </c>
      <c r="AH209" s="16"/>
      <c r="AI209" s="16"/>
      <c r="AJ209" s="16">
        <f t="shared" si="19"/>
        <v>119</v>
      </c>
      <c r="AK209" s="17">
        <f t="shared" si="20"/>
        <v>0.3333333333</v>
      </c>
      <c r="AL209" s="17">
        <f t="shared" si="23"/>
        <v>0.025</v>
      </c>
      <c r="AM209" s="17">
        <f t="shared" si="24"/>
        <v>0.5166666667</v>
      </c>
      <c r="AN209" s="17">
        <f t="shared" si="21"/>
        <v>0.008333333333</v>
      </c>
      <c r="AO209" s="17">
        <f t="shared" si="22"/>
        <v>0.075</v>
      </c>
    </row>
    <row r="210" ht="14.25" customHeight="1">
      <c r="A210" s="31">
        <v>45673.0</v>
      </c>
      <c r="B210" s="16" t="s">
        <v>44</v>
      </c>
      <c r="C210" s="32">
        <v>15.0</v>
      </c>
      <c r="D210" s="32">
        <v>11.0</v>
      </c>
      <c r="E210" s="32">
        <v>16.0</v>
      </c>
      <c r="F210" s="16">
        <v>27.0</v>
      </c>
      <c r="G210" s="16"/>
      <c r="H210" s="16">
        <v>15.0</v>
      </c>
      <c r="I210" s="16">
        <v>24.0</v>
      </c>
      <c r="J210" s="16"/>
      <c r="K210" s="16">
        <v>23.0</v>
      </c>
      <c r="L210" s="16"/>
      <c r="M210" s="16">
        <v>1.0</v>
      </c>
      <c r="N210" s="16">
        <v>6.0</v>
      </c>
      <c r="O210" s="16">
        <v>8.0</v>
      </c>
      <c r="P210" s="16">
        <v>4.0</v>
      </c>
      <c r="Q210" s="16">
        <v>25.0</v>
      </c>
      <c r="R210" s="16"/>
      <c r="S210" s="16"/>
      <c r="T210" s="16"/>
      <c r="U210" s="16">
        <v>6.0</v>
      </c>
      <c r="V210" s="16">
        <v>1.0</v>
      </c>
      <c r="W210" s="16"/>
      <c r="X210" s="16"/>
      <c r="Y210" s="16"/>
      <c r="Z210" s="16"/>
      <c r="AA210" s="16"/>
      <c r="AB210" s="16">
        <v>1.0</v>
      </c>
      <c r="AC210" s="16"/>
      <c r="AD210" s="16">
        <v>1.0</v>
      </c>
      <c r="AE210" s="16"/>
      <c r="AF210" s="16"/>
      <c r="AG210" s="16">
        <v>2.0</v>
      </c>
      <c r="AH210" s="16"/>
      <c r="AI210" s="16"/>
      <c r="AJ210" s="16">
        <f t="shared" si="19"/>
        <v>117</v>
      </c>
      <c r="AK210" s="17">
        <f t="shared" si="20"/>
        <v>0.325</v>
      </c>
      <c r="AL210" s="17">
        <f t="shared" si="23"/>
        <v>0.2</v>
      </c>
      <c r="AM210" s="17">
        <f t="shared" si="24"/>
        <v>0.3083333333</v>
      </c>
      <c r="AN210" s="17">
        <f t="shared" si="21"/>
        <v>0.05833333333</v>
      </c>
      <c r="AO210" s="17">
        <f t="shared" si="22"/>
        <v>0.025</v>
      </c>
    </row>
    <row r="211" ht="14.25" customHeight="1">
      <c r="A211" s="31">
        <v>45674.0</v>
      </c>
      <c r="B211" s="16" t="s">
        <v>42</v>
      </c>
      <c r="C211" s="33">
        <v>15.5</v>
      </c>
      <c r="D211" s="32">
        <v>6.0</v>
      </c>
      <c r="E211" s="32">
        <v>10.0</v>
      </c>
      <c r="F211" s="16">
        <v>27.0</v>
      </c>
      <c r="G211" s="16"/>
      <c r="H211" s="16">
        <v>21.0</v>
      </c>
      <c r="I211" s="16">
        <v>23.0</v>
      </c>
      <c r="J211" s="16">
        <v>2.0</v>
      </c>
      <c r="K211" s="16">
        <v>5.0</v>
      </c>
      <c r="L211" s="16"/>
      <c r="M211" s="16">
        <v>2.0</v>
      </c>
      <c r="N211" s="16"/>
      <c r="O211" s="16">
        <v>37.0</v>
      </c>
      <c r="P211" s="16"/>
      <c r="Q211" s="16">
        <v>12.0</v>
      </c>
      <c r="R211" s="16">
        <v>3.0</v>
      </c>
      <c r="S211" s="16"/>
      <c r="T211" s="16"/>
      <c r="U211" s="16">
        <v>7.0</v>
      </c>
      <c r="V211" s="16">
        <v>1.0</v>
      </c>
      <c r="W211" s="16"/>
      <c r="X211" s="16"/>
      <c r="Y211" s="16"/>
      <c r="Z211" s="16"/>
      <c r="AA211" s="16"/>
      <c r="AB211" s="16">
        <v>6.0</v>
      </c>
      <c r="AC211" s="16"/>
      <c r="AD211" s="16"/>
      <c r="AE211" s="16"/>
      <c r="AF211" s="16"/>
      <c r="AG211" s="16"/>
      <c r="AH211" s="16"/>
      <c r="AI211" s="16"/>
      <c r="AJ211" s="16">
        <f t="shared" si="19"/>
        <v>119</v>
      </c>
      <c r="AK211" s="17">
        <f t="shared" si="20"/>
        <v>0.3833333333</v>
      </c>
      <c r="AL211" s="17">
        <f t="shared" si="23"/>
        <v>0.05833333333</v>
      </c>
      <c r="AM211" s="17">
        <f t="shared" si="24"/>
        <v>0.4333333333</v>
      </c>
      <c r="AN211" s="17">
        <f t="shared" si="21"/>
        <v>0.06666666667</v>
      </c>
      <c r="AO211" s="17">
        <f t="shared" si="22"/>
        <v>0</v>
      </c>
    </row>
    <row r="212" ht="14.25" customHeight="1">
      <c r="A212" s="31">
        <v>45700.0</v>
      </c>
      <c r="B212" s="16" t="s">
        <v>43</v>
      </c>
      <c r="C212" s="33">
        <v>8.5</v>
      </c>
      <c r="D212" s="33">
        <v>8.4</v>
      </c>
      <c r="E212" s="33">
        <v>8.6</v>
      </c>
      <c r="F212" s="16">
        <v>28.0</v>
      </c>
      <c r="G212" s="16">
        <v>6.0</v>
      </c>
      <c r="H212" s="16">
        <v>22.0</v>
      </c>
      <c r="I212" s="16">
        <v>38.0</v>
      </c>
      <c r="J212" s="16">
        <v>6.0</v>
      </c>
      <c r="K212" s="16"/>
      <c r="L212" s="16">
        <v>1.0</v>
      </c>
      <c r="M212" s="16"/>
      <c r="N212" s="16">
        <v>2.0</v>
      </c>
      <c r="O212" s="16">
        <v>19.0</v>
      </c>
      <c r="P212" s="16"/>
      <c r="Q212" s="16"/>
      <c r="R212" s="16">
        <v>10.0</v>
      </c>
      <c r="S212" s="16">
        <v>3.0</v>
      </c>
      <c r="T212" s="16"/>
      <c r="U212" s="16">
        <v>5.0</v>
      </c>
      <c r="V212" s="16"/>
      <c r="W212" s="16">
        <v>2.0</v>
      </c>
      <c r="X212" s="16"/>
      <c r="Y212" s="16">
        <v>2.0</v>
      </c>
      <c r="Z212" s="16"/>
      <c r="AA212" s="16"/>
      <c r="AB212" s="16"/>
      <c r="AC212" s="16"/>
      <c r="AD212" s="16"/>
      <c r="AE212" s="16"/>
      <c r="AF212" s="16"/>
      <c r="AG212" s="16">
        <v>3.0</v>
      </c>
      <c r="AH212" s="16"/>
      <c r="AI212" s="16"/>
      <c r="AJ212" s="16">
        <f t="shared" si="19"/>
        <v>119</v>
      </c>
      <c r="AK212" s="17">
        <f t="shared" si="20"/>
        <v>0.6</v>
      </c>
      <c r="AL212" s="17">
        <f t="shared" si="23"/>
        <v>0.008333333333</v>
      </c>
      <c r="AM212" s="17">
        <f t="shared" si="24"/>
        <v>0.2666666667</v>
      </c>
      <c r="AN212" s="17">
        <f t="shared" si="21"/>
        <v>0.075</v>
      </c>
      <c r="AO212" s="17">
        <f t="shared" si="22"/>
        <v>0.025</v>
      </c>
    </row>
    <row r="213" ht="14.25" customHeight="1">
      <c r="A213" s="31">
        <v>45700.0</v>
      </c>
      <c r="B213" s="16" t="s">
        <v>44</v>
      </c>
      <c r="C213" s="33">
        <v>9.9</v>
      </c>
      <c r="D213" s="33">
        <v>11.6</v>
      </c>
      <c r="E213" s="33">
        <v>11.2</v>
      </c>
      <c r="F213" s="16">
        <v>28.0</v>
      </c>
      <c r="G213" s="16">
        <v>4.0</v>
      </c>
      <c r="H213" s="16">
        <v>70.0</v>
      </c>
      <c r="I213" s="16">
        <v>15.0</v>
      </c>
      <c r="J213" s="16">
        <v>3.0</v>
      </c>
      <c r="K213" s="16"/>
      <c r="L213" s="16"/>
      <c r="M213" s="16">
        <v>1.0</v>
      </c>
      <c r="N213" s="16">
        <v>7.0</v>
      </c>
      <c r="O213" s="16">
        <v>8.0</v>
      </c>
      <c r="P213" s="16"/>
      <c r="Q213" s="16">
        <v>2.0</v>
      </c>
      <c r="R213" s="16">
        <v>2.0</v>
      </c>
      <c r="S213" s="16">
        <v>3.0</v>
      </c>
      <c r="T213" s="16"/>
      <c r="U213" s="16">
        <v>4.0</v>
      </c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>
        <v>1.0</v>
      </c>
      <c r="AH213" s="16"/>
      <c r="AI213" s="16"/>
      <c r="AJ213" s="16">
        <f t="shared" si="19"/>
        <v>120</v>
      </c>
      <c r="AK213" s="17">
        <f t="shared" si="20"/>
        <v>0.7666666667</v>
      </c>
      <c r="AL213" s="17">
        <f t="shared" si="23"/>
        <v>0.008333333333</v>
      </c>
      <c r="AM213" s="17">
        <f t="shared" si="24"/>
        <v>0.125</v>
      </c>
      <c r="AN213" s="17">
        <f t="shared" si="21"/>
        <v>0.03333333333</v>
      </c>
      <c r="AO213" s="17">
        <f t="shared" si="22"/>
        <v>0.008333333333</v>
      </c>
    </row>
    <row r="214" ht="14.25" customHeight="1">
      <c r="A214" s="31">
        <v>45701.0</v>
      </c>
      <c r="B214" s="18" t="s">
        <v>41</v>
      </c>
      <c r="C214" s="33">
        <v>8.1</v>
      </c>
      <c r="D214" s="33">
        <v>10.4</v>
      </c>
      <c r="E214" s="33">
        <v>8.9</v>
      </c>
      <c r="F214" s="16">
        <v>28.0</v>
      </c>
      <c r="G214" s="16">
        <v>1.0</v>
      </c>
      <c r="H214" s="16">
        <v>21.0</v>
      </c>
      <c r="I214" s="16">
        <v>10.0</v>
      </c>
      <c r="J214" s="16">
        <v>2.0</v>
      </c>
      <c r="K214" s="16">
        <v>2.0</v>
      </c>
      <c r="L214" s="16"/>
      <c r="M214" s="16"/>
      <c r="N214" s="16">
        <v>1.0</v>
      </c>
      <c r="O214" s="16">
        <v>10.0</v>
      </c>
      <c r="P214" s="16">
        <v>5.0</v>
      </c>
      <c r="Q214" s="16">
        <v>2.0</v>
      </c>
      <c r="R214" s="16">
        <v>5.0</v>
      </c>
      <c r="S214" s="16">
        <v>1.0</v>
      </c>
      <c r="T214" s="16"/>
      <c r="U214" s="16">
        <v>5.0</v>
      </c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>
        <v>54.0</v>
      </c>
      <c r="AH214" s="16"/>
      <c r="AI214" s="16"/>
      <c r="AJ214" s="16">
        <f t="shared" si="19"/>
        <v>119</v>
      </c>
      <c r="AK214" s="17">
        <f t="shared" si="20"/>
        <v>0.2833333333</v>
      </c>
      <c r="AL214" s="17">
        <f t="shared" si="23"/>
        <v>0.01666666667</v>
      </c>
      <c r="AM214" s="17">
        <f t="shared" si="24"/>
        <v>0.1916666667</v>
      </c>
      <c r="AN214" s="17">
        <f t="shared" si="21"/>
        <v>0.04166666667</v>
      </c>
      <c r="AO214" s="17">
        <f t="shared" si="22"/>
        <v>0.45</v>
      </c>
    </row>
    <row r="215" ht="14.25" customHeight="1">
      <c r="A215" s="31">
        <v>45701.0</v>
      </c>
      <c r="B215" s="16" t="s">
        <v>45</v>
      </c>
      <c r="C215" s="33">
        <v>10.7</v>
      </c>
      <c r="D215" s="33">
        <v>11.7</v>
      </c>
      <c r="E215" s="33">
        <v>12.3</v>
      </c>
      <c r="F215" s="16">
        <v>28.0</v>
      </c>
      <c r="G215" s="16">
        <v>2.0</v>
      </c>
      <c r="H215" s="16">
        <v>5.0</v>
      </c>
      <c r="I215" s="16">
        <v>11.0</v>
      </c>
      <c r="J215" s="16">
        <v>2.0</v>
      </c>
      <c r="K215" s="16">
        <v>5.0</v>
      </c>
      <c r="L215" s="16">
        <v>1.0</v>
      </c>
      <c r="M215" s="16">
        <v>5.0</v>
      </c>
      <c r="N215" s="16">
        <v>3.0</v>
      </c>
      <c r="O215" s="16">
        <v>29.0</v>
      </c>
      <c r="P215" s="16"/>
      <c r="Q215" s="16">
        <v>3.0</v>
      </c>
      <c r="R215" s="16">
        <v>9.0</v>
      </c>
      <c r="S215" s="16">
        <v>6.0</v>
      </c>
      <c r="T215" s="16"/>
      <c r="U215" s="16">
        <v>6.0</v>
      </c>
      <c r="V215" s="16"/>
      <c r="W215" s="16"/>
      <c r="X215" s="16"/>
      <c r="Y215" s="16"/>
      <c r="Z215" s="16"/>
      <c r="AA215" s="16"/>
      <c r="AB215" s="16">
        <v>1.0</v>
      </c>
      <c r="AC215" s="16"/>
      <c r="AD215" s="16"/>
      <c r="AE215" s="16"/>
      <c r="AF215" s="16"/>
      <c r="AG215" s="16">
        <v>32.0</v>
      </c>
      <c r="AH215" s="16"/>
      <c r="AI215" s="16"/>
      <c r="AJ215" s="16">
        <f t="shared" si="19"/>
        <v>120</v>
      </c>
      <c r="AK215" s="17">
        <f t="shared" si="20"/>
        <v>0.1666666667</v>
      </c>
      <c r="AL215" s="17">
        <f t="shared" si="23"/>
        <v>0.09166666667</v>
      </c>
      <c r="AM215" s="17">
        <f t="shared" si="24"/>
        <v>0.3916666667</v>
      </c>
      <c r="AN215" s="17">
        <f t="shared" si="21"/>
        <v>0.05</v>
      </c>
      <c r="AO215" s="17">
        <f t="shared" si="22"/>
        <v>0.2666666667</v>
      </c>
    </row>
    <row r="216" ht="14.25" customHeight="1">
      <c r="A216" s="31">
        <v>45702.0</v>
      </c>
      <c r="B216" s="16" t="s">
        <v>42</v>
      </c>
      <c r="C216" s="33">
        <v>12.5</v>
      </c>
      <c r="D216" s="33">
        <v>10.4</v>
      </c>
      <c r="E216" s="33">
        <v>10.0</v>
      </c>
      <c r="F216" s="16">
        <v>28.0</v>
      </c>
      <c r="G216" s="16">
        <v>11.0</v>
      </c>
      <c r="H216" s="16">
        <v>22.0</v>
      </c>
      <c r="I216" s="16">
        <v>17.0</v>
      </c>
      <c r="J216" s="16">
        <v>11.0</v>
      </c>
      <c r="K216" s="16">
        <v>9.0</v>
      </c>
      <c r="L216" s="16"/>
      <c r="M216" s="16">
        <v>6.0</v>
      </c>
      <c r="N216" s="16">
        <v>1.0</v>
      </c>
      <c r="O216" s="16">
        <v>23.0</v>
      </c>
      <c r="P216" s="16"/>
      <c r="Q216" s="16">
        <v>3.0</v>
      </c>
      <c r="R216" s="16">
        <v>6.0</v>
      </c>
      <c r="S216" s="16">
        <v>2.0</v>
      </c>
      <c r="T216" s="16"/>
      <c r="U216" s="16">
        <v>6.0</v>
      </c>
      <c r="V216" s="16"/>
      <c r="W216" s="16"/>
      <c r="X216" s="16"/>
      <c r="Y216" s="16">
        <v>1.0</v>
      </c>
      <c r="Z216" s="16"/>
      <c r="AA216" s="16"/>
      <c r="AB216" s="16"/>
      <c r="AC216" s="16"/>
      <c r="AD216" s="16"/>
      <c r="AE216" s="16"/>
      <c r="AF216" s="16"/>
      <c r="AG216" s="16">
        <v>2.0</v>
      </c>
      <c r="AH216" s="16"/>
      <c r="AI216" s="16"/>
      <c r="AJ216" s="16">
        <f t="shared" si="19"/>
        <v>120</v>
      </c>
      <c r="AK216" s="17">
        <f t="shared" si="20"/>
        <v>0.5083333333</v>
      </c>
      <c r="AL216" s="17">
        <f t="shared" si="23"/>
        <v>0.125</v>
      </c>
      <c r="AM216" s="17">
        <f t="shared" si="24"/>
        <v>0.2833333333</v>
      </c>
      <c r="AN216" s="17">
        <f t="shared" si="21"/>
        <v>0.05833333333</v>
      </c>
      <c r="AO216" s="17">
        <f t="shared" si="22"/>
        <v>0.01666666667</v>
      </c>
    </row>
    <row r="217" ht="14.25" customHeight="1">
      <c r="A217" s="31">
        <v>45702.0</v>
      </c>
      <c r="B217" s="16" t="s">
        <v>43</v>
      </c>
      <c r="C217" s="33">
        <v>14.5</v>
      </c>
      <c r="D217" s="33">
        <v>7.9</v>
      </c>
      <c r="E217" s="33">
        <v>7.9</v>
      </c>
      <c r="F217" s="16">
        <v>28.0</v>
      </c>
      <c r="G217" s="16">
        <v>17.0</v>
      </c>
      <c r="H217" s="16">
        <v>4.0</v>
      </c>
      <c r="I217" s="20">
        <v>19.0</v>
      </c>
      <c r="J217" s="16">
        <v>22.0</v>
      </c>
      <c r="K217" s="16">
        <v>7.0</v>
      </c>
      <c r="L217" s="16"/>
      <c r="M217" s="16">
        <v>1.0</v>
      </c>
      <c r="N217" s="16">
        <v>2.0</v>
      </c>
      <c r="O217" s="16">
        <v>10.0</v>
      </c>
      <c r="P217" s="16">
        <v>1.0</v>
      </c>
      <c r="Q217" s="16">
        <v>4.0</v>
      </c>
      <c r="R217" s="16">
        <v>17.0</v>
      </c>
      <c r="S217" s="16"/>
      <c r="T217" s="16">
        <v>1.0</v>
      </c>
      <c r="U217" s="16">
        <v>15.0</v>
      </c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>
        <f t="shared" si="19"/>
        <v>120</v>
      </c>
      <c r="AK217" s="17">
        <f t="shared" si="20"/>
        <v>0.5166666667</v>
      </c>
      <c r="AL217" s="17">
        <f t="shared" si="23"/>
        <v>0.06666666667</v>
      </c>
      <c r="AM217" s="17">
        <f t="shared" si="24"/>
        <v>0.2666666667</v>
      </c>
      <c r="AN217" s="17">
        <f t="shared" si="21"/>
        <v>0.125</v>
      </c>
      <c r="AO217" s="17">
        <f t="shared" si="22"/>
        <v>0</v>
      </c>
    </row>
    <row r="218" ht="14.25" customHeight="1">
      <c r="A218" s="31">
        <v>45714.0</v>
      </c>
      <c r="B218" s="16" t="s">
        <v>42</v>
      </c>
      <c r="C218" s="32">
        <v>13.0</v>
      </c>
      <c r="D218" s="33">
        <v>8.8</v>
      </c>
      <c r="E218" s="33">
        <v>10.7</v>
      </c>
      <c r="F218" s="16">
        <v>28.0</v>
      </c>
      <c r="G218" s="16">
        <v>1.0</v>
      </c>
      <c r="H218" s="16">
        <v>23.0</v>
      </c>
      <c r="I218" s="16">
        <v>23.0</v>
      </c>
      <c r="J218" s="16"/>
      <c r="K218" s="16">
        <v>17.0</v>
      </c>
      <c r="L218" s="16"/>
      <c r="M218" s="16"/>
      <c r="N218" s="16"/>
      <c r="O218" s="16">
        <v>23.0</v>
      </c>
      <c r="P218" s="16">
        <v>1.0</v>
      </c>
      <c r="Q218" s="16">
        <v>15.0</v>
      </c>
      <c r="R218" s="16">
        <v>9.0</v>
      </c>
      <c r="S218" s="16"/>
      <c r="T218" s="16">
        <v>3.0</v>
      </c>
      <c r="U218" s="16">
        <v>1.0</v>
      </c>
      <c r="V218" s="16"/>
      <c r="W218" s="16">
        <v>1.0</v>
      </c>
      <c r="X218" s="16"/>
      <c r="Y218" s="16"/>
      <c r="Z218" s="16"/>
      <c r="AA218" s="16">
        <v>1.0</v>
      </c>
      <c r="AB218" s="16">
        <v>2.0</v>
      </c>
      <c r="AC218" s="16"/>
      <c r="AD218" s="16"/>
      <c r="AE218" s="16"/>
      <c r="AF218" s="16"/>
      <c r="AG218" s="16"/>
      <c r="AH218" s="16"/>
      <c r="AI218" s="16"/>
      <c r="AJ218" s="16">
        <f t="shared" si="19"/>
        <v>120</v>
      </c>
      <c r="AK218" s="17">
        <f t="shared" si="20"/>
        <v>0.3916666667</v>
      </c>
      <c r="AL218" s="17">
        <f t="shared" si="23"/>
        <v>0.1416666667</v>
      </c>
      <c r="AM218" s="17">
        <f t="shared" si="24"/>
        <v>0.4</v>
      </c>
      <c r="AN218" s="17">
        <f t="shared" si="21"/>
        <v>0.025</v>
      </c>
      <c r="AO218" s="17">
        <f t="shared" si="22"/>
        <v>0</v>
      </c>
    </row>
    <row r="219" ht="14.25" customHeight="1">
      <c r="A219" s="31">
        <v>45714.0</v>
      </c>
      <c r="B219" s="16" t="s">
        <v>44</v>
      </c>
      <c r="C219" s="33">
        <v>14.2</v>
      </c>
      <c r="D219" s="32">
        <v>11.0</v>
      </c>
      <c r="E219" s="33">
        <v>9.6</v>
      </c>
      <c r="F219" s="16">
        <v>28.0</v>
      </c>
      <c r="G219" s="16"/>
      <c r="H219" s="16">
        <v>84.0</v>
      </c>
      <c r="I219" s="16">
        <v>12.0</v>
      </c>
      <c r="J219" s="16"/>
      <c r="K219" s="16">
        <v>1.0</v>
      </c>
      <c r="L219" s="16"/>
      <c r="M219" s="16"/>
      <c r="N219" s="16"/>
      <c r="O219" s="16">
        <v>11.0</v>
      </c>
      <c r="P219" s="16">
        <v>1.0</v>
      </c>
      <c r="Q219" s="16">
        <v>2.0</v>
      </c>
      <c r="R219" s="16">
        <v>3.0</v>
      </c>
      <c r="S219" s="16"/>
      <c r="T219" s="16"/>
      <c r="U219" s="16"/>
      <c r="V219" s="16"/>
      <c r="W219" s="16"/>
      <c r="X219" s="16"/>
      <c r="Y219" s="16"/>
      <c r="Z219" s="16"/>
      <c r="AA219" s="16"/>
      <c r="AB219" s="16">
        <v>6.0</v>
      </c>
      <c r="AC219" s="16"/>
      <c r="AD219" s="16"/>
      <c r="AE219" s="16"/>
      <c r="AF219" s="16"/>
      <c r="AG219" s="16"/>
      <c r="AH219" s="16"/>
      <c r="AI219" s="16"/>
      <c r="AJ219" s="16">
        <f t="shared" si="19"/>
        <v>120</v>
      </c>
      <c r="AK219" s="17">
        <f t="shared" si="20"/>
        <v>0.8</v>
      </c>
      <c r="AL219" s="17">
        <f t="shared" si="23"/>
        <v>0.008333333333</v>
      </c>
      <c r="AM219" s="17">
        <f t="shared" si="24"/>
        <v>0.1416666667</v>
      </c>
      <c r="AN219" s="17">
        <f t="shared" si="21"/>
        <v>0</v>
      </c>
      <c r="AO219" s="17">
        <f t="shared" si="22"/>
        <v>0</v>
      </c>
    </row>
    <row r="220" ht="14.25" customHeight="1">
      <c r="A220" s="31">
        <v>45715.0</v>
      </c>
      <c r="B220" s="16" t="s">
        <v>42</v>
      </c>
      <c r="C220" s="32">
        <v>18.0</v>
      </c>
      <c r="D220" s="33">
        <v>11.3</v>
      </c>
      <c r="E220" s="33">
        <v>11.2</v>
      </c>
      <c r="F220" s="16">
        <v>29.0</v>
      </c>
      <c r="G220" s="16">
        <v>41.0</v>
      </c>
      <c r="H220" s="20"/>
      <c r="I220" s="16">
        <v>25.0</v>
      </c>
      <c r="J220" s="16">
        <v>16.0</v>
      </c>
      <c r="K220" s="16">
        <v>2.0</v>
      </c>
      <c r="L220" s="16"/>
      <c r="M220" s="16"/>
      <c r="N220" s="16">
        <v>1.0</v>
      </c>
      <c r="O220" s="16">
        <v>16.0</v>
      </c>
      <c r="P220" s="16">
        <v>1.0</v>
      </c>
      <c r="Q220" s="16">
        <v>3.0</v>
      </c>
      <c r="R220" s="16"/>
      <c r="S220" s="16"/>
      <c r="T220" s="16"/>
      <c r="U220" s="16">
        <v>13.0</v>
      </c>
      <c r="V220" s="16"/>
      <c r="W220" s="16"/>
      <c r="X220" s="16"/>
      <c r="Y220" s="16">
        <v>2.0</v>
      </c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>
        <f t="shared" si="19"/>
        <v>120</v>
      </c>
      <c r="AK220" s="17">
        <f t="shared" si="20"/>
        <v>0.6833333333</v>
      </c>
      <c r="AL220" s="17">
        <f t="shared" si="23"/>
        <v>0.01666666667</v>
      </c>
      <c r="AM220" s="17">
        <f t="shared" si="24"/>
        <v>0.1666666667</v>
      </c>
      <c r="AN220" s="17">
        <f t="shared" si="21"/>
        <v>0.125</v>
      </c>
      <c r="AO220" s="17">
        <f t="shared" si="22"/>
        <v>0</v>
      </c>
    </row>
    <row r="221" ht="14.25" customHeight="1">
      <c r="A221" s="31">
        <v>45715.0</v>
      </c>
      <c r="B221" s="16" t="s">
        <v>42</v>
      </c>
      <c r="C221" s="33">
        <v>9.4</v>
      </c>
      <c r="D221" s="33">
        <v>10.5</v>
      </c>
      <c r="E221" s="33">
        <v>8.9</v>
      </c>
      <c r="F221" s="16">
        <v>29.0</v>
      </c>
      <c r="G221" s="16">
        <v>48.0</v>
      </c>
      <c r="H221" s="16">
        <v>2.0</v>
      </c>
      <c r="I221" s="16">
        <v>14.0</v>
      </c>
      <c r="J221" s="16">
        <v>1.0</v>
      </c>
      <c r="K221" s="16">
        <v>14.0</v>
      </c>
      <c r="L221" s="16"/>
      <c r="M221" s="16"/>
      <c r="N221" s="16"/>
      <c r="O221" s="16">
        <v>10.0</v>
      </c>
      <c r="P221" s="16"/>
      <c r="Q221" s="16">
        <v>9.0</v>
      </c>
      <c r="R221" s="16">
        <v>9.0</v>
      </c>
      <c r="S221" s="16">
        <v>1.0</v>
      </c>
      <c r="T221" s="16">
        <v>3.0</v>
      </c>
      <c r="U221" s="16">
        <v>8.0</v>
      </c>
      <c r="V221" s="16">
        <v>1.0</v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>
        <f t="shared" si="19"/>
        <v>120</v>
      </c>
      <c r="AK221" s="17">
        <f t="shared" si="20"/>
        <v>0.5416666667</v>
      </c>
      <c r="AL221" s="17">
        <f t="shared" si="23"/>
        <v>0.1166666667</v>
      </c>
      <c r="AM221" s="17">
        <f t="shared" si="24"/>
        <v>0.2416666667</v>
      </c>
      <c r="AN221" s="17">
        <f t="shared" si="21"/>
        <v>0.075</v>
      </c>
      <c r="AO221" s="17">
        <f t="shared" si="22"/>
        <v>0</v>
      </c>
    </row>
    <row r="222" ht="14.25" customHeight="1">
      <c r="A222" s="31">
        <v>45715.0</v>
      </c>
      <c r="B222" s="16" t="s">
        <v>43</v>
      </c>
      <c r="C222" s="32">
        <v>13.0</v>
      </c>
      <c r="D222" s="33">
        <v>8.7</v>
      </c>
      <c r="E222" s="33">
        <v>5.7</v>
      </c>
      <c r="F222" s="16">
        <v>30.0</v>
      </c>
      <c r="G222" s="16"/>
      <c r="H222" s="16"/>
      <c r="I222" s="16">
        <v>72.0</v>
      </c>
      <c r="J222" s="16">
        <v>7.0</v>
      </c>
      <c r="K222" s="16">
        <v>2.0</v>
      </c>
      <c r="L222" s="16"/>
      <c r="M222" s="16"/>
      <c r="N222" s="16"/>
      <c r="O222" s="16">
        <v>17.0</v>
      </c>
      <c r="P222" s="16"/>
      <c r="Q222" s="16">
        <v>5.0</v>
      </c>
      <c r="R222" s="16"/>
      <c r="S222" s="16">
        <v>5.0</v>
      </c>
      <c r="T222" s="16">
        <v>1.0</v>
      </c>
      <c r="U222" s="16">
        <v>11.0</v>
      </c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>
        <f t="shared" si="19"/>
        <v>120</v>
      </c>
      <c r="AK222" s="17">
        <f t="shared" si="20"/>
        <v>0.6583333333</v>
      </c>
      <c r="AL222" s="17">
        <f t="shared" si="23"/>
        <v>0.01666666667</v>
      </c>
      <c r="AM222" s="17">
        <f t="shared" si="24"/>
        <v>0.225</v>
      </c>
      <c r="AN222" s="17">
        <f t="shared" si="21"/>
        <v>0.09166666667</v>
      </c>
      <c r="AO222" s="17">
        <f t="shared" si="22"/>
        <v>0</v>
      </c>
    </row>
    <row r="223" ht="14.25" customHeight="1">
      <c r="A223" s="31">
        <v>45715.0</v>
      </c>
      <c r="B223" s="16" t="s">
        <v>43</v>
      </c>
      <c r="C223" s="33">
        <v>10.9</v>
      </c>
      <c r="D223" s="33">
        <v>7.5</v>
      </c>
      <c r="E223" s="33">
        <v>5.9</v>
      </c>
      <c r="F223" s="16">
        <v>29.0</v>
      </c>
      <c r="G223" s="16">
        <v>25.0</v>
      </c>
      <c r="H223" s="16"/>
      <c r="I223" s="16">
        <v>38.0</v>
      </c>
      <c r="J223" s="16"/>
      <c r="K223" s="16">
        <v>26.0</v>
      </c>
      <c r="L223" s="16"/>
      <c r="M223" s="16"/>
      <c r="N223" s="16"/>
      <c r="O223" s="16">
        <v>13.0</v>
      </c>
      <c r="P223" s="16"/>
      <c r="Q223" s="16">
        <v>12.0</v>
      </c>
      <c r="R223" s="16">
        <v>2.0</v>
      </c>
      <c r="S223" s="16">
        <v>3.0</v>
      </c>
      <c r="T223" s="16"/>
      <c r="U223" s="16"/>
      <c r="V223" s="16"/>
      <c r="W223" s="16"/>
      <c r="X223" s="16"/>
      <c r="Y223" s="16"/>
      <c r="Z223" s="16"/>
      <c r="AA223" s="16"/>
      <c r="AB223" s="16">
        <v>1.0</v>
      </c>
      <c r="AC223" s="16"/>
      <c r="AD223" s="16"/>
      <c r="AE223" s="16"/>
      <c r="AF223" s="16"/>
      <c r="AG223" s="16"/>
      <c r="AH223" s="16"/>
      <c r="AI223" s="16"/>
      <c r="AJ223" s="16">
        <f t="shared" si="19"/>
        <v>120</v>
      </c>
      <c r="AK223" s="17">
        <f t="shared" si="20"/>
        <v>0.525</v>
      </c>
      <c r="AL223" s="17">
        <f t="shared" si="23"/>
        <v>0.2166666667</v>
      </c>
      <c r="AM223" s="17">
        <f t="shared" si="24"/>
        <v>0.25</v>
      </c>
      <c r="AN223" s="17">
        <f t="shared" si="21"/>
        <v>0</v>
      </c>
      <c r="AO223" s="17">
        <f t="shared" si="22"/>
        <v>0</v>
      </c>
    </row>
    <row r="224" ht="14.25" customHeight="1">
      <c r="A224" s="31">
        <v>45763.0</v>
      </c>
      <c r="B224" s="16" t="s">
        <v>42</v>
      </c>
      <c r="C224" s="33">
        <v>14.0</v>
      </c>
      <c r="D224" s="33">
        <v>5.8</v>
      </c>
      <c r="E224" s="33">
        <v>9.5</v>
      </c>
      <c r="F224" s="16">
        <v>28.0</v>
      </c>
      <c r="G224" s="16"/>
      <c r="H224" s="16">
        <v>43.0</v>
      </c>
      <c r="I224" s="16">
        <v>19.0</v>
      </c>
      <c r="J224" s="16"/>
      <c r="K224" s="16">
        <v>20.0</v>
      </c>
      <c r="L224" s="16"/>
      <c r="M224" s="16">
        <v>2.0</v>
      </c>
      <c r="N224" s="16"/>
      <c r="O224" s="16">
        <v>13.0</v>
      </c>
      <c r="P224" s="16"/>
      <c r="Q224" s="16">
        <v>8.0</v>
      </c>
      <c r="R224" s="16">
        <v>3.0</v>
      </c>
      <c r="S224" s="16"/>
      <c r="T224" s="16"/>
      <c r="U224" s="16">
        <v>1.0</v>
      </c>
      <c r="V224" s="16"/>
      <c r="W224" s="16"/>
      <c r="X224" s="16"/>
      <c r="Y224" s="16">
        <v>6.0</v>
      </c>
      <c r="Z224" s="16"/>
      <c r="AA224" s="16"/>
      <c r="AB224" s="16">
        <v>3.0</v>
      </c>
      <c r="AC224" s="16"/>
      <c r="AD224" s="16"/>
      <c r="AE224" s="16"/>
      <c r="AF224" s="16">
        <v>1.0</v>
      </c>
      <c r="AG224" s="16"/>
      <c r="AH224" s="16">
        <v>1.0</v>
      </c>
      <c r="AI224" s="16"/>
      <c r="AJ224" s="16">
        <f t="shared" si="19"/>
        <v>120</v>
      </c>
      <c r="AK224" s="17">
        <f t="shared" si="20"/>
        <v>0.5166666667</v>
      </c>
      <c r="AL224" s="17">
        <f t="shared" si="23"/>
        <v>0.1833333333</v>
      </c>
      <c r="AM224" s="17">
        <f t="shared" si="24"/>
        <v>0.2</v>
      </c>
      <c r="AN224" s="17">
        <f t="shared" si="21"/>
        <v>0.05833333333</v>
      </c>
      <c r="AO224" s="17">
        <f t="shared" si="22"/>
        <v>0.01666666667</v>
      </c>
    </row>
    <row r="225" ht="14.25" customHeight="1">
      <c r="A225" s="31">
        <v>45763.0</v>
      </c>
      <c r="B225" s="16" t="s">
        <v>45</v>
      </c>
      <c r="C225" s="33">
        <v>15.8</v>
      </c>
      <c r="D225" s="33">
        <v>10.2</v>
      </c>
      <c r="E225" s="33">
        <v>9.8</v>
      </c>
      <c r="F225" s="16">
        <v>28.0</v>
      </c>
      <c r="G225" s="16"/>
      <c r="H225" s="16">
        <v>64.0</v>
      </c>
      <c r="I225" s="16">
        <v>13.0</v>
      </c>
      <c r="J225" s="16"/>
      <c r="K225" s="16">
        <v>10.0</v>
      </c>
      <c r="L225" s="16"/>
      <c r="M225" s="16">
        <v>1.0</v>
      </c>
      <c r="N225" s="16"/>
      <c r="O225" s="16">
        <v>7.0</v>
      </c>
      <c r="P225" s="16">
        <v>1.0</v>
      </c>
      <c r="Q225" s="16">
        <v>5.0</v>
      </c>
      <c r="R225" s="16"/>
      <c r="S225" s="16"/>
      <c r="T225" s="16">
        <v>2.0</v>
      </c>
      <c r="U225" s="16">
        <v>1.0</v>
      </c>
      <c r="V225" s="16"/>
      <c r="W225" s="16">
        <v>3.0</v>
      </c>
      <c r="X225" s="16">
        <v>3.0</v>
      </c>
      <c r="Y225" s="16">
        <v>1.0</v>
      </c>
      <c r="Z225" s="16"/>
      <c r="AA225" s="16"/>
      <c r="AB225" s="16">
        <v>1.0</v>
      </c>
      <c r="AC225" s="16"/>
      <c r="AD225" s="16"/>
      <c r="AE225" s="16"/>
      <c r="AF225" s="16"/>
      <c r="AG225" s="16">
        <v>1.0</v>
      </c>
      <c r="AH225" s="16">
        <v>2.0</v>
      </c>
      <c r="AI225" s="16"/>
      <c r="AJ225" s="16">
        <f t="shared" si="19"/>
        <v>115</v>
      </c>
      <c r="AK225" s="17">
        <f t="shared" si="20"/>
        <v>0.6416666667</v>
      </c>
      <c r="AL225" s="17">
        <f t="shared" si="23"/>
        <v>0.09166666667</v>
      </c>
      <c r="AM225" s="17">
        <f t="shared" si="24"/>
        <v>0.1083333333</v>
      </c>
      <c r="AN225" s="17">
        <f t="shared" si="21"/>
        <v>0.06666666667</v>
      </c>
      <c r="AO225" s="17">
        <f t="shared" si="22"/>
        <v>0.025</v>
      </c>
    </row>
    <row r="226" ht="14.25" customHeight="1">
      <c r="A226" s="31">
        <v>45764.0</v>
      </c>
      <c r="B226" s="16" t="s">
        <v>42</v>
      </c>
      <c r="C226" s="32">
        <v>16.6</v>
      </c>
      <c r="D226" s="32">
        <v>6.0</v>
      </c>
      <c r="E226" s="32">
        <v>5.3</v>
      </c>
      <c r="F226" s="16">
        <v>27.0</v>
      </c>
      <c r="G226" s="16">
        <v>11.0</v>
      </c>
      <c r="H226" s="16">
        <v>38.0</v>
      </c>
      <c r="I226" s="16">
        <v>18.0</v>
      </c>
      <c r="J226" s="16"/>
      <c r="K226" s="16">
        <v>11.0</v>
      </c>
      <c r="L226" s="16"/>
      <c r="M226" s="16"/>
      <c r="N226" s="16"/>
      <c r="O226" s="16">
        <v>14.0</v>
      </c>
      <c r="P226" s="16">
        <v>4.0</v>
      </c>
      <c r="Q226" s="16">
        <v>7.0</v>
      </c>
      <c r="R226" s="16">
        <v>1.0</v>
      </c>
      <c r="S226" s="16"/>
      <c r="T226" s="16"/>
      <c r="U226" s="16">
        <v>1.0</v>
      </c>
      <c r="V226" s="16"/>
      <c r="W226" s="16"/>
      <c r="X226" s="16"/>
      <c r="Y226" s="16"/>
      <c r="Z226" s="16">
        <v>1.0</v>
      </c>
      <c r="AA226" s="16"/>
      <c r="AB226" s="16">
        <v>13.0</v>
      </c>
      <c r="AC226" s="16"/>
      <c r="AD226" s="16"/>
      <c r="AE226" s="16"/>
      <c r="AF226" s="16"/>
      <c r="AG226" s="16"/>
      <c r="AH226" s="16"/>
      <c r="AI226" s="16"/>
      <c r="AJ226" s="16">
        <f t="shared" si="19"/>
        <v>119</v>
      </c>
      <c r="AK226" s="17">
        <f t="shared" si="20"/>
        <v>0.5583333333</v>
      </c>
      <c r="AL226" s="17">
        <f t="shared" si="23"/>
        <v>0.09166666667</v>
      </c>
      <c r="AM226" s="17">
        <f t="shared" si="24"/>
        <v>0.2166666667</v>
      </c>
      <c r="AN226" s="17">
        <f t="shared" si="21"/>
        <v>0.01666666667</v>
      </c>
      <c r="AO226" s="17">
        <f t="shared" si="22"/>
        <v>0</v>
      </c>
    </row>
    <row r="227" ht="14.25" customHeight="1">
      <c r="A227" s="31">
        <v>45764.0</v>
      </c>
      <c r="B227" s="16" t="s">
        <v>43</v>
      </c>
      <c r="C227" s="33">
        <v>14.6</v>
      </c>
      <c r="D227" s="33">
        <v>7.7</v>
      </c>
      <c r="E227" s="33">
        <v>8.4</v>
      </c>
      <c r="F227" s="16">
        <v>28.0</v>
      </c>
      <c r="G227" s="16">
        <v>36.0</v>
      </c>
      <c r="H227" s="16"/>
      <c r="I227" s="16">
        <v>26.0</v>
      </c>
      <c r="J227" s="16"/>
      <c r="K227" s="16">
        <v>19.0</v>
      </c>
      <c r="L227" s="16"/>
      <c r="M227" s="16">
        <v>5.0</v>
      </c>
      <c r="N227" s="16"/>
      <c r="O227" s="16">
        <v>10.0</v>
      </c>
      <c r="P227" s="16"/>
      <c r="Q227" s="16">
        <v>6.0</v>
      </c>
      <c r="R227" s="16">
        <v>4.0</v>
      </c>
      <c r="S227" s="16"/>
      <c r="T227" s="16">
        <v>1.0</v>
      </c>
      <c r="U227" s="16">
        <v>13.0</v>
      </c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>
        <f t="shared" si="19"/>
        <v>120</v>
      </c>
      <c r="AK227" s="17">
        <f t="shared" si="20"/>
        <v>0.5166666667</v>
      </c>
      <c r="AL227" s="17">
        <f t="shared" si="23"/>
        <v>0.2</v>
      </c>
      <c r="AM227" s="17">
        <f t="shared" si="24"/>
        <v>0.1666666667</v>
      </c>
      <c r="AN227" s="17">
        <f t="shared" si="21"/>
        <v>0.1083333333</v>
      </c>
      <c r="AO227" s="17">
        <f t="shared" si="22"/>
        <v>0</v>
      </c>
    </row>
    <row r="228" ht="14.25" customHeight="1">
      <c r="A228" s="31">
        <v>45765.0</v>
      </c>
      <c r="B228" s="16" t="s">
        <v>45</v>
      </c>
      <c r="C228" s="33">
        <v>16.5</v>
      </c>
      <c r="D228" s="33">
        <v>11.5</v>
      </c>
      <c r="E228" s="33">
        <v>10.5</v>
      </c>
      <c r="F228" s="16">
        <v>27.0</v>
      </c>
      <c r="G228" s="16">
        <v>3.0</v>
      </c>
      <c r="H228" s="16">
        <v>16.0</v>
      </c>
      <c r="I228" s="16">
        <v>8.0</v>
      </c>
      <c r="J228" s="16"/>
      <c r="K228" s="16">
        <v>22.0</v>
      </c>
      <c r="L228" s="16"/>
      <c r="M228" s="16">
        <v>9.0</v>
      </c>
      <c r="N228" s="16">
        <v>12.0</v>
      </c>
      <c r="O228" s="16">
        <v>10.0</v>
      </c>
      <c r="P228" s="16">
        <v>2.0</v>
      </c>
      <c r="Q228" s="16">
        <v>9.0</v>
      </c>
      <c r="R228" s="16">
        <v>4.0</v>
      </c>
      <c r="S228" s="16">
        <v>1.0</v>
      </c>
      <c r="T228" s="16">
        <v>2.0</v>
      </c>
      <c r="U228" s="16">
        <v>10.0</v>
      </c>
      <c r="V228" s="16">
        <v>3.0</v>
      </c>
      <c r="W228" s="16"/>
      <c r="X228" s="16"/>
      <c r="Y228" s="16"/>
      <c r="Z228" s="16"/>
      <c r="AA228" s="16"/>
      <c r="AB228" s="16"/>
      <c r="AC228" s="16">
        <v>4.0</v>
      </c>
      <c r="AD228" s="16"/>
      <c r="AE228" s="16"/>
      <c r="AF228" s="16"/>
      <c r="AG228" s="16"/>
      <c r="AH228" s="16">
        <v>3.0</v>
      </c>
      <c r="AI228" s="16">
        <v>2.0</v>
      </c>
      <c r="AJ228" s="16">
        <f t="shared" si="19"/>
        <v>120</v>
      </c>
      <c r="AK228" s="17">
        <f t="shared" si="20"/>
        <v>0.225</v>
      </c>
      <c r="AL228" s="17">
        <f t="shared" si="23"/>
        <v>0.2583333333</v>
      </c>
      <c r="AM228" s="17">
        <f t="shared" si="24"/>
        <v>0.2166666667</v>
      </c>
      <c r="AN228" s="17">
        <f t="shared" si="21"/>
        <v>0.1083333333</v>
      </c>
      <c r="AO228" s="17">
        <f t="shared" si="22"/>
        <v>0.04166666667</v>
      </c>
    </row>
    <row r="229" ht="14.25" customHeight="1">
      <c r="A229" s="31">
        <v>45765.0</v>
      </c>
      <c r="B229" s="16" t="s">
        <v>44</v>
      </c>
      <c r="C229" s="32">
        <v>17.0</v>
      </c>
      <c r="D229" s="32">
        <v>11.6</v>
      </c>
      <c r="E229" s="32">
        <v>12.9</v>
      </c>
      <c r="F229" s="16">
        <v>27.0</v>
      </c>
      <c r="G229" s="16">
        <v>3.0</v>
      </c>
      <c r="H229" s="16">
        <v>27.0</v>
      </c>
      <c r="I229" s="16">
        <v>20.0</v>
      </c>
      <c r="J229" s="16"/>
      <c r="K229" s="16">
        <v>15.0</v>
      </c>
      <c r="L229" s="16"/>
      <c r="M229" s="16">
        <v>10.0</v>
      </c>
      <c r="N229" s="16">
        <v>6.0</v>
      </c>
      <c r="O229" s="16">
        <v>9.0</v>
      </c>
      <c r="P229" s="16">
        <v>1.0</v>
      </c>
      <c r="Q229" s="16">
        <v>1.0</v>
      </c>
      <c r="R229" s="16">
        <v>1.0</v>
      </c>
      <c r="S229" s="16">
        <v>1.0</v>
      </c>
      <c r="T229" s="16">
        <v>7.0</v>
      </c>
      <c r="U229" s="16">
        <v>10.0</v>
      </c>
      <c r="V229" s="16"/>
      <c r="W229" s="16"/>
      <c r="X229" s="16"/>
      <c r="Y229" s="16">
        <v>3.0</v>
      </c>
      <c r="Z229" s="16"/>
      <c r="AA229" s="16"/>
      <c r="AB229" s="16"/>
      <c r="AC229" s="16"/>
      <c r="AD229" s="16"/>
      <c r="AE229" s="16"/>
      <c r="AF229" s="16">
        <v>1.0</v>
      </c>
      <c r="AG229" s="16">
        <v>4.0</v>
      </c>
      <c r="AH229" s="16">
        <v>1.0</v>
      </c>
      <c r="AI229" s="16"/>
      <c r="AJ229" s="16">
        <f t="shared" si="19"/>
        <v>120</v>
      </c>
      <c r="AK229" s="17">
        <f t="shared" si="20"/>
        <v>0.4166666667</v>
      </c>
      <c r="AL229" s="17">
        <f t="shared" si="23"/>
        <v>0.2083333333</v>
      </c>
      <c r="AM229" s="17">
        <f t="shared" si="24"/>
        <v>0.1083333333</v>
      </c>
      <c r="AN229" s="17">
        <f t="shared" si="21"/>
        <v>0.1083333333</v>
      </c>
      <c r="AO229" s="17">
        <f t="shared" si="22"/>
        <v>0.05</v>
      </c>
    </row>
    <row r="230" ht="14.25" customHeight="1">
      <c r="A230" s="31">
        <v>45791.0</v>
      </c>
      <c r="B230" s="16" t="s">
        <v>42</v>
      </c>
      <c r="C230" s="32">
        <v>9.1</v>
      </c>
      <c r="D230" s="32">
        <v>8.7</v>
      </c>
      <c r="E230" s="32">
        <v>8.1</v>
      </c>
      <c r="F230" s="16">
        <v>29.5</v>
      </c>
      <c r="G230" s="16"/>
      <c r="H230" s="16">
        <v>28.0</v>
      </c>
      <c r="I230" s="16">
        <v>24.0</v>
      </c>
      <c r="J230" s="16">
        <v>4.0</v>
      </c>
      <c r="K230" s="16">
        <v>20.0</v>
      </c>
      <c r="L230" s="16"/>
      <c r="M230" s="16"/>
      <c r="N230" s="16">
        <v>1.0</v>
      </c>
      <c r="O230" s="16">
        <v>6.0</v>
      </c>
      <c r="P230" s="16"/>
      <c r="Q230" s="16">
        <v>16.0</v>
      </c>
      <c r="R230" s="16">
        <v>2.0</v>
      </c>
      <c r="S230" s="16"/>
      <c r="T230" s="16"/>
      <c r="U230" s="16">
        <v>5.0</v>
      </c>
      <c r="V230" s="16"/>
      <c r="W230" s="16">
        <v>1.0</v>
      </c>
      <c r="X230" s="16"/>
      <c r="Y230" s="16"/>
      <c r="Z230" s="16"/>
      <c r="AA230" s="16"/>
      <c r="AB230" s="16"/>
      <c r="AC230" s="16"/>
      <c r="AD230" s="16"/>
      <c r="AE230" s="16"/>
      <c r="AF230" s="16"/>
      <c r="AG230" s="16">
        <v>13.0</v>
      </c>
      <c r="AH230" s="16"/>
      <c r="AI230" s="16"/>
      <c r="AJ230" s="16">
        <f t="shared" si="19"/>
        <v>120</v>
      </c>
      <c r="AK230" s="17">
        <f t="shared" si="20"/>
        <v>0.4666666667</v>
      </c>
      <c r="AL230" s="17">
        <f t="shared" si="23"/>
        <v>0.1666666667</v>
      </c>
      <c r="AM230" s="17">
        <f t="shared" si="24"/>
        <v>0.2</v>
      </c>
      <c r="AN230" s="17">
        <f t="shared" si="21"/>
        <v>0.05</v>
      </c>
      <c r="AO230" s="17">
        <f t="shared" si="22"/>
        <v>0.1083333333</v>
      </c>
    </row>
    <row r="231" ht="14.25" customHeight="1">
      <c r="A231" s="31">
        <v>45791.0</v>
      </c>
      <c r="B231" s="16" t="s">
        <v>43</v>
      </c>
      <c r="C231" s="32">
        <v>14.0</v>
      </c>
      <c r="D231" s="32">
        <v>7.2</v>
      </c>
      <c r="E231" s="32">
        <v>9.7</v>
      </c>
      <c r="F231" s="16">
        <v>29.3</v>
      </c>
      <c r="G231" s="16"/>
      <c r="H231" s="16">
        <v>16.0</v>
      </c>
      <c r="I231" s="16">
        <v>28.0</v>
      </c>
      <c r="J231" s="16">
        <v>17.0</v>
      </c>
      <c r="K231" s="16">
        <v>20.0</v>
      </c>
      <c r="L231" s="16"/>
      <c r="M231" s="16">
        <v>4.0</v>
      </c>
      <c r="N231" s="16">
        <v>1.0</v>
      </c>
      <c r="O231" s="16">
        <v>2.0</v>
      </c>
      <c r="P231" s="16"/>
      <c r="Q231" s="16">
        <v>5.0</v>
      </c>
      <c r="R231" s="16">
        <v>4.0</v>
      </c>
      <c r="S231" s="16"/>
      <c r="T231" s="16"/>
      <c r="U231" s="16">
        <v>12.0</v>
      </c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>
        <v>10.0</v>
      </c>
      <c r="AH231" s="16"/>
      <c r="AI231" s="16"/>
      <c r="AJ231" s="16">
        <f t="shared" si="19"/>
        <v>119</v>
      </c>
      <c r="AK231" s="17">
        <f t="shared" si="20"/>
        <v>0.5083333333</v>
      </c>
      <c r="AL231" s="17">
        <f t="shared" si="23"/>
        <v>0.2</v>
      </c>
      <c r="AM231" s="17">
        <f t="shared" si="24"/>
        <v>0.09166666667</v>
      </c>
      <c r="AN231" s="17">
        <f t="shared" si="21"/>
        <v>0.1</v>
      </c>
      <c r="AO231" s="17">
        <f t="shared" si="22"/>
        <v>0.08333333333</v>
      </c>
    </row>
    <row r="232" ht="14.25" customHeight="1">
      <c r="A232" s="31">
        <v>45792.0</v>
      </c>
      <c r="B232" s="18" t="s">
        <v>41</v>
      </c>
      <c r="C232" s="32">
        <v>10.2</v>
      </c>
      <c r="D232" s="32">
        <v>8.8</v>
      </c>
      <c r="E232" s="32">
        <v>11.8</v>
      </c>
      <c r="F232" s="16">
        <v>29.0</v>
      </c>
      <c r="G232" s="16"/>
      <c r="H232" s="16">
        <v>13.0</v>
      </c>
      <c r="I232" s="16">
        <v>8.0</v>
      </c>
      <c r="J232" s="16">
        <v>6.0</v>
      </c>
      <c r="K232" s="16">
        <v>15.0</v>
      </c>
      <c r="L232" s="16"/>
      <c r="M232" s="16">
        <v>4.0</v>
      </c>
      <c r="N232" s="16">
        <v>2.0</v>
      </c>
      <c r="O232" s="16">
        <v>3.0</v>
      </c>
      <c r="P232" s="16"/>
      <c r="Q232" s="16">
        <v>20.0</v>
      </c>
      <c r="R232" s="16">
        <v>4.0</v>
      </c>
      <c r="S232" s="16"/>
      <c r="T232" s="16"/>
      <c r="U232" s="16">
        <v>4.0</v>
      </c>
      <c r="V232" s="16"/>
      <c r="W232" s="16"/>
      <c r="X232" s="16">
        <v>1.0</v>
      </c>
      <c r="Y232" s="16"/>
      <c r="Z232" s="16"/>
      <c r="AA232" s="16"/>
      <c r="AB232" s="16"/>
      <c r="AC232" s="16"/>
      <c r="AD232" s="16"/>
      <c r="AE232" s="16"/>
      <c r="AF232" s="16"/>
      <c r="AG232" s="16">
        <v>39.0</v>
      </c>
      <c r="AH232" s="16"/>
      <c r="AI232" s="16"/>
      <c r="AJ232" s="16">
        <f t="shared" si="19"/>
        <v>119</v>
      </c>
      <c r="AK232" s="17">
        <f t="shared" si="20"/>
        <v>0.225</v>
      </c>
      <c r="AL232" s="17">
        <f t="shared" si="23"/>
        <v>0.1583333333</v>
      </c>
      <c r="AM232" s="17">
        <f t="shared" si="24"/>
        <v>0.225</v>
      </c>
      <c r="AN232" s="17">
        <f t="shared" si="21"/>
        <v>0.04166666667</v>
      </c>
      <c r="AO232" s="17">
        <f t="shared" si="22"/>
        <v>0.325</v>
      </c>
    </row>
    <row r="233" ht="14.25" customHeight="1">
      <c r="A233" s="31">
        <v>45792.0</v>
      </c>
      <c r="B233" s="16" t="s">
        <v>45</v>
      </c>
      <c r="C233" s="32">
        <v>13.8</v>
      </c>
      <c r="D233" s="32">
        <v>10.4</v>
      </c>
      <c r="E233" s="32">
        <v>10.9</v>
      </c>
      <c r="F233" s="16">
        <v>29.2</v>
      </c>
      <c r="G233" s="16"/>
      <c r="H233" s="16">
        <v>20.0</v>
      </c>
      <c r="I233" s="16">
        <v>14.0</v>
      </c>
      <c r="J233" s="16">
        <v>3.0</v>
      </c>
      <c r="K233" s="16">
        <v>10.0</v>
      </c>
      <c r="L233" s="16"/>
      <c r="M233" s="16">
        <v>3.0</v>
      </c>
      <c r="N233" s="16">
        <v>3.0</v>
      </c>
      <c r="O233" s="16">
        <v>2.0</v>
      </c>
      <c r="P233" s="16">
        <v>3.0</v>
      </c>
      <c r="Q233" s="16">
        <v>23.0</v>
      </c>
      <c r="R233" s="16">
        <v>12.0</v>
      </c>
      <c r="S233" s="16"/>
      <c r="T233" s="16"/>
      <c r="U233" s="16">
        <v>5.0</v>
      </c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>
        <v>22.0</v>
      </c>
      <c r="AH233" s="16"/>
      <c r="AI233" s="16"/>
      <c r="AJ233" s="16">
        <f t="shared" si="19"/>
        <v>120</v>
      </c>
      <c r="AK233" s="17">
        <f t="shared" si="20"/>
        <v>0.3083333333</v>
      </c>
      <c r="AL233" s="17">
        <f t="shared" si="23"/>
        <v>0.1083333333</v>
      </c>
      <c r="AM233" s="17">
        <f t="shared" si="24"/>
        <v>0.3333333333</v>
      </c>
      <c r="AN233" s="17">
        <f t="shared" si="21"/>
        <v>0.04166666667</v>
      </c>
      <c r="AO233" s="17">
        <f t="shared" si="22"/>
        <v>0.1833333333</v>
      </c>
    </row>
    <row r="234" ht="14.25" customHeight="1">
      <c r="A234" s="31">
        <v>45793.0</v>
      </c>
      <c r="B234" s="16" t="s">
        <v>42</v>
      </c>
      <c r="C234" s="32">
        <v>12.3</v>
      </c>
      <c r="D234" s="32">
        <v>6.9</v>
      </c>
      <c r="E234" s="32">
        <v>9.1</v>
      </c>
      <c r="F234" s="16">
        <v>29.0</v>
      </c>
      <c r="G234" s="16"/>
      <c r="H234" s="16">
        <v>16.0</v>
      </c>
      <c r="I234" s="16">
        <v>37.0</v>
      </c>
      <c r="J234" s="16">
        <v>2.0</v>
      </c>
      <c r="K234" s="16">
        <v>15.0</v>
      </c>
      <c r="L234" s="16"/>
      <c r="M234" s="16">
        <v>4.0</v>
      </c>
      <c r="N234" s="16"/>
      <c r="O234" s="16">
        <v>8.0</v>
      </c>
      <c r="P234" s="16"/>
      <c r="Q234" s="16">
        <v>20.0</v>
      </c>
      <c r="R234" s="16">
        <v>5.0</v>
      </c>
      <c r="S234" s="16"/>
      <c r="T234" s="16"/>
      <c r="U234" s="16">
        <v>5.0</v>
      </c>
      <c r="V234" s="16">
        <v>1.0</v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>
        <v>1.0</v>
      </c>
      <c r="AG234" s="16">
        <v>4.0</v>
      </c>
      <c r="AH234" s="16"/>
      <c r="AI234" s="16"/>
      <c r="AJ234" s="16">
        <f t="shared" si="19"/>
        <v>118</v>
      </c>
      <c r="AK234" s="17">
        <f t="shared" si="20"/>
        <v>0.4583333333</v>
      </c>
      <c r="AL234" s="17">
        <f t="shared" si="23"/>
        <v>0.1583333333</v>
      </c>
      <c r="AM234" s="17">
        <f t="shared" si="24"/>
        <v>0.275</v>
      </c>
      <c r="AN234" s="17">
        <f t="shared" si="21"/>
        <v>0.05</v>
      </c>
      <c r="AO234" s="17">
        <f t="shared" si="22"/>
        <v>0.04166666667</v>
      </c>
    </row>
    <row r="235" ht="14.25" customHeight="1">
      <c r="A235" s="31">
        <v>45793.0</v>
      </c>
      <c r="B235" s="16" t="s">
        <v>44</v>
      </c>
      <c r="C235" s="32">
        <v>12.6</v>
      </c>
      <c r="D235" s="32">
        <v>12.5</v>
      </c>
      <c r="E235" s="32">
        <v>12.1</v>
      </c>
      <c r="F235" s="16">
        <v>29.0</v>
      </c>
      <c r="G235" s="16"/>
      <c r="H235" s="16">
        <v>21.0</v>
      </c>
      <c r="I235" s="16">
        <v>12.0</v>
      </c>
      <c r="J235" s="16">
        <v>2.0</v>
      </c>
      <c r="K235" s="16">
        <v>19.0</v>
      </c>
      <c r="L235" s="16"/>
      <c r="M235" s="16">
        <v>4.0</v>
      </c>
      <c r="N235" s="16">
        <v>2.0</v>
      </c>
      <c r="O235" s="16">
        <v>2.0</v>
      </c>
      <c r="P235" s="16"/>
      <c r="Q235" s="16">
        <v>8.0</v>
      </c>
      <c r="R235" s="16">
        <v>10.0</v>
      </c>
      <c r="S235" s="16"/>
      <c r="T235" s="16"/>
      <c r="U235" s="16">
        <v>4.0</v>
      </c>
      <c r="V235" s="16">
        <v>1.0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>
        <v>35.0</v>
      </c>
      <c r="AH235" s="16"/>
      <c r="AI235" s="16"/>
      <c r="AJ235" s="16">
        <f t="shared" si="19"/>
        <v>120</v>
      </c>
      <c r="AK235" s="17">
        <f t="shared" si="20"/>
        <v>0.2916666667</v>
      </c>
      <c r="AL235" s="17">
        <f t="shared" si="23"/>
        <v>0.1916666667</v>
      </c>
      <c r="AM235" s="17">
        <f t="shared" si="24"/>
        <v>0.1666666667</v>
      </c>
      <c r="AN235" s="17">
        <f t="shared" si="21"/>
        <v>0.04166666667</v>
      </c>
      <c r="AO235" s="17">
        <f t="shared" si="22"/>
        <v>0.2916666667</v>
      </c>
    </row>
    <row r="236" ht="14.25" customHeight="1">
      <c r="A236" s="31">
        <v>45796.0</v>
      </c>
      <c r="B236" s="18" t="s">
        <v>41</v>
      </c>
      <c r="C236" s="32">
        <v>9.6</v>
      </c>
      <c r="D236" s="32">
        <v>11.3</v>
      </c>
      <c r="E236" s="32">
        <v>8.6</v>
      </c>
      <c r="F236" s="16">
        <v>29.8</v>
      </c>
      <c r="G236" s="16"/>
      <c r="H236" s="16">
        <v>41.0</v>
      </c>
      <c r="I236" s="16">
        <v>11.0</v>
      </c>
      <c r="J236" s="16"/>
      <c r="K236" s="16">
        <v>5.0</v>
      </c>
      <c r="L236" s="16"/>
      <c r="M236" s="16">
        <v>1.0</v>
      </c>
      <c r="N236" s="16">
        <v>3.0</v>
      </c>
      <c r="O236" s="16"/>
      <c r="P236" s="16">
        <v>2.0</v>
      </c>
      <c r="Q236" s="16">
        <v>19.0</v>
      </c>
      <c r="R236" s="16">
        <v>5.0</v>
      </c>
      <c r="S236" s="16"/>
      <c r="T236" s="16"/>
      <c r="U236" s="16">
        <v>4.0</v>
      </c>
      <c r="V236" s="16">
        <v>4.0</v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>
        <v>24.0</v>
      </c>
      <c r="AH236" s="16"/>
      <c r="AI236" s="16"/>
      <c r="AJ236" s="16">
        <f t="shared" si="19"/>
        <v>119</v>
      </c>
      <c r="AK236" s="17">
        <f t="shared" si="20"/>
        <v>0.4333333333</v>
      </c>
      <c r="AL236" s="17">
        <f t="shared" si="23"/>
        <v>0.05</v>
      </c>
      <c r="AM236" s="17">
        <f t="shared" si="24"/>
        <v>0.2166666667</v>
      </c>
      <c r="AN236" s="17">
        <f t="shared" si="21"/>
        <v>0.06666666667</v>
      </c>
      <c r="AO236" s="17">
        <f t="shared" si="22"/>
        <v>0.2</v>
      </c>
    </row>
    <row r="237" ht="14.25" customHeight="1">
      <c r="A237" s="31">
        <v>45796.0</v>
      </c>
      <c r="B237" s="16" t="s">
        <v>45</v>
      </c>
      <c r="C237" s="32">
        <v>15.4</v>
      </c>
      <c r="D237" s="32">
        <v>9.3</v>
      </c>
      <c r="E237" s="32">
        <v>10.1</v>
      </c>
      <c r="F237" s="16">
        <v>29.0</v>
      </c>
      <c r="G237" s="16"/>
      <c r="H237" s="16">
        <v>54.0</v>
      </c>
      <c r="I237" s="16">
        <v>8.0</v>
      </c>
      <c r="J237" s="16">
        <v>2.0</v>
      </c>
      <c r="K237" s="16">
        <v>6.0</v>
      </c>
      <c r="L237" s="16"/>
      <c r="M237" s="16">
        <v>2.0</v>
      </c>
      <c r="N237" s="16"/>
      <c r="O237" s="16"/>
      <c r="P237" s="16">
        <v>4.0</v>
      </c>
      <c r="Q237" s="16">
        <v>27.0</v>
      </c>
      <c r="R237" s="16">
        <v>4.0</v>
      </c>
      <c r="S237" s="16"/>
      <c r="T237" s="16"/>
      <c r="U237" s="16">
        <v>2.0</v>
      </c>
      <c r="V237" s="16">
        <v>2.0</v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>
        <v>7.0</v>
      </c>
      <c r="AH237" s="16"/>
      <c r="AI237" s="16"/>
      <c r="AJ237" s="16">
        <f t="shared" si="19"/>
        <v>118</v>
      </c>
      <c r="AK237" s="17">
        <f t="shared" si="20"/>
        <v>0.5333333333</v>
      </c>
      <c r="AL237" s="17">
        <f t="shared" si="23"/>
        <v>0.06666666667</v>
      </c>
      <c r="AM237" s="17">
        <f t="shared" si="24"/>
        <v>0.2916666667</v>
      </c>
      <c r="AN237" s="17">
        <f t="shared" si="21"/>
        <v>0.03333333333</v>
      </c>
      <c r="AO237" s="17">
        <f t="shared" si="22"/>
        <v>0.05833333333</v>
      </c>
    </row>
    <row r="238" ht="14.25" customHeight="1">
      <c r="A238" s="31">
        <v>45797.0</v>
      </c>
      <c r="B238" s="16" t="s">
        <v>42</v>
      </c>
      <c r="C238" s="32">
        <v>14.1</v>
      </c>
      <c r="D238" s="32">
        <v>7.4</v>
      </c>
      <c r="E238" s="32">
        <v>6.3</v>
      </c>
      <c r="F238" s="16">
        <v>29.0</v>
      </c>
      <c r="G238" s="16"/>
      <c r="H238" s="16">
        <v>17.0</v>
      </c>
      <c r="I238" s="16">
        <v>31.0</v>
      </c>
      <c r="J238" s="16"/>
      <c r="K238" s="16">
        <v>24.0</v>
      </c>
      <c r="L238" s="16"/>
      <c r="M238" s="16">
        <v>4.0</v>
      </c>
      <c r="N238" s="16"/>
      <c r="O238" s="16"/>
      <c r="P238" s="16"/>
      <c r="Q238" s="16">
        <v>27.0</v>
      </c>
      <c r="R238" s="16">
        <v>1.0</v>
      </c>
      <c r="S238" s="16"/>
      <c r="T238" s="16">
        <v>3.0</v>
      </c>
      <c r="U238" s="16">
        <v>8.0</v>
      </c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>
        <v>5.0</v>
      </c>
      <c r="AH238" s="16"/>
      <c r="AI238" s="16"/>
      <c r="AJ238" s="16">
        <f t="shared" si="19"/>
        <v>120</v>
      </c>
      <c r="AK238" s="17">
        <f t="shared" si="20"/>
        <v>0.4</v>
      </c>
      <c r="AL238" s="17">
        <f t="shared" si="23"/>
        <v>0.2333333333</v>
      </c>
      <c r="AM238" s="17">
        <f t="shared" si="24"/>
        <v>0.2333333333</v>
      </c>
      <c r="AN238" s="17">
        <f t="shared" si="21"/>
        <v>0.06666666667</v>
      </c>
      <c r="AO238" s="17">
        <f t="shared" si="22"/>
        <v>0.04166666667</v>
      </c>
    </row>
    <row r="239" ht="14.25" customHeight="1">
      <c r="A239" s="31">
        <v>45797.0</v>
      </c>
      <c r="B239" s="16" t="s">
        <v>42</v>
      </c>
      <c r="C239" s="32">
        <v>14.0</v>
      </c>
      <c r="D239" s="32">
        <v>8.3</v>
      </c>
      <c r="E239" s="32">
        <v>7.5</v>
      </c>
      <c r="F239" s="16">
        <v>30.0</v>
      </c>
      <c r="G239" s="16">
        <v>3.0</v>
      </c>
      <c r="H239" s="16">
        <v>12.0</v>
      </c>
      <c r="I239" s="16">
        <v>25.0</v>
      </c>
      <c r="J239" s="16">
        <v>2.0</v>
      </c>
      <c r="K239" s="16">
        <v>33.0</v>
      </c>
      <c r="L239" s="16"/>
      <c r="M239" s="16">
        <v>2.0</v>
      </c>
      <c r="N239" s="16"/>
      <c r="O239" s="16"/>
      <c r="P239" s="16"/>
      <c r="Q239" s="16">
        <v>24.0</v>
      </c>
      <c r="R239" s="16">
        <v>5.0</v>
      </c>
      <c r="S239" s="16"/>
      <c r="T239" s="16">
        <v>3.0</v>
      </c>
      <c r="U239" s="16">
        <v>5.0</v>
      </c>
      <c r="V239" s="16"/>
      <c r="W239" s="16"/>
      <c r="X239" s="16">
        <v>1.0</v>
      </c>
      <c r="Y239" s="16"/>
      <c r="Z239" s="16">
        <v>1.0</v>
      </c>
      <c r="AA239" s="16"/>
      <c r="AB239" s="16">
        <v>3.0</v>
      </c>
      <c r="AC239" s="16"/>
      <c r="AD239" s="16"/>
      <c r="AE239" s="16"/>
      <c r="AF239" s="16"/>
      <c r="AG239" s="16"/>
      <c r="AH239" s="16"/>
      <c r="AI239" s="16"/>
      <c r="AJ239" s="16">
        <f t="shared" si="19"/>
        <v>119</v>
      </c>
      <c r="AK239" s="17">
        <f t="shared" si="20"/>
        <v>0.35</v>
      </c>
      <c r="AL239" s="17">
        <f t="shared" si="23"/>
        <v>0.2916666667</v>
      </c>
      <c r="AM239" s="17">
        <f t="shared" si="24"/>
        <v>0.2416666667</v>
      </c>
      <c r="AN239" s="17">
        <f t="shared" si="21"/>
        <v>0.05833333333</v>
      </c>
      <c r="AO239" s="17">
        <f t="shared" si="22"/>
        <v>0</v>
      </c>
    </row>
    <row r="240" ht="14.25" customHeight="1">
      <c r="A240" s="31">
        <v>45798.0</v>
      </c>
      <c r="B240" s="16" t="s">
        <v>43</v>
      </c>
      <c r="C240" s="32">
        <v>15.5</v>
      </c>
      <c r="D240" s="32">
        <v>7.6</v>
      </c>
      <c r="E240" s="32">
        <v>7.4</v>
      </c>
      <c r="F240" s="16">
        <v>29.8</v>
      </c>
      <c r="G240" s="16">
        <v>5.0</v>
      </c>
      <c r="H240" s="16">
        <v>6.0</v>
      </c>
      <c r="I240" s="16">
        <v>41.0</v>
      </c>
      <c r="J240" s="16">
        <v>7.0</v>
      </c>
      <c r="K240" s="16">
        <v>12.0</v>
      </c>
      <c r="L240" s="16"/>
      <c r="M240" s="16">
        <v>1.0</v>
      </c>
      <c r="N240" s="16"/>
      <c r="O240" s="16"/>
      <c r="P240" s="16"/>
      <c r="Q240" s="16">
        <v>11.0</v>
      </c>
      <c r="R240" s="16">
        <v>8.0</v>
      </c>
      <c r="S240" s="16">
        <v>1.0</v>
      </c>
      <c r="T240" s="16">
        <v>6.0</v>
      </c>
      <c r="U240" s="16">
        <v>21.0</v>
      </c>
      <c r="V240" s="16"/>
      <c r="W240" s="16"/>
      <c r="X240" s="16"/>
      <c r="Y240" s="16"/>
      <c r="Z240" s="16">
        <v>1.0</v>
      </c>
      <c r="AA240" s="16"/>
      <c r="AB240" s="16"/>
      <c r="AC240" s="16"/>
      <c r="AD240" s="16"/>
      <c r="AE240" s="16"/>
      <c r="AF240" s="16"/>
      <c r="AG240" s="16"/>
      <c r="AH240" s="16"/>
      <c r="AI240" s="16"/>
      <c r="AJ240" s="16">
        <f t="shared" si="19"/>
        <v>120</v>
      </c>
      <c r="AK240" s="17">
        <f t="shared" si="20"/>
        <v>0.4916666667</v>
      </c>
      <c r="AL240" s="17">
        <f t="shared" si="23"/>
        <v>0.1083333333</v>
      </c>
      <c r="AM240" s="17">
        <f t="shared" si="24"/>
        <v>0.1666666667</v>
      </c>
      <c r="AN240" s="17">
        <f t="shared" si="21"/>
        <v>0.1833333333</v>
      </c>
      <c r="AO240" s="17">
        <f t="shared" si="22"/>
        <v>0</v>
      </c>
    </row>
    <row r="241" ht="14.25" customHeight="1">
      <c r="A241" s="31">
        <v>45798.0</v>
      </c>
      <c r="B241" s="16" t="s">
        <v>44</v>
      </c>
      <c r="C241" s="32">
        <v>14.5</v>
      </c>
      <c r="D241" s="32">
        <v>12.7</v>
      </c>
      <c r="E241" s="32">
        <v>13.7</v>
      </c>
      <c r="F241" s="16">
        <v>29.0</v>
      </c>
      <c r="G241" s="16">
        <v>1.0</v>
      </c>
      <c r="H241" s="16">
        <v>11.0</v>
      </c>
      <c r="I241" s="16">
        <v>14.0</v>
      </c>
      <c r="J241" s="16">
        <v>4.0</v>
      </c>
      <c r="K241" s="16">
        <v>19.0</v>
      </c>
      <c r="L241" s="16"/>
      <c r="M241" s="16">
        <v>15.0</v>
      </c>
      <c r="N241" s="16">
        <v>6.0</v>
      </c>
      <c r="O241" s="16"/>
      <c r="P241" s="16"/>
      <c r="Q241" s="16">
        <v>9.0</v>
      </c>
      <c r="R241" s="16">
        <v>7.0</v>
      </c>
      <c r="S241" s="16">
        <v>1.0</v>
      </c>
      <c r="T241" s="16">
        <v>1.0</v>
      </c>
      <c r="U241" s="16">
        <v>7.0</v>
      </c>
      <c r="V241" s="16">
        <v>1.0</v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>
        <v>24.0</v>
      </c>
      <c r="AH241" s="16"/>
      <c r="AI241" s="16"/>
      <c r="AJ241" s="16">
        <f t="shared" si="19"/>
        <v>120</v>
      </c>
      <c r="AK241" s="17">
        <f t="shared" si="20"/>
        <v>0.25</v>
      </c>
      <c r="AL241" s="17">
        <f t="shared" si="23"/>
        <v>0.2833333333</v>
      </c>
      <c r="AM241" s="17">
        <f t="shared" si="24"/>
        <v>0.1416666667</v>
      </c>
      <c r="AN241" s="17">
        <f t="shared" si="21"/>
        <v>0.06666666667</v>
      </c>
      <c r="AO241" s="17">
        <f t="shared" si="22"/>
        <v>0.2</v>
      </c>
    </row>
    <row r="242" ht="14.25" customHeight="1">
      <c r="A242" s="31">
        <v>45799.0</v>
      </c>
      <c r="B242" s="18" t="s">
        <v>41</v>
      </c>
      <c r="C242" s="32">
        <v>13.1</v>
      </c>
      <c r="D242" s="32">
        <v>9.7</v>
      </c>
      <c r="E242" s="32">
        <v>9.5</v>
      </c>
      <c r="F242" s="16">
        <v>29.8</v>
      </c>
      <c r="G242" s="16"/>
      <c r="H242" s="16">
        <v>23.0</v>
      </c>
      <c r="I242" s="16">
        <v>21.0</v>
      </c>
      <c r="J242" s="16">
        <v>3.0</v>
      </c>
      <c r="K242" s="16">
        <v>18.0</v>
      </c>
      <c r="L242" s="16"/>
      <c r="M242" s="16">
        <v>6.0</v>
      </c>
      <c r="N242" s="16">
        <v>2.0</v>
      </c>
      <c r="O242" s="16"/>
      <c r="P242" s="16"/>
      <c r="Q242" s="16">
        <v>16.0</v>
      </c>
      <c r="R242" s="16">
        <v>4.0</v>
      </c>
      <c r="S242" s="16">
        <v>5.0</v>
      </c>
      <c r="T242" s="16">
        <v>2.0</v>
      </c>
      <c r="U242" s="16">
        <v>7.0</v>
      </c>
      <c r="V242" s="16">
        <v>4.0</v>
      </c>
      <c r="W242" s="16"/>
      <c r="X242" s="16"/>
      <c r="Y242" s="16"/>
      <c r="Z242" s="16"/>
      <c r="AA242" s="16"/>
      <c r="AB242" s="16"/>
      <c r="AC242" s="16"/>
      <c r="AD242" s="16"/>
      <c r="AE242" s="16">
        <v>1.0</v>
      </c>
      <c r="AF242" s="16"/>
      <c r="AG242" s="16">
        <v>8.0</v>
      </c>
      <c r="AH242" s="16"/>
      <c r="AI242" s="16"/>
      <c r="AJ242" s="16">
        <f t="shared" si="19"/>
        <v>120</v>
      </c>
      <c r="AK242" s="17">
        <f t="shared" si="20"/>
        <v>0.3916666667</v>
      </c>
      <c r="AL242" s="17">
        <f t="shared" si="23"/>
        <v>0.2</v>
      </c>
      <c r="AM242" s="17">
        <f t="shared" si="24"/>
        <v>0.2083333333</v>
      </c>
      <c r="AN242" s="17">
        <f t="shared" si="21"/>
        <v>0.09166666667</v>
      </c>
      <c r="AO242" s="17">
        <f t="shared" si="22"/>
        <v>0.075</v>
      </c>
    </row>
    <row r="243" ht="14.25" customHeight="1">
      <c r="A243" s="31">
        <v>45799.0</v>
      </c>
      <c r="B243" s="16" t="s">
        <v>45</v>
      </c>
      <c r="C243" s="32">
        <v>11.5</v>
      </c>
      <c r="D243" s="32">
        <v>11.7</v>
      </c>
      <c r="E243" s="32">
        <v>11.4</v>
      </c>
      <c r="F243" s="16">
        <v>29.8</v>
      </c>
      <c r="G243" s="16">
        <v>15.0</v>
      </c>
      <c r="H243" s="16">
        <v>24.0</v>
      </c>
      <c r="I243" s="16">
        <v>13.0</v>
      </c>
      <c r="J243" s="16">
        <v>1.0</v>
      </c>
      <c r="K243" s="16">
        <v>13.0</v>
      </c>
      <c r="L243" s="16"/>
      <c r="M243" s="16"/>
      <c r="N243" s="16"/>
      <c r="O243" s="16"/>
      <c r="P243" s="16"/>
      <c r="Q243" s="16">
        <v>39.0</v>
      </c>
      <c r="R243" s="16">
        <v>7.0</v>
      </c>
      <c r="S243" s="16">
        <v>2.0</v>
      </c>
      <c r="T243" s="16">
        <v>1.0</v>
      </c>
      <c r="U243" s="16">
        <v>1.0</v>
      </c>
      <c r="V243" s="16">
        <v>3.0</v>
      </c>
      <c r="W243" s="16"/>
      <c r="X243" s="16"/>
      <c r="Y243" s="16"/>
      <c r="Z243" s="16"/>
      <c r="AA243" s="16"/>
      <c r="AB243" s="16"/>
      <c r="AC243" s="16">
        <v>1.0</v>
      </c>
      <c r="AD243" s="16"/>
      <c r="AE243" s="16"/>
      <c r="AF243" s="16"/>
      <c r="AG243" s="16"/>
      <c r="AH243" s="16"/>
      <c r="AI243" s="16"/>
      <c r="AJ243" s="16">
        <f t="shared" si="19"/>
        <v>120</v>
      </c>
      <c r="AK243" s="17">
        <f t="shared" si="20"/>
        <v>0.4416666667</v>
      </c>
      <c r="AL243" s="17">
        <f t="shared" si="23"/>
        <v>0.1083333333</v>
      </c>
      <c r="AM243" s="17">
        <f t="shared" si="24"/>
        <v>0.4</v>
      </c>
      <c r="AN243" s="17">
        <f t="shared" si="21"/>
        <v>0.03333333333</v>
      </c>
      <c r="AO243" s="17">
        <f t="shared" si="22"/>
        <v>0</v>
      </c>
    </row>
    <row r="244" ht="14.25" customHeight="1">
      <c r="A244" s="31">
        <v>45800.0</v>
      </c>
      <c r="B244" s="16" t="s">
        <v>42</v>
      </c>
      <c r="C244" s="32">
        <v>12.9</v>
      </c>
      <c r="D244" s="32">
        <v>10.1</v>
      </c>
      <c r="E244" s="32">
        <v>9.7</v>
      </c>
      <c r="F244" s="16">
        <v>30.0</v>
      </c>
      <c r="G244" s="16"/>
      <c r="H244" s="16">
        <v>35.0</v>
      </c>
      <c r="I244" s="16">
        <v>25.0</v>
      </c>
      <c r="J244" s="16">
        <v>2.0</v>
      </c>
      <c r="K244" s="16">
        <v>13.0</v>
      </c>
      <c r="L244" s="16"/>
      <c r="M244" s="16">
        <v>1.0</v>
      </c>
      <c r="N244" s="16">
        <v>1.0</v>
      </c>
      <c r="O244" s="16"/>
      <c r="P244" s="16"/>
      <c r="Q244" s="16">
        <v>24.0</v>
      </c>
      <c r="R244" s="16">
        <v>9.0</v>
      </c>
      <c r="S244" s="16">
        <v>2.0</v>
      </c>
      <c r="T244" s="16">
        <v>1.0</v>
      </c>
      <c r="U244" s="16">
        <v>4.0</v>
      </c>
      <c r="V244" s="16">
        <v>1.0</v>
      </c>
      <c r="W244" s="16"/>
      <c r="X244" s="16">
        <v>1.0</v>
      </c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>
        <f t="shared" si="19"/>
        <v>119</v>
      </c>
      <c r="AK244" s="17">
        <f t="shared" si="20"/>
        <v>0.5166666667</v>
      </c>
      <c r="AL244" s="17">
        <f t="shared" si="23"/>
        <v>0.1166666667</v>
      </c>
      <c r="AM244" s="17">
        <f t="shared" si="24"/>
        <v>0.2916666667</v>
      </c>
      <c r="AN244" s="17">
        <f t="shared" si="21"/>
        <v>0.05</v>
      </c>
      <c r="AO244" s="17">
        <f t="shared" si="22"/>
        <v>0</v>
      </c>
    </row>
    <row r="245" ht="14.25" customHeight="1">
      <c r="A245" s="31">
        <v>45800.0</v>
      </c>
      <c r="B245" s="16" t="s">
        <v>44</v>
      </c>
      <c r="C245" s="32">
        <v>10.1</v>
      </c>
      <c r="D245" s="32">
        <v>13.4</v>
      </c>
      <c r="E245" s="32">
        <v>13.1</v>
      </c>
      <c r="F245" s="16">
        <v>30.0</v>
      </c>
      <c r="G245" s="16">
        <v>8.0</v>
      </c>
      <c r="H245" s="16">
        <v>13.0</v>
      </c>
      <c r="I245" s="16">
        <v>7.0</v>
      </c>
      <c r="J245" s="16">
        <v>2.0</v>
      </c>
      <c r="K245" s="16">
        <v>18.0</v>
      </c>
      <c r="L245" s="16"/>
      <c r="M245" s="16">
        <v>17.0</v>
      </c>
      <c r="N245" s="16">
        <v>3.0</v>
      </c>
      <c r="O245" s="16"/>
      <c r="P245" s="16">
        <v>1.0</v>
      </c>
      <c r="Q245" s="16">
        <v>10.0</v>
      </c>
      <c r="R245" s="16">
        <v>9.0</v>
      </c>
      <c r="S245" s="16">
        <v>1.0</v>
      </c>
      <c r="T245" s="16"/>
      <c r="U245" s="16">
        <v>13.0</v>
      </c>
      <c r="V245" s="16">
        <v>10.0</v>
      </c>
      <c r="W245" s="16"/>
      <c r="X245" s="16">
        <v>1.0</v>
      </c>
      <c r="Y245" s="16"/>
      <c r="Z245" s="16"/>
      <c r="AA245" s="16"/>
      <c r="AB245" s="16">
        <v>2.0</v>
      </c>
      <c r="AC245" s="16"/>
      <c r="AD245" s="16"/>
      <c r="AE245" s="16"/>
      <c r="AF245" s="16"/>
      <c r="AG245" s="16">
        <v>5.0</v>
      </c>
      <c r="AH245" s="16"/>
      <c r="AI245" s="16"/>
      <c r="AJ245" s="16">
        <f t="shared" si="19"/>
        <v>120</v>
      </c>
      <c r="AK245" s="17">
        <f t="shared" si="20"/>
        <v>0.25</v>
      </c>
      <c r="AL245" s="17">
        <f t="shared" si="23"/>
        <v>0.2916666667</v>
      </c>
      <c r="AM245" s="17">
        <f t="shared" si="24"/>
        <v>0.175</v>
      </c>
      <c r="AN245" s="17">
        <f t="shared" si="21"/>
        <v>0.2</v>
      </c>
      <c r="AO245" s="17">
        <f t="shared" si="22"/>
        <v>0.04166666667</v>
      </c>
    </row>
    <row r="246" ht="14.25" customHeight="1">
      <c r="A246" s="31">
        <v>45811.0</v>
      </c>
      <c r="B246" s="18" t="s">
        <v>41</v>
      </c>
      <c r="C246" s="32">
        <v>11.2</v>
      </c>
      <c r="D246" s="32">
        <v>9.8</v>
      </c>
      <c r="E246" s="32">
        <v>9.3</v>
      </c>
      <c r="F246" s="16">
        <v>29.2</v>
      </c>
      <c r="G246" s="16">
        <v>34.0</v>
      </c>
      <c r="H246" s="16">
        <v>28.0</v>
      </c>
      <c r="I246" s="16">
        <v>11.0</v>
      </c>
      <c r="J246" s="16">
        <v>2.0</v>
      </c>
      <c r="K246" s="16">
        <v>15.0</v>
      </c>
      <c r="L246" s="16"/>
      <c r="M246" s="16">
        <v>2.0</v>
      </c>
      <c r="N246" s="16">
        <v>1.0</v>
      </c>
      <c r="O246" s="16">
        <v>6.0</v>
      </c>
      <c r="P246" s="16">
        <v>6.0</v>
      </c>
      <c r="Q246" s="16">
        <v>4.0</v>
      </c>
      <c r="R246" s="16">
        <v>5.0</v>
      </c>
      <c r="S246" s="16"/>
      <c r="T246" s="16">
        <v>2.0</v>
      </c>
      <c r="U246" s="16">
        <v>2.0</v>
      </c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>
        <v>2.0</v>
      </c>
      <c r="AH246" s="16"/>
      <c r="AI246" s="16"/>
      <c r="AJ246" s="16">
        <f t="shared" si="19"/>
        <v>120</v>
      </c>
      <c r="AK246" s="17">
        <f t="shared" si="20"/>
        <v>0.625</v>
      </c>
      <c r="AL246" s="17">
        <f t="shared" si="23"/>
        <v>0.1416666667</v>
      </c>
      <c r="AM246" s="17">
        <f t="shared" si="24"/>
        <v>0.175</v>
      </c>
      <c r="AN246" s="17">
        <f t="shared" si="21"/>
        <v>0.01666666667</v>
      </c>
      <c r="AO246" s="17">
        <f t="shared" si="22"/>
        <v>0.01666666667</v>
      </c>
    </row>
    <row r="247" ht="14.25" customHeight="1">
      <c r="A247" s="31">
        <v>45811.0</v>
      </c>
      <c r="B247" s="16" t="s">
        <v>42</v>
      </c>
      <c r="C247" s="32">
        <v>10.2</v>
      </c>
      <c r="D247" s="32">
        <v>8.2</v>
      </c>
      <c r="E247" s="32">
        <v>9.0</v>
      </c>
      <c r="F247" s="16">
        <v>30.0</v>
      </c>
      <c r="G247" s="16"/>
      <c r="H247" s="16">
        <v>6.0</v>
      </c>
      <c r="I247" s="16">
        <v>62.0</v>
      </c>
      <c r="J247" s="16">
        <v>4.0</v>
      </c>
      <c r="K247" s="16">
        <v>6.0</v>
      </c>
      <c r="L247" s="16"/>
      <c r="M247" s="16">
        <v>2.0</v>
      </c>
      <c r="N247" s="16"/>
      <c r="O247" s="16">
        <v>14.0</v>
      </c>
      <c r="P247" s="16"/>
      <c r="Q247" s="16">
        <v>7.0</v>
      </c>
      <c r="R247" s="16">
        <v>5.0</v>
      </c>
      <c r="S247" s="16"/>
      <c r="T247" s="16">
        <v>4.0</v>
      </c>
      <c r="U247" s="16">
        <v>4.0</v>
      </c>
      <c r="V247" s="16">
        <v>1.0</v>
      </c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>
        <v>5.0</v>
      </c>
      <c r="AH247" s="16"/>
      <c r="AI247" s="16"/>
      <c r="AJ247" s="16">
        <f t="shared" si="19"/>
        <v>120</v>
      </c>
      <c r="AK247" s="17">
        <f t="shared" si="20"/>
        <v>0.6</v>
      </c>
      <c r="AL247" s="17">
        <f t="shared" si="23"/>
        <v>0.06666666667</v>
      </c>
      <c r="AM247" s="17">
        <f t="shared" si="24"/>
        <v>0.2166666667</v>
      </c>
      <c r="AN247" s="17">
        <f t="shared" si="21"/>
        <v>0.04166666667</v>
      </c>
      <c r="AO247" s="17">
        <f t="shared" si="22"/>
        <v>0.04166666667</v>
      </c>
    </row>
    <row r="248" ht="14.25" customHeight="1">
      <c r="A248" s="31">
        <v>45813.0</v>
      </c>
      <c r="B248" s="16" t="s">
        <v>42</v>
      </c>
      <c r="C248" s="32">
        <v>12.6</v>
      </c>
      <c r="D248" s="32">
        <v>9.4</v>
      </c>
      <c r="E248" s="32">
        <v>9.5</v>
      </c>
      <c r="F248" s="16">
        <v>29.0</v>
      </c>
      <c r="G248" s="16">
        <v>4.0</v>
      </c>
      <c r="H248" s="16">
        <v>32.0</v>
      </c>
      <c r="I248" s="20">
        <v>23.0</v>
      </c>
      <c r="J248" s="16">
        <v>5.0</v>
      </c>
      <c r="K248" s="16">
        <v>2.0</v>
      </c>
      <c r="L248" s="16"/>
      <c r="M248" s="16">
        <v>1.0</v>
      </c>
      <c r="N248" s="16"/>
      <c r="O248" s="16">
        <v>11.0</v>
      </c>
      <c r="P248" s="16">
        <v>1.0</v>
      </c>
      <c r="Q248" s="16">
        <v>15.0</v>
      </c>
      <c r="R248" s="16">
        <v>7.0</v>
      </c>
      <c r="S248" s="16"/>
      <c r="T248" s="16">
        <v>2.0</v>
      </c>
      <c r="U248" s="16">
        <v>2.0</v>
      </c>
      <c r="V248" s="16"/>
      <c r="W248" s="16"/>
      <c r="X248" s="16">
        <v>1.0</v>
      </c>
      <c r="Y248" s="16"/>
      <c r="Z248" s="16"/>
      <c r="AA248" s="16"/>
      <c r="AB248" s="16">
        <v>6.0</v>
      </c>
      <c r="AC248" s="16">
        <v>1.0</v>
      </c>
      <c r="AD248" s="16"/>
      <c r="AE248" s="16"/>
      <c r="AF248" s="16"/>
      <c r="AG248" s="16">
        <v>7.0</v>
      </c>
      <c r="AH248" s="16"/>
      <c r="AI248" s="16"/>
      <c r="AJ248" s="16">
        <f t="shared" si="19"/>
        <v>120</v>
      </c>
      <c r="AK248" s="17">
        <f t="shared" si="20"/>
        <v>0.5333333333</v>
      </c>
      <c r="AL248" s="17">
        <f t="shared" si="23"/>
        <v>0.025</v>
      </c>
      <c r="AM248" s="17">
        <f t="shared" si="24"/>
        <v>0.2833333333</v>
      </c>
      <c r="AN248" s="17">
        <f t="shared" si="21"/>
        <v>0.025</v>
      </c>
      <c r="AO248" s="17">
        <f t="shared" si="22"/>
        <v>0.05833333333</v>
      </c>
    </row>
    <row r="249" ht="14.25" customHeight="1">
      <c r="A249" s="31">
        <v>45813.0</v>
      </c>
      <c r="B249" s="16" t="s">
        <v>44</v>
      </c>
      <c r="C249" s="32">
        <v>11.4</v>
      </c>
      <c r="D249" s="32">
        <v>12.5</v>
      </c>
      <c r="E249" s="32">
        <v>12.0</v>
      </c>
      <c r="F249" s="16">
        <v>29.0</v>
      </c>
      <c r="G249" s="16">
        <v>21.0</v>
      </c>
      <c r="H249" s="16">
        <v>13.0</v>
      </c>
      <c r="I249" s="16">
        <v>12.0</v>
      </c>
      <c r="J249" s="16">
        <v>2.0</v>
      </c>
      <c r="K249" s="16">
        <v>9.0</v>
      </c>
      <c r="L249" s="16"/>
      <c r="M249" s="16">
        <v>17.0</v>
      </c>
      <c r="N249" s="16"/>
      <c r="O249" s="16">
        <v>18.0</v>
      </c>
      <c r="P249" s="16">
        <v>1.0</v>
      </c>
      <c r="Q249" s="16">
        <v>9.0</v>
      </c>
      <c r="R249" s="16">
        <v>2.0</v>
      </c>
      <c r="S249" s="16">
        <v>2.0</v>
      </c>
      <c r="T249" s="16">
        <v>2.0</v>
      </c>
      <c r="U249" s="16">
        <v>6.0</v>
      </c>
      <c r="V249" s="16">
        <v>1.0</v>
      </c>
      <c r="W249" s="16"/>
      <c r="X249" s="16">
        <v>1.0</v>
      </c>
      <c r="Y249" s="16"/>
      <c r="Z249" s="16"/>
      <c r="AA249" s="16"/>
      <c r="AB249" s="16"/>
      <c r="AC249" s="16"/>
      <c r="AD249" s="16"/>
      <c r="AE249" s="16"/>
      <c r="AF249" s="16"/>
      <c r="AG249" s="16">
        <v>4.0</v>
      </c>
      <c r="AH249" s="16"/>
      <c r="AI249" s="16"/>
      <c r="AJ249" s="16">
        <f t="shared" si="19"/>
        <v>120</v>
      </c>
      <c r="AK249" s="17">
        <f t="shared" si="20"/>
        <v>0.4</v>
      </c>
      <c r="AL249" s="17">
        <f t="shared" si="23"/>
        <v>0.2166666667</v>
      </c>
      <c r="AM249" s="17">
        <f t="shared" si="24"/>
        <v>0.2666666667</v>
      </c>
      <c r="AN249" s="17">
        <f t="shared" si="21"/>
        <v>0.06666666667</v>
      </c>
      <c r="AO249" s="17">
        <f t="shared" si="22"/>
        <v>0.03333333333</v>
      </c>
    </row>
    <row r="250" ht="14.25" customHeight="1">
      <c r="A250" s="31">
        <v>45817.0</v>
      </c>
      <c r="B250" s="16" t="s">
        <v>42</v>
      </c>
      <c r="C250" s="32">
        <v>8.1</v>
      </c>
      <c r="D250" s="32">
        <v>7.2</v>
      </c>
      <c r="E250" s="32">
        <v>7.7</v>
      </c>
      <c r="F250" s="16">
        <v>30.0</v>
      </c>
      <c r="G250" s="16"/>
      <c r="H250" s="16">
        <v>8.0</v>
      </c>
      <c r="I250" s="16">
        <v>41.0</v>
      </c>
      <c r="J250" s="16">
        <v>3.0</v>
      </c>
      <c r="K250" s="16">
        <v>10.0</v>
      </c>
      <c r="L250" s="16"/>
      <c r="M250" s="16">
        <v>5.0</v>
      </c>
      <c r="N250" s="16"/>
      <c r="O250" s="16">
        <v>18.0</v>
      </c>
      <c r="P250" s="16">
        <v>2.0</v>
      </c>
      <c r="Q250" s="16">
        <v>9.0</v>
      </c>
      <c r="R250" s="16">
        <v>10.0</v>
      </c>
      <c r="S250" s="16">
        <v>1.0</v>
      </c>
      <c r="T250" s="16">
        <v>2.0</v>
      </c>
      <c r="U250" s="16">
        <v>6.0</v>
      </c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>
        <v>2.0</v>
      </c>
      <c r="AG250" s="16">
        <v>3.0</v>
      </c>
      <c r="AH250" s="16"/>
      <c r="AI250" s="16"/>
      <c r="AJ250" s="16">
        <f t="shared" si="19"/>
        <v>120</v>
      </c>
      <c r="AK250" s="17">
        <f t="shared" si="20"/>
        <v>0.4333333333</v>
      </c>
      <c r="AL250" s="17">
        <f t="shared" si="23"/>
        <v>0.125</v>
      </c>
      <c r="AM250" s="17">
        <f t="shared" si="24"/>
        <v>0.3333333333</v>
      </c>
      <c r="AN250" s="17">
        <f t="shared" si="21"/>
        <v>0.05</v>
      </c>
      <c r="AO250" s="17">
        <f t="shared" si="22"/>
        <v>0.04166666667</v>
      </c>
    </row>
    <row r="251" ht="14.25" customHeight="1">
      <c r="A251" s="31">
        <v>45817.0</v>
      </c>
      <c r="B251" s="16" t="s">
        <v>44</v>
      </c>
      <c r="C251" s="32">
        <v>9.6</v>
      </c>
      <c r="D251" s="32">
        <v>11.6</v>
      </c>
      <c r="E251" s="32">
        <v>12.1</v>
      </c>
      <c r="F251" s="16">
        <v>30.0</v>
      </c>
      <c r="G251" s="16">
        <v>43.0</v>
      </c>
      <c r="H251" s="16">
        <v>8.0</v>
      </c>
      <c r="I251" s="16">
        <v>11.0</v>
      </c>
      <c r="J251" s="16">
        <v>1.0</v>
      </c>
      <c r="K251" s="16">
        <v>15.0</v>
      </c>
      <c r="L251" s="16"/>
      <c r="M251" s="16">
        <v>10.0</v>
      </c>
      <c r="N251" s="16"/>
      <c r="O251" s="16">
        <v>12.0</v>
      </c>
      <c r="P251" s="16"/>
      <c r="Q251" s="16">
        <v>8.0</v>
      </c>
      <c r="R251" s="16">
        <v>4.0</v>
      </c>
      <c r="S251" s="16"/>
      <c r="T251" s="16"/>
      <c r="U251" s="16">
        <v>2.0</v>
      </c>
      <c r="V251" s="16"/>
      <c r="W251" s="16"/>
      <c r="X251" s="16"/>
      <c r="Y251" s="16"/>
      <c r="Z251" s="16">
        <v>1.0</v>
      </c>
      <c r="AA251" s="16"/>
      <c r="AB251" s="16"/>
      <c r="AC251" s="16"/>
      <c r="AD251" s="16">
        <v>1.0</v>
      </c>
      <c r="AE251" s="16"/>
      <c r="AF251" s="16"/>
      <c r="AG251" s="16">
        <v>4.0</v>
      </c>
      <c r="AH251" s="16"/>
      <c r="AI251" s="16"/>
      <c r="AJ251" s="16">
        <f t="shared" si="19"/>
        <v>120</v>
      </c>
      <c r="AK251" s="17">
        <f t="shared" si="20"/>
        <v>0.525</v>
      </c>
      <c r="AL251" s="17">
        <f t="shared" si="23"/>
        <v>0.2083333333</v>
      </c>
      <c r="AM251" s="17">
        <f t="shared" si="24"/>
        <v>0.2</v>
      </c>
      <c r="AN251" s="17">
        <f t="shared" si="21"/>
        <v>0.025</v>
      </c>
      <c r="AO251" s="17">
        <f t="shared" si="22"/>
        <v>0.04166666667</v>
      </c>
    </row>
    <row r="252" ht="14.25" customHeight="1">
      <c r="A252" s="31">
        <v>45820.0</v>
      </c>
      <c r="B252" s="18" t="s">
        <v>42</v>
      </c>
      <c r="C252" s="32">
        <v>10.2</v>
      </c>
      <c r="D252" s="32">
        <v>8.2</v>
      </c>
      <c r="E252" s="32">
        <v>9.4</v>
      </c>
      <c r="F252" s="16">
        <v>29.0</v>
      </c>
      <c r="G252" s="16">
        <v>4.0</v>
      </c>
      <c r="H252" s="20">
        <v>30.0</v>
      </c>
      <c r="I252" s="16">
        <v>25.0</v>
      </c>
      <c r="J252" s="16">
        <v>2.0</v>
      </c>
      <c r="K252" s="16">
        <v>9.0</v>
      </c>
      <c r="L252" s="16"/>
      <c r="M252" s="16">
        <v>8.0</v>
      </c>
      <c r="N252" s="16"/>
      <c r="O252" s="16">
        <v>24.0</v>
      </c>
      <c r="P252" s="16">
        <v>1.0</v>
      </c>
      <c r="Q252" s="16">
        <v>8.0</v>
      </c>
      <c r="R252" s="16">
        <v>1.0</v>
      </c>
      <c r="S252" s="16"/>
      <c r="T252" s="16">
        <v>3.0</v>
      </c>
      <c r="U252" s="16">
        <v>4.0</v>
      </c>
      <c r="V252" s="16"/>
      <c r="W252" s="16"/>
      <c r="X252" s="16"/>
      <c r="Y252" s="16">
        <v>1.0</v>
      </c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>
        <f t="shared" si="19"/>
        <v>120</v>
      </c>
      <c r="AK252" s="17">
        <f t="shared" si="20"/>
        <v>0.5083333333</v>
      </c>
      <c r="AL252" s="17">
        <f t="shared" si="23"/>
        <v>0.1416666667</v>
      </c>
      <c r="AM252" s="17">
        <f t="shared" si="24"/>
        <v>0.2833333333</v>
      </c>
      <c r="AN252" s="17">
        <f t="shared" si="21"/>
        <v>0.04166666667</v>
      </c>
      <c r="AO252" s="17">
        <f t="shared" si="22"/>
        <v>0</v>
      </c>
    </row>
    <row r="253" ht="14.25" customHeight="1">
      <c r="A253" s="31">
        <v>45820.0</v>
      </c>
      <c r="B253" s="16" t="s">
        <v>44</v>
      </c>
      <c r="C253" s="32">
        <v>15.2</v>
      </c>
      <c r="D253" s="32">
        <v>13.2</v>
      </c>
      <c r="E253" s="32">
        <v>10.6</v>
      </c>
      <c r="F253" s="16">
        <v>30.0</v>
      </c>
      <c r="G253" s="16">
        <v>28.0</v>
      </c>
      <c r="H253" s="16">
        <v>12.0</v>
      </c>
      <c r="I253" s="16">
        <v>16.0</v>
      </c>
      <c r="J253" s="16"/>
      <c r="K253" s="16">
        <v>13.0</v>
      </c>
      <c r="L253" s="16"/>
      <c r="M253" s="16">
        <v>19.0</v>
      </c>
      <c r="N253" s="16"/>
      <c r="O253" s="16">
        <v>15.0</v>
      </c>
      <c r="P253" s="16"/>
      <c r="Q253" s="16">
        <v>4.0</v>
      </c>
      <c r="R253" s="16">
        <v>3.0</v>
      </c>
      <c r="S253" s="16">
        <v>1.0</v>
      </c>
      <c r="T253" s="16"/>
      <c r="U253" s="16">
        <v>6.0</v>
      </c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>
        <v>3.0</v>
      </c>
      <c r="AH253" s="16"/>
      <c r="AI253" s="16"/>
      <c r="AJ253" s="16">
        <f t="shared" si="19"/>
        <v>120</v>
      </c>
      <c r="AK253" s="17">
        <f t="shared" si="20"/>
        <v>0.4666666667</v>
      </c>
      <c r="AL253" s="17">
        <f t="shared" si="23"/>
        <v>0.2666666667</v>
      </c>
      <c r="AM253" s="17">
        <f t="shared" si="24"/>
        <v>0.1916666667</v>
      </c>
      <c r="AN253" s="17">
        <f t="shared" si="21"/>
        <v>0.05</v>
      </c>
      <c r="AO253" s="17">
        <f t="shared" si="22"/>
        <v>0.025</v>
      </c>
    </row>
    <row r="254" ht="14.25" customHeight="1">
      <c r="A254" s="31">
        <v>45821.0</v>
      </c>
      <c r="B254" s="18" t="s">
        <v>41</v>
      </c>
      <c r="C254" s="32">
        <v>12.4</v>
      </c>
      <c r="D254" s="32">
        <v>9.7</v>
      </c>
      <c r="E254" s="32">
        <v>9.1</v>
      </c>
      <c r="F254" s="16">
        <v>29.0</v>
      </c>
      <c r="G254" s="16">
        <v>23.0</v>
      </c>
      <c r="H254" s="16">
        <v>13.0</v>
      </c>
      <c r="I254" s="16">
        <v>24.0</v>
      </c>
      <c r="J254" s="16"/>
      <c r="K254" s="16">
        <v>9.0</v>
      </c>
      <c r="L254" s="16"/>
      <c r="M254" s="16">
        <v>8.0</v>
      </c>
      <c r="N254" s="16"/>
      <c r="O254" s="16">
        <v>20.0</v>
      </c>
      <c r="P254" s="16">
        <v>4.0</v>
      </c>
      <c r="Q254" s="16">
        <v>5.0</v>
      </c>
      <c r="R254" s="16">
        <v>3.0</v>
      </c>
      <c r="S254" s="16">
        <v>2.0</v>
      </c>
      <c r="T254" s="16"/>
      <c r="U254" s="16">
        <v>4.0</v>
      </c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>
        <v>4.0</v>
      </c>
      <c r="AH254" s="16"/>
      <c r="AI254" s="16"/>
      <c r="AJ254" s="16">
        <f t="shared" si="19"/>
        <v>119</v>
      </c>
      <c r="AK254" s="17">
        <f t="shared" si="20"/>
        <v>0.5</v>
      </c>
      <c r="AL254" s="17">
        <f t="shared" si="23"/>
        <v>0.1416666667</v>
      </c>
      <c r="AM254" s="17">
        <f t="shared" si="24"/>
        <v>0.2833333333</v>
      </c>
      <c r="AN254" s="17">
        <f t="shared" si="21"/>
        <v>0.03333333333</v>
      </c>
      <c r="AO254" s="17">
        <f t="shared" si="22"/>
        <v>0.03333333333</v>
      </c>
    </row>
    <row r="255" ht="14.25" customHeight="1">
      <c r="A255" s="31">
        <v>45821.0</v>
      </c>
      <c r="B255" s="16" t="s">
        <v>42</v>
      </c>
      <c r="C255" s="32">
        <v>10.6</v>
      </c>
      <c r="D255" s="32">
        <v>9.4</v>
      </c>
      <c r="E255" s="32">
        <v>9.6</v>
      </c>
      <c r="F255" s="16">
        <v>29.0</v>
      </c>
      <c r="G255" s="16"/>
      <c r="H255" s="16">
        <v>21.0</v>
      </c>
      <c r="I255" s="16">
        <v>20.0</v>
      </c>
      <c r="J255" s="16">
        <v>2.0</v>
      </c>
      <c r="K255" s="16">
        <v>11.0</v>
      </c>
      <c r="L255" s="16"/>
      <c r="M255" s="16">
        <v>11.0</v>
      </c>
      <c r="N255" s="16"/>
      <c r="O255" s="16">
        <v>22.0</v>
      </c>
      <c r="P255" s="16">
        <v>2.0</v>
      </c>
      <c r="Q255" s="16">
        <v>7.0</v>
      </c>
      <c r="R255" s="16">
        <v>6.0</v>
      </c>
      <c r="S255" s="16">
        <v>2.0</v>
      </c>
      <c r="T255" s="16">
        <v>2.0</v>
      </c>
      <c r="U255" s="16">
        <v>8.0</v>
      </c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>
        <v>5.0</v>
      </c>
      <c r="AH255" s="16"/>
      <c r="AI255" s="16"/>
      <c r="AJ255" s="16">
        <f t="shared" si="19"/>
        <v>119</v>
      </c>
      <c r="AK255" s="17">
        <f t="shared" si="20"/>
        <v>0.3583333333</v>
      </c>
      <c r="AL255" s="17">
        <f t="shared" si="23"/>
        <v>0.1833333333</v>
      </c>
      <c r="AM255" s="17">
        <f t="shared" si="24"/>
        <v>0.325</v>
      </c>
      <c r="AN255" s="17">
        <f t="shared" si="21"/>
        <v>0.06666666667</v>
      </c>
      <c r="AO255" s="17">
        <f t="shared" si="22"/>
        <v>0.04166666667</v>
      </c>
    </row>
    <row r="256" ht="14.25" customHeight="1">
      <c r="A256" s="31">
        <v>45826.0</v>
      </c>
      <c r="B256" s="18" t="s">
        <v>41</v>
      </c>
      <c r="C256" s="32">
        <v>11.5</v>
      </c>
      <c r="D256" s="32">
        <v>10.0</v>
      </c>
      <c r="E256" s="32">
        <v>12.5</v>
      </c>
      <c r="F256" s="16">
        <v>29.4</v>
      </c>
      <c r="G256" s="16">
        <v>0.0</v>
      </c>
      <c r="H256" s="16">
        <v>22.0</v>
      </c>
      <c r="I256" s="16">
        <v>15.0</v>
      </c>
      <c r="J256" s="16"/>
      <c r="K256" s="16">
        <v>1.0</v>
      </c>
      <c r="L256" s="16"/>
      <c r="M256" s="16"/>
      <c r="N256" s="16"/>
      <c r="O256" s="16">
        <v>7.0</v>
      </c>
      <c r="P256" s="16">
        <v>6.0</v>
      </c>
      <c r="Q256" s="16">
        <v>20.0</v>
      </c>
      <c r="R256" s="16">
        <v>7.0</v>
      </c>
      <c r="S256" s="16"/>
      <c r="T256" s="16">
        <v>1.0</v>
      </c>
      <c r="U256" s="16">
        <v>1.0</v>
      </c>
      <c r="V256" s="16">
        <v>1.0</v>
      </c>
      <c r="W256" s="16"/>
      <c r="X256" s="16"/>
      <c r="Y256" s="16"/>
      <c r="Z256" s="16"/>
      <c r="AA256" s="16"/>
      <c r="AB256" s="16">
        <v>1.0</v>
      </c>
      <c r="AC256" s="16">
        <v>1.0</v>
      </c>
      <c r="AD256" s="16"/>
      <c r="AE256" s="16"/>
      <c r="AF256" s="16"/>
      <c r="AG256" s="16">
        <v>37.0</v>
      </c>
      <c r="AH256" s="16"/>
      <c r="AI256" s="16"/>
      <c r="AJ256" s="16">
        <f t="shared" si="19"/>
        <v>120</v>
      </c>
      <c r="AK256" s="17">
        <f t="shared" si="20"/>
        <v>0.3083333333</v>
      </c>
      <c r="AL256" s="17">
        <f t="shared" si="23"/>
        <v>0.008333333333</v>
      </c>
      <c r="AM256" s="17">
        <f t="shared" si="24"/>
        <v>0.3333333333</v>
      </c>
      <c r="AN256" s="17">
        <f t="shared" si="21"/>
        <v>0.01666666667</v>
      </c>
      <c r="AO256" s="17">
        <f t="shared" si="22"/>
        <v>0.3083333333</v>
      </c>
    </row>
    <row r="257" ht="14.25" customHeight="1">
      <c r="A257" s="31">
        <v>45826.0</v>
      </c>
      <c r="B257" s="16" t="s">
        <v>42</v>
      </c>
      <c r="C257" s="32">
        <v>10.4</v>
      </c>
      <c r="D257" s="32">
        <v>6.1</v>
      </c>
      <c r="E257" s="32">
        <v>7.9</v>
      </c>
      <c r="F257" s="16">
        <v>29.4</v>
      </c>
      <c r="G257" s="16">
        <v>0.0</v>
      </c>
      <c r="H257" s="16">
        <v>10.0</v>
      </c>
      <c r="I257" s="16">
        <v>27.0</v>
      </c>
      <c r="J257" s="16">
        <v>11.0</v>
      </c>
      <c r="K257" s="16">
        <v>0.0</v>
      </c>
      <c r="L257" s="16">
        <v>0.0</v>
      </c>
      <c r="M257" s="16">
        <v>3.0</v>
      </c>
      <c r="N257" s="16">
        <v>0.0</v>
      </c>
      <c r="O257" s="16">
        <v>22.0</v>
      </c>
      <c r="P257" s="16">
        <v>0.0</v>
      </c>
      <c r="Q257" s="16">
        <v>31.0</v>
      </c>
      <c r="R257" s="16">
        <v>2.0</v>
      </c>
      <c r="S257" s="16">
        <v>0.0</v>
      </c>
      <c r="T257" s="16">
        <v>4.0</v>
      </c>
      <c r="U257" s="16">
        <v>7.0</v>
      </c>
      <c r="V257" s="16">
        <v>0.0</v>
      </c>
      <c r="W257" s="16">
        <v>0.0</v>
      </c>
      <c r="X257" s="16">
        <v>2.0</v>
      </c>
      <c r="Y257" s="16">
        <v>1.0</v>
      </c>
      <c r="Z257" s="16">
        <v>0.0</v>
      </c>
      <c r="AA257" s="16">
        <v>0.0</v>
      </c>
      <c r="AB257" s="16">
        <v>0.0</v>
      </c>
      <c r="AC257" s="16">
        <v>0.0</v>
      </c>
      <c r="AD257" s="16">
        <v>0.0</v>
      </c>
      <c r="AE257" s="16">
        <v>0.0</v>
      </c>
      <c r="AF257" s="16">
        <v>0.0</v>
      </c>
      <c r="AG257" s="16">
        <v>0.0</v>
      </c>
      <c r="AH257" s="16">
        <v>0.0</v>
      </c>
      <c r="AI257" s="16">
        <v>0.0</v>
      </c>
      <c r="AJ257" s="16">
        <f t="shared" si="19"/>
        <v>120</v>
      </c>
      <c r="AK257" s="17">
        <f t="shared" si="20"/>
        <v>0.4</v>
      </c>
      <c r="AL257" s="17">
        <f t="shared" si="23"/>
        <v>0.025</v>
      </c>
      <c r="AM257" s="17">
        <f t="shared" si="24"/>
        <v>0.4583333333</v>
      </c>
      <c r="AN257" s="17">
        <f t="shared" si="21"/>
        <v>0.08333333333</v>
      </c>
      <c r="AO257" s="17">
        <f t="shared" si="22"/>
        <v>0</v>
      </c>
    </row>
    <row r="258" ht="14.25" customHeight="1">
      <c r="A258" s="31">
        <v>45827.0</v>
      </c>
      <c r="B258" s="16" t="s">
        <v>43</v>
      </c>
      <c r="C258" s="32">
        <v>10.0</v>
      </c>
      <c r="D258" s="32">
        <v>7.6</v>
      </c>
      <c r="E258" s="32">
        <v>8.2</v>
      </c>
      <c r="F258" s="16">
        <v>28.9</v>
      </c>
      <c r="G258" s="16"/>
      <c r="H258" s="16">
        <v>6.0</v>
      </c>
      <c r="I258" s="16">
        <v>22.0</v>
      </c>
      <c r="J258" s="16"/>
      <c r="K258" s="16">
        <v>5.0</v>
      </c>
      <c r="L258" s="16"/>
      <c r="M258" s="16">
        <v>7.0</v>
      </c>
      <c r="N258" s="16"/>
      <c r="O258" s="16">
        <v>11.0</v>
      </c>
      <c r="P258" s="16"/>
      <c r="Q258" s="16">
        <v>18.0</v>
      </c>
      <c r="R258" s="16">
        <v>8.0</v>
      </c>
      <c r="S258" s="16">
        <v>6.0</v>
      </c>
      <c r="T258" s="16">
        <v>2.0</v>
      </c>
      <c r="U258" s="16">
        <v>18.0</v>
      </c>
      <c r="V258" s="16">
        <v>13.0</v>
      </c>
      <c r="W258" s="16"/>
      <c r="X258" s="16"/>
      <c r="Y258" s="16">
        <v>3.0</v>
      </c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>
        <f t="shared" si="19"/>
        <v>119</v>
      </c>
      <c r="AK258" s="17">
        <f t="shared" si="20"/>
        <v>0.2333333333</v>
      </c>
      <c r="AL258" s="17">
        <f t="shared" si="23"/>
        <v>0.1</v>
      </c>
      <c r="AM258" s="17">
        <f t="shared" si="24"/>
        <v>0.3583333333</v>
      </c>
      <c r="AN258" s="17">
        <f t="shared" si="21"/>
        <v>0.2833333333</v>
      </c>
      <c r="AO258" s="17">
        <f t="shared" si="22"/>
        <v>0</v>
      </c>
    </row>
    <row r="259" ht="14.25" customHeight="1">
      <c r="A259" s="31">
        <v>45827.0</v>
      </c>
      <c r="B259" s="16" t="s">
        <v>44</v>
      </c>
      <c r="C259" s="32">
        <v>6.0</v>
      </c>
      <c r="D259" s="32">
        <v>12.5</v>
      </c>
      <c r="E259" s="32">
        <v>13.1</v>
      </c>
      <c r="F259" s="16">
        <v>28.9</v>
      </c>
      <c r="G259" s="16">
        <v>0.0</v>
      </c>
      <c r="H259" s="16">
        <v>18.0</v>
      </c>
      <c r="I259" s="16">
        <v>17.0</v>
      </c>
      <c r="J259" s="16"/>
      <c r="K259" s="16">
        <v>6.0</v>
      </c>
      <c r="L259" s="16"/>
      <c r="M259" s="16">
        <v>14.0</v>
      </c>
      <c r="N259" s="16">
        <v>7.0</v>
      </c>
      <c r="O259" s="16">
        <v>7.0</v>
      </c>
      <c r="P259" s="16">
        <v>2.0</v>
      </c>
      <c r="Q259" s="16">
        <v>21.0</v>
      </c>
      <c r="R259" s="16">
        <v>11.0</v>
      </c>
      <c r="S259" s="16">
        <v>3.0</v>
      </c>
      <c r="T259" s="16">
        <v>3.0</v>
      </c>
      <c r="U259" s="16">
        <v>3.0</v>
      </c>
      <c r="V259" s="16">
        <v>3.0</v>
      </c>
      <c r="W259" s="16"/>
      <c r="X259" s="16"/>
      <c r="Y259" s="16"/>
      <c r="Z259" s="16">
        <v>1.0</v>
      </c>
      <c r="AA259" s="16"/>
      <c r="AB259" s="16"/>
      <c r="AC259" s="16">
        <v>4.0</v>
      </c>
      <c r="AD259" s="16"/>
      <c r="AE259" s="16"/>
      <c r="AF259" s="16"/>
      <c r="AG259" s="16"/>
      <c r="AH259" s="16"/>
      <c r="AI259" s="16"/>
      <c r="AJ259" s="16">
        <f t="shared" si="19"/>
        <v>120</v>
      </c>
      <c r="AK259" s="17">
        <f t="shared" si="20"/>
        <v>0.2916666667</v>
      </c>
      <c r="AL259" s="17">
        <f t="shared" si="23"/>
        <v>0.1666666667</v>
      </c>
      <c r="AM259" s="17">
        <f t="shared" si="24"/>
        <v>0.3666666667</v>
      </c>
      <c r="AN259" s="17">
        <f t="shared" si="21"/>
        <v>0.05833333333</v>
      </c>
      <c r="AO259" s="17">
        <f t="shared" si="22"/>
        <v>0</v>
      </c>
    </row>
    <row r="260" ht="14.25" customHeight="1">
      <c r="A260" s="31">
        <v>45828.0</v>
      </c>
      <c r="B260" s="16" t="s">
        <v>42</v>
      </c>
      <c r="C260" s="32">
        <v>5.0</v>
      </c>
      <c r="D260" s="32">
        <v>7.6</v>
      </c>
      <c r="E260" s="32">
        <v>9.1</v>
      </c>
      <c r="F260" s="16">
        <v>29.0</v>
      </c>
      <c r="G260" s="16"/>
      <c r="H260" s="16">
        <v>10.0</v>
      </c>
      <c r="I260" s="16">
        <v>31.0</v>
      </c>
      <c r="J260" s="16">
        <v>2.0</v>
      </c>
      <c r="K260" s="16">
        <v>4.0</v>
      </c>
      <c r="L260" s="16"/>
      <c r="M260" s="16">
        <v>6.0</v>
      </c>
      <c r="N260" s="16">
        <v>1.0</v>
      </c>
      <c r="O260" s="16">
        <v>19.0</v>
      </c>
      <c r="P260" s="16">
        <v>1.0</v>
      </c>
      <c r="Q260" s="16">
        <v>15.0</v>
      </c>
      <c r="R260" s="16">
        <v>7.0</v>
      </c>
      <c r="S260" s="16">
        <v>1.0</v>
      </c>
      <c r="T260" s="16">
        <v>1.0</v>
      </c>
      <c r="U260" s="16">
        <v>13.0</v>
      </c>
      <c r="V260" s="16">
        <v>3.0</v>
      </c>
      <c r="W260" s="16"/>
      <c r="X260" s="16">
        <v>1.0</v>
      </c>
      <c r="Y260" s="16">
        <v>4.0</v>
      </c>
      <c r="Z260" s="16"/>
      <c r="AA260" s="16"/>
      <c r="AB260" s="16">
        <v>1.0</v>
      </c>
      <c r="AC260" s="16"/>
      <c r="AD260" s="16"/>
      <c r="AE260" s="16"/>
      <c r="AF260" s="16"/>
      <c r="AG260" s="16"/>
      <c r="AH260" s="16"/>
      <c r="AI260" s="16"/>
      <c r="AJ260" s="16">
        <f t="shared" si="19"/>
        <v>120</v>
      </c>
      <c r="AK260" s="17">
        <f t="shared" si="20"/>
        <v>0.3583333333</v>
      </c>
      <c r="AL260" s="17">
        <f t="shared" si="23"/>
        <v>0.08333333333</v>
      </c>
      <c r="AM260" s="17">
        <f t="shared" si="24"/>
        <v>0.3583333333</v>
      </c>
      <c r="AN260" s="17">
        <f t="shared" si="21"/>
        <v>0.175</v>
      </c>
      <c r="AO260" s="17">
        <f t="shared" si="22"/>
        <v>0</v>
      </c>
    </row>
    <row r="261" ht="14.25" customHeight="1">
      <c r="A261" s="31">
        <v>45828.0</v>
      </c>
      <c r="B261" s="16" t="s">
        <v>45</v>
      </c>
      <c r="C261" s="32">
        <v>9.0</v>
      </c>
      <c r="D261" s="32">
        <v>9.7</v>
      </c>
      <c r="E261" s="32">
        <v>10.0</v>
      </c>
      <c r="F261" s="16">
        <v>29.0</v>
      </c>
      <c r="G261" s="16"/>
      <c r="H261" s="16">
        <v>29.0</v>
      </c>
      <c r="I261" s="16">
        <v>15.0</v>
      </c>
      <c r="J261" s="16"/>
      <c r="K261" s="16">
        <v>5.0</v>
      </c>
      <c r="L261" s="16"/>
      <c r="M261" s="16">
        <v>2.0</v>
      </c>
      <c r="N261" s="16"/>
      <c r="O261" s="16">
        <v>26.0</v>
      </c>
      <c r="P261" s="16">
        <v>8.0</v>
      </c>
      <c r="Q261" s="16">
        <v>23.0</v>
      </c>
      <c r="R261" s="16">
        <v>5.0</v>
      </c>
      <c r="S261" s="16">
        <v>1.0</v>
      </c>
      <c r="T261" s="16"/>
      <c r="U261" s="16">
        <v>1.0</v>
      </c>
      <c r="V261" s="16">
        <v>2.0</v>
      </c>
      <c r="W261" s="16"/>
      <c r="X261" s="16"/>
      <c r="Y261" s="16">
        <v>2.0</v>
      </c>
      <c r="Z261" s="16"/>
      <c r="AA261" s="16"/>
      <c r="AB261" s="16"/>
      <c r="AC261" s="16"/>
      <c r="AD261" s="16"/>
      <c r="AE261" s="16"/>
      <c r="AF261" s="16"/>
      <c r="AG261" s="16"/>
      <c r="AH261" s="16">
        <v>1.0</v>
      </c>
      <c r="AI261" s="16"/>
      <c r="AJ261" s="16">
        <f t="shared" si="19"/>
        <v>120</v>
      </c>
      <c r="AK261" s="17">
        <f t="shared" si="20"/>
        <v>0.3666666667</v>
      </c>
      <c r="AL261" s="17">
        <f t="shared" si="23"/>
        <v>0.05833333333</v>
      </c>
      <c r="AM261" s="17">
        <f t="shared" si="24"/>
        <v>0.525</v>
      </c>
      <c r="AN261" s="17">
        <f t="shared" si="21"/>
        <v>0.04166666667</v>
      </c>
      <c r="AO261" s="17">
        <f t="shared" si="22"/>
        <v>0.008333333333</v>
      </c>
    </row>
    <row r="262" ht="14.25" customHeight="1">
      <c r="A262" s="31">
        <v>45842.0</v>
      </c>
      <c r="B262" s="18" t="s">
        <v>41</v>
      </c>
      <c r="C262" s="32">
        <v>6.4</v>
      </c>
      <c r="D262" s="32">
        <v>11.0</v>
      </c>
      <c r="E262" s="32">
        <v>10.0</v>
      </c>
      <c r="F262" s="16">
        <v>28.0</v>
      </c>
      <c r="G262" s="16">
        <v>0.0</v>
      </c>
      <c r="H262" s="16">
        <v>40.0</v>
      </c>
      <c r="I262" s="16">
        <v>10.0</v>
      </c>
      <c r="J262" s="16">
        <v>7.0</v>
      </c>
      <c r="K262" s="16">
        <v>2.0</v>
      </c>
      <c r="L262" s="16"/>
      <c r="M262" s="16">
        <v>3.0</v>
      </c>
      <c r="N262" s="16"/>
      <c r="O262" s="16">
        <v>30.0</v>
      </c>
      <c r="P262" s="16">
        <v>1.0</v>
      </c>
      <c r="Q262" s="16">
        <v>8.0</v>
      </c>
      <c r="R262" s="16">
        <v>6.0</v>
      </c>
      <c r="S262" s="16">
        <v>2.0</v>
      </c>
      <c r="T262" s="16">
        <v>3.0</v>
      </c>
      <c r="U262" s="16">
        <v>8.0</v>
      </c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>
        <f t="shared" si="19"/>
        <v>120</v>
      </c>
      <c r="AK262" s="17">
        <f t="shared" si="20"/>
        <v>0.475</v>
      </c>
      <c r="AL262" s="17">
        <f t="shared" si="23"/>
        <v>0.04166666667</v>
      </c>
      <c r="AM262" s="17">
        <f t="shared" si="24"/>
        <v>0.3916666667</v>
      </c>
      <c r="AN262" s="17">
        <f t="shared" si="21"/>
        <v>0.06666666667</v>
      </c>
      <c r="AO262" s="17">
        <f t="shared" si="22"/>
        <v>0</v>
      </c>
    </row>
    <row r="263" ht="14.25" customHeight="1">
      <c r="A263" s="31">
        <v>45842.0</v>
      </c>
      <c r="B263" s="16" t="s">
        <v>44</v>
      </c>
      <c r="C263" s="32">
        <v>10.1</v>
      </c>
      <c r="D263" s="32">
        <v>12.1</v>
      </c>
      <c r="E263" s="32">
        <v>11.0</v>
      </c>
      <c r="F263" s="16">
        <v>27.0</v>
      </c>
      <c r="G263" s="16">
        <v>0.0</v>
      </c>
      <c r="H263" s="16">
        <v>32.0</v>
      </c>
      <c r="I263" s="16">
        <v>12.0</v>
      </c>
      <c r="J263" s="16">
        <v>9.0</v>
      </c>
      <c r="K263" s="16">
        <v>10.0</v>
      </c>
      <c r="L263" s="16">
        <v>1.0</v>
      </c>
      <c r="M263" s="16">
        <v>16.0</v>
      </c>
      <c r="N263" s="16"/>
      <c r="O263" s="16">
        <v>14.0</v>
      </c>
      <c r="P263" s="16"/>
      <c r="Q263" s="16">
        <v>5.0</v>
      </c>
      <c r="R263" s="16">
        <v>10.0</v>
      </c>
      <c r="S263" s="16"/>
      <c r="T263" s="16">
        <v>2.0</v>
      </c>
      <c r="U263" s="16">
        <v>9.0</v>
      </c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>
        <f t="shared" si="19"/>
        <v>120</v>
      </c>
      <c r="AK263" s="17">
        <f t="shared" si="20"/>
        <v>0.4416666667</v>
      </c>
      <c r="AL263" s="17">
        <f t="shared" si="23"/>
        <v>0.225</v>
      </c>
      <c r="AM263" s="17">
        <f t="shared" si="24"/>
        <v>0.2416666667</v>
      </c>
      <c r="AN263" s="17">
        <f t="shared" si="21"/>
        <v>0.075</v>
      </c>
      <c r="AO263" s="17">
        <f t="shared" si="22"/>
        <v>0</v>
      </c>
    </row>
    <row r="264" ht="14.25" customHeight="1">
      <c r="A264" s="31">
        <v>45870.0</v>
      </c>
      <c r="B264" s="18" t="s">
        <v>41</v>
      </c>
      <c r="C264" s="32">
        <v>8.0</v>
      </c>
      <c r="D264" s="32">
        <v>12.2</v>
      </c>
      <c r="E264" s="32">
        <v>10.0</v>
      </c>
      <c r="F264" s="16">
        <v>29.0</v>
      </c>
      <c r="G264" s="16">
        <v>0.0</v>
      </c>
      <c r="H264" s="16">
        <v>33.0</v>
      </c>
      <c r="I264" s="16">
        <v>26.0</v>
      </c>
      <c r="J264" s="16"/>
      <c r="K264" s="16">
        <v>15.0</v>
      </c>
      <c r="L264" s="16"/>
      <c r="M264" s="16">
        <v>9.0</v>
      </c>
      <c r="N264" s="16"/>
      <c r="O264" s="16">
        <v>6.0</v>
      </c>
      <c r="P264" s="16">
        <v>4.0</v>
      </c>
      <c r="Q264" s="16">
        <v>5.0</v>
      </c>
      <c r="R264" s="16"/>
      <c r="S264" s="16">
        <v>2.0</v>
      </c>
      <c r="T264" s="16">
        <v>12.0</v>
      </c>
      <c r="U264" s="16">
        <v>5.0</v>
      </c>
      <c r="V264" s="16">
        <v>2.0</v>
      </c>
      <c r="W264" s="16"/>
      <c r="X264" s="16"/>
      <c r="Y264" s="16"/>
      <c r="Z264" s="16"/>
      <c r="AA264" s="16"/>
      <c r="AB264" s="16">
        <v>1.0</v>
      </c>
      <c r="AC264" s="16"/>
      <c r="AD264" s="16"/>
      <c r="AE264" s="16"/>
      <c r="AF264" s="16"/>
      <c r="AG264" s="16"/>
      <c r="AH264" s="16"/>
      <c r="AI264" s="16"/>
      <c r="AJ264" s="16">
        <f t="shared" si="19"/>
        <v>120</v>
      </c>
      <c r="AK264" s="17">
        <f t="shared" si="20"/>
        <v>0.4916666667</v>
      </c>
      <c r="AL264" s="17">
        <f t="shared" si="23"/>
        <v>0.2</v>
      </c>
      <c r="AM264" s="17">
        <f t="shared" si="24"/>
        <v>0.1416666667</v>
      </c>
      <c r="AN264" s="17">
        <f t="shared" si="21"/>
        <v>0.05833333333</v>
      </c>
      <c r="AO264" s="17">
        <f t="shared" si="22"/>
        <v>0</v>
      </c>
    </row>
    <row r="265" ht="14.25" customHeight="1">
      <c r="A265" s="31">
        <v>45870.0</v>
      </c>
      <c r="B265" s="16" t="s">
        <v>42</v>
      </c>
      <c r="C265" s="32">
        <v>10.0</v>
      </c>
      <c r="D265" s="32">
        <v>5.0</v>
      </c>
      <c r="E265" s="32">
        <v>4.3</v>
      </c>
      <c r="F265" s="16">
        <v>29.0</v>
      </c>
      <c r="G265" s="16">
        <v>4.0</v>
      </c>
      <c r="H265" s="16">
        <v>22.0</v>
      </c>
      <c r="I265" s="16">
        <v>14.0</v>
      </c>
      <c r="J265" s="16">
        <v>0.0</v>
      </c>
      <c r="K265" s="16">
        <v>8.0</v>
      </c>
      <c r="L265" s="16"/>
      <c r="M265" s="16">
        <v>1.0</v>
      </c>
      <c r="N265" s="16"/>
      <c r="O265" s="16">
        <v>2.0</v>
      </c>
      <c r="P265" s="16">
        <v>1.0</v>
      </c>
      <c r="Q265" s="16">
        <v>12.0</v>
      </c>
      <c r="R265" s="16">
        <v>3.0</v>
      </c>
      <c r="S265" s="16"/>
      <c r="T265" s="16">
        <v>4.0</v>
      </c>
      <c r="U265" s="16">
        <v>3.0</v>
      </c>
      <c r="V265" s="16"/>
      <c r="W265" s="16"/>
      <c r="X265" s="16"/>
      <c r="Y265" s="16"/>
      <c r="Z265" s="16"/>
      <c r="AA265" s="16"/>
      <c r="AB265" s="16">
        <v>45.0</v>
      </c>
      <c r="AC265" s="16"/>
      <c r="AD265" s="16">
        <v>1.0</v>
      </c>
      <c r="AE265" s="16"/>
      <c r="AF265" s="16"/>
      <c r="AG265" s="16"/>
      <c r="AH265" s="16"/>
      <c r="AI265" s="16"/>
      <c r="AJ265" s="16">
        <f t="shared" si="19"/>
        <v>120</v>
      </c>
      <c r="AK265" s="17">
        <f t="shared" si="20"/>
        <v>0.3333333333</v>
      </c>
      <c r="AL265" s="17">
        <f t="shared" si="23"/>
        <v>0.075</v>
      </c>
      <c r="AM265" s="17">
        <f t="shared" si="24"/>
        <v>0.15</v>
      </c>
      <c r="AN265" s="17">
        <f t="shared" si="21"/>
        <v>0.025</v>
      </c>
      <c r="AO265" s="17">
        <f t="shared" si="22"/>
        <v>0.008333333333</v>
      </c>
    </row>
    <row r="266" ht="14.25" customHeight="1">
      <c r="A266" s="31">
        <v>45873.0</v>
      </c>
      <c r="B266" s="16" t="s">
        <v>42</v>
      </c>
      <c r="C266" s="32">
        <v>9.0</v>
      </c>
      <c r="D266" s="32">
        <v>6.5</v>
      </c>
      <c r="E266" s="32">
        <v>5.9</v>
      </c>
      <c r="F266" s="16">
        <v>28.0</v>
      </c>
      <c r="G266" s="16">
        <v>3.0</v>
      </c>
      <c r="H266" s="16">
        <v>14.0</v>
      </c>
      <c r="I266" s="16">
        <v>33.0</v>
      </c>
      <c r="J266" s="16">
        <v>0.0</v>
      </c>
      <c r="K266" s="16">
        <v>11.0</v>
      </c>
      <c r="L266" s="16"/>
      <c r="M266" s="16">
        <v>2.0</v>
      </c>
      <c r="N266" s="16"/>
      <c r="O266" s="16">
        <v>16.0</v>
      </c>
      <c r="P266" s="16"/>
      <c r="Q266" s="16">
        <v>9.0</v>
      </c>
      <c r="R266" s="16">
        <v>7.0</v>
      </c>
      <c r="S266" s="16">
        <v>9.0</v>
      </c>
      <c r="T266" s="16">
        <v>4.0</v>
      </c>
      <c r="U266" s="16">
        <v>2.0</v>
      </c>
      <c r="V266" s="16"/>
      <c r="W266" s="16"/>
      <c r="X266" s="16"/>
      <c r="Y266" s="16">
        <v>1.0</v>
      </c>
      <c r="Z266" s="16"/>
      <c r="AA266" s="16"/>
      <c r="AB266" s="16">
        <v>8.0</v>
      </c>
      <c r="AC266" s="16"/>
      <c r="AD266" s="16">
        <v>1.0</v>
      </c>
      <c r="AE266" s="16"/>
      <c r="AF266" s="16"/>
      <c r="AG266" s="16"/>
      <c r="AH266" s="16"/>
      <c r="AI266" s="16"/>
      <c r="AJ266" s="16">
        <f t="shared" si="19"/>
        <v>120</v>
      </c>
      <c r="AK266" s="17">
        <f t="shared" si="20"/>
        <v>0.4166666667</v>
      </c>
      <c r="AL266" s="17">
        <f t="shared" si="23"/>
        <v>0.1083333333</v>
      </c>
      <c r="AM266" s="17">
        <f t="shared" si="24"/>
        <v>0.3416666667</v>
      </c>
      <c r="AN266" s="17">
        <f t="shared" si="21"/>
        <v>0.025</v>
      </c>
      <c r="AO266" s="17">
        <f t="shared" si="22"/>
        <v>0.008333333333</v>
      </c>
    </row>
    <row r="267" ht="14.25" customHeight="1">
      <c r="A267" s="31">
        <v>45874.0</v>
      </c>
      <c r="B267" s="16" t="s">
        <v>43</v>
      </c>
      <c r="C267" s="32">
        <v>8.0</v>
      </c>
      <c r="D267" s="32">
        <v>9.0</v>
      </c>
      <c r="E267" s="32">
        <v>7.0</v>
      </c>
      <c r="F267" s="16">
        <v>29.0</v>
      </c>
      <c r="G267" s="16">
        <v>13.0</v>
      </c>
      <c r="H267" s="16">
        <v>6.0</v>
      </c>
      <c r="I267" s="16">
        <v>49.0</v>
      </c>
      <c r="J267" s="16">
        <v>3.0</v>
      </c>
      <c r="K267" s="16">
        <v>15.0</v>
      </c>
      <c r="L267" s="16"/>
      <c r="M267" s="16">
        <v>2.0</v>
      </c>
      <c r="N267" s="16"/>
      <c r="O267" s="16">
        <v>5.0</v>
      </c>
      <c r="P267" s="16"/>
      <c r="Q267" s="16">
        <v>3.0</v>
      </c>
      <c r="R267" s="16">
        <v>5.0</v>
      </c>
      <c r="S267" s="16">
        <v>5.0</v>
      </c>
      <c r="T267" s="16">
        <v>5.0</v>
      </c>
      <c r="U267" s="16">
        <v>9.0</v>
      </c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>
        <f t="shared" si="19"/>
        <v>120</v>
      </c>
      <c r="AK267" s="17">
        <f t="shared" si="20"/>
        <v>0.5916666667</v>
      </c>
      <c r="AL267" s="17">
        <f t="shared" si="23"/>
        <v>0.1416666667</v>
      </c>
      <c r="AM267" s="17">
        <f t="shared" si="24"/>
        <v>0.15</v>
      </c>
      <c r="AN267" s="17">
        <f t="shared" si="21"/>
        <v>0.075</v>
      </c>
      <c r="AO267" s="17">
        <f t="shared" si="22"/>
        <v>0</v>
      </c>
    </row>
    <row r="268" ht="14.25" customHeight="1">
      <c r="A268" s="31">
        <v>45874.0</v>
      </c>
      <c r="B268" s="16" t="s">
        <v>44</v>
      </c>
      <c r="C268" s="32">
        <v>12.0</v>
      </c>
      <c r="D268" s="32">
        <v>13.1</v>
      </c>
      <c r="E268" s="32">
        <v>11.9</v>
      </c>
      <c r="F268" s="16">
        <v>29.0</v>
      </c>
      <c r="G268" s="16">
        <v>1.0</v>
      </c>
      <c r="H268" s="16">
        <v>10.0</v>
      </c>
      <c r="I268" s="16">
        <v>22.0</v>
      </c>
      <c r="J268" s="16">
        <v>2.0</v>
      </c>
      <c r="K268" s="16">
        <v>18.0</v>
      </c>
      <c r="L268" s="16"/>
      <c r="M268" s="16">
        <v>11.0</v>
      </c>
      <c r="N268" s="16">
        <v>2.0</v>
      </c>
      <c r="O268" s="16">
        <v>7.0</v>
      </c>
      <c r="P268" s="16"/>
      <c r="Q268" s="16">
        <v>5.0</v>
      </c>
      <c r="R268" s="16">
        <v>8.0</v>
      </c>
      <c r="S268" s="16">
        <v>2.0</v>
      </c>
      <c r="T268" s="16">
        <v>4.0</v>
      </c>
      <c r="U268" s="16">
        <v>6.0</v>
      </c>
      <c r="V268" s="16">
        <v>1.0</v>
      </c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>
        <f t="shared" si="19"/>
        <v>99</v>
      </c>
      <c r="AK268" s="17">
        <f t="shared" si="20"/>
        <v>0.2916666667</v>
      </c>
      <c r="AL268" s="17">
        <f t="shared" si="23"/>
        <v>0.2416666667</v>
      </c>
      <c r="AM268" s="17">
        <f t="shared" si="24"/>
        <v>0.1833333333</v>
      </c>
      <c r="AN268" s="17">
        <f t="shared" si="21"/>
        <v>0.05833333333</v>
      </c>
      <c r="AO268" s="17">
        <f t="shared" si="22"/>
        <v>0</v>
      </c>
    </row>
    <row r="269" ht="14.25" customHeight="1">
      <c r="A269" s="31">
        <v>45874.0</v>
      </c>
      <c r="B269" s="16" t="s">
        <v>44</v>
      </c>
      <c r="C269" s="32">
        <v>12.0</v>
      </c>
      <c r="D269" s="32">
        <v>13.2</v>
      </c>
      <c r="E269" s="32">
        <v>12.8</v>
      </c>
      <c r="F269" s="16">
        <v>29.0</v>
      </c>
      <c r="G269" s="16">
        <v>2.0</v>
      </c>
      <c r="H269" s="16">
        <v>20.0</v>
      </c>
      <c r="I269" s="16">
        <v>28.0</v>
      </c>
      <c r="J269" s="16">
        <v>1.0</v>
      </c>
      <c r="K269" s="16">
        <v>14.0</v>
      </c>
      <c r="L269" s="16"/>
      <c r="M269" s="16">
        <v>9.0</v>
      </c>
      <c r="N269" s="16"/>
      <c r="O269" s="16">
        <v>11.0</v>
      </c>
      <c r="P269" s="16"/>
      <c r="Q269" s="16">
        <v>9.0</v>
      </c>
      <c r="R269" s="16">
        <v>2.0</v>
      </c>
      <c r="S269" s="16">
        <v>2.0</v>
      </c>
      <c r="T269" s="16">
        <v>12.0</v>
      </c>
      <c r="U269" s="16">
        <v>6.0</v>
      </c>
      <c r="V269" s="16">
        <v>1.0</v>
      </c>
      <c r="W269" s="16"/>
      <c r="X269" s="16"/>
      <c r="Y269" s="16"/>
      <c r="Z269" s="16">
        <v>1.0</v>
      </c>
      <c r="AA269" s="16"/>
      <c r="AB269" s="16">
        <v>2.0</v>
      </c>
      <c r="AC269" s="16"/>
      <c r="AD269" s="16"/>
      <c r="AE269" s="16"/>
      <c r="AF269" s="16"/>
      <c r="AG269" s="16"/>
      <c r="AH269" s="16"/>
      <c r="AI269" s="16"/>
      <c r="AJ269" s="16">
        <f t="shared" si="19"/>
        <v>120</v>
      </c>
      <c r="AK269" s="17">
        <f t="shared" si="20"/>
        <v>0.425</v>
      </c>
      <c r="AL269" s="17">
        <f t="shared" si="23"/>
        <v>0.1916666667</v>
      </c>
      <c r="AM269" s="17">
        <f t="shared" si="24"/>
        <v>0.2</v>
      </c>
      <c r="AN269" s="17">
        <f t="shared" si="21"/>
        <v>0.06666666667</v>
      </c>
      <c r="AO269" s="17">
        <f t="shared" si="22"/>
        <v>0</v>
      </c>
    </row>
    <row r="270" ht="14.25" customHeight="1">
      <c r="A270" s="31">
        <v>45875.0</v>
      </c>
      <c r="B270" s="16" t="s">
        <v>42</v>
      </c>
      <c r="C270" s="32">
        <v>16.0</v>
      </c>
      <c r="D270" s="32">
        <v>6.5</v>
      </c>
      <c r="E270" s="32">
        <v>7.5</v>
      </c>
      <c r="F270" s="16">
        <v>29.0</v>
      </c>
      <c r="G270" s="16">
        <v>2.0</v>
      </c>
      <c r="H270" s="16">
        <v>24.0</v>
      </c>
      <c r="I270" s="16">
        <v>27.0</v>
      </c>
      <c r="J270" s="16">
        <v>2.0</v>
      </c>
      <c r="K270" s="16">
        <v>9.0</v>
      </c>
      <c r="L270" s="16"/>
      <c r="M270" s="16">
        <v>2.0</v>
      </c>
      <c r="N270" s="16"/>
      <c r="O270" s="16">
        <v>7.0</v>
      </c>
      <c r="P270" s="16">
        <v>1.0</v>
      </c>
      <c r="Q270" s="16">
        <v>22.0</v>
      </c>
      <c r="R270" s="16">
        <v>3.0</v>
      </c>
      <c r="S270" s="16">
        <v>4.0</v>
      </c>
      <c r="T270" s="16">
        <v>2.0</v>
      </c>
      <c r="U270" s="16">
        <v>8.0</v>
      </c>
      <c r="V270" s="16">
        <v>1.0</v>
      </c>
      <c r="W270" s="16"/>
      <c r="X270" s="16">
        <v>2.0</v>
      </c>
      <c r="Y270" s="16"/>
      <c r="Z270" s="16"/>
      <c r="AA270" s="16"/>
      <c r="AB270" s="16">
        <v>4.0</v>
      </c>
      <c r="AC270" s="16"/>
      <c r="AD270" s="16"/>
      <c r="AE270" s="16"/>
      <c r="AF270" s="16"/>
      <c r="AG270" s="16"/>
      <c r="AH270" s="16"/>
      <c r="AI270" s="16"/>
      <c r="AJ270" s="16">
        <f t="shared" si="19"/>
        <v>120</v>
      </c>
      <c r="AK270" s="17">
        <f t="shared" si="20"/>
        <v>0.4583333333</v>
      </c>
      <c r="AL270" s="17">
        <f t="shared" si="23"/>
        <v>0.09166666667</v>
      </c>
      <c r="AM270" s="17">
        <f t="shared" si="24"/>
        <v>0.3083333333</v>
      </c>
      <c r="AN270" s="17">
        <f t="shared" si="21"/>
        <v>0.09166666667</v>
      </c>
      <c r="AO270" s="17">
        <f t="shared" si="22"/>
        <v>0</v>
      </c>
    </row>
    <row r="271" ht="14.25" customHeight="1">
      <c r="A271" s="31">
        <v>45875.0</v>
      </c>
      <c r="B271" s="16" t="s">
        <v>42</v>
      </c>
      <c r="C271" s="32">
        <v>16.0</v>
      </c>
      <c r="D271" s="32">
        <v>6.1</v>
      </c>
      <c r="E271" s="32">
        <v>7.3</v>
      </c>
      <c r="F271" s="16">
        <v>29.0</v>
      </c>
      <c r="G271" s="16"/>
      <c r="H271" s="16">
        <v>19.0</v>
      </c>
      <c r="I271" s="16">
        <v>40.0</v>
      </c>
      <c r="J271" s="16"/>
      <c r="K271" s="16">
        <v>8.0</v>
      </c>
      <c r="L271" s="16"/>
      <c r="M271" s="16">
        <v>2.0</v>
      </c>
      <c r="N271" s="16"/>
      <c r="O271" s="16">
        <v>10.0</v>
      </c>
      <c r="P271" s="16"/>
      <c r="Q271" s="16">
        <v>20.0</v>
      </c>
      <c r="R271" s="16"/>
      <c r="S271" s="16"/>
      <c r="T271" s="16">
        <v>3.0</v>
      </c>
      <c r="U271" s="16">
        <v>2.0</v>
      </c>
      <c r="V271" s="16">
        <v>5.0</v>
      </c>
      <c r="W271" s="16"/>
      <c r="X271" s="16"/>
      <c r="Y271" s="16"/>
      <c r="Z271" s="16"/>
      <c r="AA271" s="16"/>
      <c r="AB271" s="16">
        <v>10.0</v>
      </c>
      <c r="AC271" s="16"/>
      <c r="AD271" s="16"/>
      <c r="AE271" s="16"/>
      <c r="AF271" s="16"/>
      <c r="AG271" s="16">
        <v>1.0</v>
      </c>
      <c r="AH271" s="16"/>
      <c r="AI271" s="16"/>
      <c r="AJ271" s="16">
        <f t="shared" si="19"/>
        <v>120</v>
      </c>
      <c r="AK271" s="17">
        <f t="shared" si="20"/>
        <v>0.4916666667</v>
      </c>
      <c r="AL271" s="17">
        <f t="shared" si="23"/>
        <v>0.08333333333</v>
      </c>
      <c r="AM271" s="17">
        <f t="shared" si="24"/>
        <v>0.25</v>
      </c>
      <c r="AN271" s="17">
        <f t="shared" si="21"/>
        <v>0.05833333333</v>
      </c>
      <c r="AO271" s="17">
        <f t="shared" si="22"/>
        <v>0.008333333333</v>
      </c>
    </row>
    <row r="272" ht="14.25" customHeight="1">
      <c r="A272" s="31">
        <v>45875.0</v>
      </c>
      <c r="B272" s="16" t="s">
        <v>45</v>
      </c>
      <c r="C272" s="32">
        <v>8.0</v>
      </c>
      <c r="D272" s="32">
        <v>12.6</v>
      </c>
      <c r="E272" s="32">
        <v>11.0</v>
      </c>
      <c r="F272" s="16">
        <v>29.0</v>
      </c>
      <c r="G272" s="16"/>
      <c r="H272" s="16">
        <v>20.0</v>
      </c>
      <c r="I272" s="16">
        <v>25.0</v>
      </c>
      <c r="J272" s="16">
        <v>1.0</v>
      </c>
      <c r="K272" s="16">
        <v>20.0</v>
      </c>
      <c r="L272" s="16"/>
      <c r="M272" s="16">
        <v>4.0</v>
      </c>
      <c r="N272" s="16"/>
      <c r="O272" s="16">
        <v>2.0</v>
      </c>
      <c r="P272" s="16">
        <v>1.0</v>
      </c>
      <c r="Q272" s="16">
        <v>19.0</v>
      </c>
      <c r="R272" s="16">
        <v>8.0</v>
      </c>
      <c r="S272" s="16">
        <v>4.0</v>
      </c>
      <c r="T272" s="16">
        <v>6.0</v>
      </c>
      <c r="U272" s="16">
        <v>4.0</v>
      </c>
      <c r="V272" s="16">
        <v>2.0</v>
      </c>
      <c r="W272" s="16"/>
      <c r="X272" s="16">
        <v>2.0</v>
      </c>
      <c r="Y272" s="16"/>
      <c r="Z272" s="16"/>
      <c r="AA272" s="16"/>
      <c r="AB272" s="16"/>
      <c r="AC272" s="16">
        <v>1.0</v>
      </c>
      <c r="AD272" s="16"/>
      <c r="AE272" s="16"/>
      <c r="AF272" s="16"/>
      <c r="AG272" s="16"/>
      <c r="AH272" s="16"/>
      <c r="AI272" s="16"/>
      <c r="AJ272" s="16">
        <f t="shared" si="19"/>
        <v>119</v>
      </c>
      <c r="AK272" s="17">
        <f t="shared" si="20"/>
        <v>0.3833333333</v>
      </c>
      <c r="AL272" s="17">
        <f t="shared" si="23"/>
        <v>0.2</v>
      </c>
      <c r="AM272" s="17">
        <f t="shared" si="24"/>
        <v>0.2833333333</v>
      </c>
      <c r="AN272" s="17">
        <f t="shared" si="21"/>
        <v>0.06666666667</v>
      </c>
      <c r="AO272" s="17">
        <f t="shared" si="22"/>
        <v>0</v>
      </c>
    </row>
    <row r="273" ht="14.25" customHeight="1">
      <c r="A273" s="31">
        <v>45875.0</v>
      </c>
      <c r="B273" s="16" t="s">
        <v>45</v>
      </c>
      <c r="C273" s="32">
        <v>8.0</v>
      </c>
      <c r="D273" s="32">
        <v>11.5</v>
      </c>
      <c r="E273" s="32">
        <v>11.2</v>
      </c>
      <c r="F273" s="16">
        <v>29.0</v>
      </c>
      <c r="G273" s="16"/>
      <c r="H273" s="16">
        <v>9.0</v>
      </c>
      <c r="I273" s="16">
        <v>24.0</v>
      </c>
      <c r="J273" s="16"/>
      <c r="K273" s="16">
        <v>13.0</v>
      </c>
      <c r="L273" s="16"/>
      <c r="M273" s="16">
        <v>7.0</v>
      </c>
      <c r="N273" s="16">
        <v>1.0</v>
      </c>
      <c r="O273" s="16">
        <v>3.0</v>
      </c>
      <c r="P273" s="16">
        <v>1.0</v>
      </c>
      <c r="Q273" s="16">
        <v>25.0</v>
      </c>
      <c r="R273" s="16">
        <v>4.0</v>
      </c>
      <c r="S273" s="16">
        <v>1.0</v>
      </c>
      <c r="T273" s="16">
        <v>4.0</v>
      </c>
      <c r="U273" s="16">
        <v>5.0</v>
      </c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>
        <v>23.0</v>
      </c>
      <c r="AH273" s="16"/>
      <c r="AI273" s="16"/>
      <c r="AJ273" s="16">
        <f t="shared" si="19"/>
        <v>120</v>
      </c>
      <c r="AK273" s="17">
        <f t="shared" si="20"/>
        <v>0.275</v>
      </c>
      <c r="AL273" s="17">
        <f t="shared" si="23"/>
        <v>0.1666666667</v>
      </c>
      <c r="AM273" s="17">
        <f t="shared" si="24"/>
        <v>0.2833333333</v>
      </c>
      <c r="AN273" s="17">
        <f t="shared" si="21"/>
        <v>0.04166666667</v>
      </c>
      <c r="AO273" s="17">
        <f t="shared" si="22"/>
        <v>0.1916666667</v>
      </c>
    </row>
    <row r="274" ht="14.25" customHeight="1">
      <c r="A274" s="31">
        <v>45876.0</v>
      </c>
      <c r="B274" s="18" t="s">
        <v>41</v>
      </c>
      <c r="C274" s="32">
        <v>10.0</v>
      </c>
      <c r="D274" s="32">
        <v>11.2</v>
      </c>
      <c r="E274" s="32">
        <v>11.5</v>
      </c>
      <c r="F274" s="16">
        <v>29.0</v>
      </c>
      <c r="G274" s="16"/>
      <c r="H274" s="16">
        <v>14.0</v>
      </c>
      <c r="I274" s="16">
        <v>12.0</v>
      </c>
      <c r="J274" s="16">
        <v>1.0</v>
      </c>
      <c r="K274" s="16">
        <v>9.0</v>
      </c>
      <c r="L274" s="16"/>
      <c r="M274" s="16">
        <v>1.0</v>
      </c>
      <c r="N274" s="16"/>
      <c r="O274" s="16"/>
      <c r="P274" s="16">
        <v>5.0</v>
      </c>
      <c r="Q274" s="16">
        <v>16.0</v>
      </c>
      <c r="R274" s="16">
        <v>5.0</v>
      </c>
      <c r="S274" s="16"/>
      <c r="T274" s="16">
        <v>5.0</v>
      </c>
      <c r="U274" s="16"/>
      <c r="V274" s="16">
        <v>1.0</v>
      </c>
      <c r="W274" s="16"/>
      <c r="X274" s="16"/>
      <c r="Y274" s="16"/>
      <c r="Z274" s="16"/>
      <c r="AA274" s="16"/>
      <c r="AB274" s="16">
        <v>1.0</v>
      </c>
      <c r="AC274" s="16"/>
      <c r="AD274" s="16"/>
      <c r="AE274" s="16"/>
      <c r="AF274" s="16"/>
      <c r="AG274" s="16">
        <v>50.0</v>
      </c>
      <c r="AH274" s="16"/>
      <c r="AI274" s="16"/>
      <c r="AJ274" s="16">
        <f t="shared" si="19"/>
        <v>120</v>
      </c>
      <c r="AK274" s="17">
        <f t="shared" si="20"/>
        <v>0.225</v>
      </c>
      <c r="AL274" s="17">
        <f t="shared" si="23"/>
        <v>0.08333333333</v>
      </c>
      <c r="AM274" s="17">
        <f t="shared" si="24"/>
        <v>0.2166666667</v>
      </c>
      <c r="AN274" s="17">
        <f t="shared" si="21"/>
        <v>0.008333333333</v>
      </c>
      <c r="AO274" s="17">
        <f t="shared" si="22"/>
        <v>0.4166666667</v>
      </c>
    </row>
    <row r="275" ht="14.25" customHeight="1">
      <c r="A275" s="31">
        <v>45876.0</v>
      </c>
      <c r="B275" s="18" t="s">
        <v>41</v>
      </c>
      <c r="C275" s="32">
        <v>10.0</v>
      </c>
      <c r="D275" s="32">
        <v>10.5</v>
      </c>
      <c r="E275" s="32">
        <v>11.4</v>
      </c>
      <c r="F275" s="16">
        <v>29.0</v>
      </c>
      <c r="G275" s="16"/>
      <c r="H275" s="16">
        <v>6.0</v>
      </c>
      <c r="I275" s="16">
        <v>24.0</v>
      </c>
      <c r="J275" s="16"/>
      <c r="K275" s="16">
        <v>7.0</v>
      </c>
      <c r="L275" s="16"/>
      <c r="M275" s="16">
        <v>4.0</v>
      </c>
      <c r="N275" s="16"/>
      <c r="O275" s="16">
        <v>4.0</v>
      </c>
      <c r="P275" s="16">
        <v>1.0</v>
      </c>
      <c r="Q275" s="16">
        <v>14.0</v>
      </c>
      <c r="R275" s="16">
        <v>7.0</v>
      </c>
      <c r="S275" s="16"/>
      <c r="T275" s="16"/>
      <c r="U275" s="16">
        <v>1.0</v>
      </c>
      <c r="V275" s="16">
        <v>1.0</v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>
        <v>51.0</v>
      </c>
      <c r="AH275" s="16"/>
      <c r="AI275" s="16"/>
      <c r="AJ275" s="16">
        <f t="shared" si="19"/>
        <v>120</v>
      </c>
      <c r="AK275" s="17">
        <f t="shared" si="20"/>
        <v>0.25</v>
      </c>
      <c r="AL275" s="17">
        <f t="shared" si="23"/>
        <v>0.09166666667</v>
      </c>
      <c r="AM275" s="17">
        <f t="shared" si="24"/>
        <v>0.2166666667</v>
      </c>
      <c r="AN275" s="17">
        <f t="shared" si="21"/>
        <v>0.01666666667</v>
      </c>
      <c r="AO275" s="17">
        <f t="shared" si="22"/>
        <v>0.425</v>
      </c>
    </row>
    <row r="276" ht="14.25" customHeight="1">
      <c r="A276" s="31">
        <v>45876.0</v>
      </c>
      <c r="B276" s="16" t="s">
        <v>42</v>
      </c>
      <c r="C276" s="32">
        <v>12.0</v>
      </c>
      <c r="D276" s="32">
        <v>13.0</v>
      </c>
      <c r="E276" s="32">
        <v>12.7</v>
      </c>
      <c r="F276" s="16">
        <v>29.0</v>
      </c>
      <c r="G276" s="16">
        <v>1.0</v>
      </c>
      <c r="H276" s="16">
        <v>28.0</v>
      </c>
      <c r="I276" s="16">
        <v>10.0</v>
      </c>
      <c r="J276" s="16">
        <v>1.0</v>
      </c>
      <c r="K276" s="16">
        <v>18.0</v>
      </c>
      <c r="L276" s="16"/>
      <c r="M276" s="16">
        <v>7.0</v>
      </c>
      <c r="N276" s="16"/>
      <c r="O276" s="16">
        <v>1.0</v>
      </c>
      <c r="P276" s="16">
        <v>1.0</v>
      </c>
      <c r="Q276" s="16">
        <v>3.0</v>
      </c>
      <c r="R276" s="16">
        <v>5.0</v>
      </c>
      <c r="S276" s="16"/>
      <c r="T276" s="16">
        <v>4.0</v>
      </c>
      <c r="U276" s="16">
        <v>1.0</v>
      </c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>
        <v>40.0</v>
      </c>
      <c r="AH276" s="16"/>
      <c r="AI276" s="16"/>
      <c r="AJ276" s="16">
        <f t="shared" si="19"/>
        <v>120</v>
      </c>
      <c r="AK276" s="17">
        <f t="shared" si="20"/>
        <v>0.3333333333</v>
      </c>
      <c r="AL276" s="17">
        <f t="shared" si="23"/>
        <v>0.2083333333</v>
      </c>
      <c r="AM276" s="17">
        <f t="shared" si="24"/>
        <v>0.08333333333</v>
      </c>
      <c r="AN276" s="17">
        <f t="shared" si="21"/>
        <v>0.008333333333</v>
      </c>
      <c r="AO276" s="17">
        <f t="shared" si="22"/>
        <v>0.3333333333</v>
      </c>
    </row>
    <row r="277" ht="14.25" customHeight="1">
      <c r="A277" s="31">
        <v>45876.0</v>
      </c>
      <c r="B277" s="16" t="s">
        <v>42</v>
      </c>
      <c r="C277" s="32">
        <v>12.0</v>
      </c>
      <c r="D277" s="32">
        <v>10.6</v>
      </c>
      <c r="E277" s="32">
        <v>11.6</v>
      </c>
      <c r="F277" s="16">
        <v>29.0</v>
      </c>
      <c r="G277" s="16"/>
      <c r="H277" s="16">
        <v>9.0</v>
      </c>
      <c r="I277" s="16">
        <v>24.0</v>
      </c>
      <c r="J277" s="16"/>
      <c r="K277" s="16">
        <v>26.0</v>
      </c>
      <c r="L277" s="16"/>
      <c r="M277" s="16">
        <v>9.0</v>
      </c>
      <c r="N277" s="16"/>
      <c r="O277" s="16">
        <v>7.0</v>
      </c>
      <c r="P277" s="16"/>
      <c r="Q277" s="16">
        <v>6.0</v>
      </c>
      <c r="R277" s="16">
        <v>3.0</v>
      </c>
      <c r="S277" s="16"/>
      <c r="T277" s="16">
        <v>1.0</v>
      </c>
      <c r="U277" s="16">
        <v>8.0</v>
      </c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>
        <v>26.0</v>
      </c>
      <c r="AH277" s="16"/>
      <c r="AI277" s="16"/>
      <c r="AJ277" s="16">
        <f t="shared" si="19"/>
        <v>119</v>
      </c>
      <c r="AK277" s="17">
        <f t="shared" si="20"/>
        <v>0.275</v>
      </c>
      <c r="AL277" s="17">
        <f t="shared" si="23"/>
        <v>0.2916666667</v>
      </c>
      <c r="AM277" s="17">
        <f t="shared" si="24"/>
        <v>0.1333333333</v>
      </c>
      <c r="AN277" s="17">
        <f t="shared" si="21"/>
        <v>0.06666666667</v>
      </c>
      <c r="AO277" s="17">
        <f t="shared" si="22"/>
        <v>0.2166666667</v>
      </c>
    </row>
    <row r="278" ht="14.25" customHeight="1">
      <c r="A278" s="31">
        <v>45877.0</v>
      </c>
      <c r="B278" s="16" t="s">
        <v>42</v>
      </c>
      <c r="C278" s="32">
        <v>11.0</v>
      </c>
      <c r="D278" s="32">
        <v>7.8</v>
      </c>
      <c r="E278" s="32">
        <v>7.1</v>
      </c>
      <c r="F278" s="16">
        <v>29.0</v>
      </c>
      <c r="G278" s="16"/>
      <c r="H278" s="16">
        <v>16.0</v>
      </c>
      <c r="I278" s="16">
        <v>34.0</v>
      </c>
      <c r="J278" s="16">
        <v>1.0</v>
      </c>
      <c r="K278" s="16">
        <v>13.0</v>
      </c>
      <c r="L278" s="16"/>
      <c r="M278" s="16">
        <v>1.0</v>
      </c>
      <c r="N278" s="16"/>
      <c r="O278" s="16">
        <v>2.0</v>
      </c>
      <c r="P278" s="16"/>
      <c r="Q278" s="16">
        <v>26.0</v>
      </c>
      <c r="R278" s="16">
        <v>3.0</v>
      </c>
      <c r="S278" s="16">
        <v>4.0</v>
      </c>
      <c r="T278" s="16">
        <v>5.0</v>
      </c>
      <c r="U278" s="16">
        <v>10.0</v>
      </c>
      <c r="V278" s="16"/>
      <c r="W278" s="16"/>
      <c r="X278" s="16">
        <v>1.0</v>
      </c>
      <c r="Y278" s="16"/>
      <c r="Z278" s="16"/>
      <c r="AA278" s="16"/>
      <c r="AB278" s="16">
        <v>3.0</v>
      </c>
      <c r="AC278" s="16"/>
      <c r="AD278" s="16"/>
      <c r="AE278" s="16"/>
      <c r="AF278" s="16"/>
      <c r="AG278" s="16">
        <v>1.0</v>
      </c>
      <c r="AH278" s="16"/>
      <c r="AI278" s="16"/>
      <c r="AJ278" s="16">
        <f t="shared" si="19"/>
        <v>120</v>
      </c>
      <c r="AK278" s="17">
        <f t="shared" si="20"/>
        <v>0.425</v>
      </c>
      <c r="AL278" s="17">
        <f t="shared" si="23"/>
        <v>0.1166666667</v>
      </c>
      <c r="AM278" s="17">
        <f t="shared" si="24"/>
        <v>0.2916666667</v>
      </c>
      <c r="AN278" s="17">
        <f t="shared" si="21"/>
        <v>0.09166666667</v>
      </c>
      <c r="AO278" s="17">
        <f t="shared" si="22"/>
        <v>0.008333333333</v>
      </c>
    </row>
    <row r="279" ht="14.25" customHeight="1">
      <c r="A279" s="31">
        <v>45877.0</v>
      </c>
      <c r="B279" s="16" t="s">
        <v>42</v>
      </c>
      <c r="C279" s="32">
        <v>11.0</v>
      </c>
      <c r="D279" s="32">
        <v>7.7</v>
      </c>
      <c r="E279" s="32">
        <v>8.0</v>
      </c>
      <c r="F279" s="16">
        <v>29.0</v>
      </c>
      <c r="G279" s="16"/>
      <c r="H279" s="16">
        <v>14.0</v>
      </c>
      <c r="I279" s="16">
        <v>45.0</v>
      </c>
      <c r="J279" s="16">
        <v>1.0</v>
      </c>
      <c r="K279" s="16">
        <v>10.0</v>
      </c>
      <c r="L279" s="16"/>
      <c r="M279" s="16">
        <v>5.0</v>
      </c>
      <c r="N279" s="16"/>
      <c r="O279" s="16">
        <v>10.0</v>
      </c>
      <c r="P279" s="34">
        <v>2.0</v>
      </c>
      <c r="Q279" s="16">
        <v>12.0</v>
      </c>
      <c r="R279" s="16">
        <v>9.0</v>
      </c>
      <c r="S279" s="16"/>
      <c r="T279" s="16"/>
      <c r="U279" s="16">
        <v>5.0</v>
      </c>
      <c r="V279" s="16">
        <v>1.0</v>
      </c>
      <c r="W279" s="16"/>
      <c r="X279" s="16">
        <v>1.0</v>
      </c>
      <c r="Y279" s="16"/>
      <c r="Z279" s="16"/>
      <c r="AA279" s="16"/>
      <c r="AB279" s="16"/>
      <c r="AC279" s="16"/>
      <c r="AD279" s="16"/>
      <c r="AE279" s="16"/>
      <c r="AF279" s="16"/>
      <c r="AG279" s="16">
        <v>2.0</v>
      </c>
      <c r="AH279" s="16"/>
      <c r="AI279" s="16"/>
      <c r="AJ279" s="16">
        <f t="shared" si="19"/>
        <v>117</v>
      </c>
      <c r="AK279" s="17">
        <f t="shared" si="20"/>
        <v>0.5</v>
      </c>
      <c r="AL279" s="17">
        <f t="shared" si="23"/>
        <v>0.125</v>
      </c>
      <c r="AM279" s="17">
        <f t="shared" si="24"/>
        <v>0.275</v>
      </c>
      <c r="AN279" s="17">
        <f t="shared" si="21"/>
        <v>0.05833333333</v>
      </c>
      <c r="AO279" s="17">
        <f t="shared" si="22"/>
        <v>0.01666666667</v>
      </c>
    </row>
    <row r="280" ht="14.25" customHeight="1">
      <c r="A280" s="31">
        <v>45877.0</v>
      </c>
      <c r="B280" s="16" t="s">
        <v>45</v>
      </c>
      <c r="C280" s="32">
        <v>15.0</v>
      </c>
      <c r="D280" s="32">
        <v>10.3</v>
      </c>
      <c r="E280" s="32">
        <v>10.0</v>
      </c>
      <c r="F280" s="16">
        <v>29.0</v>
      </c>
      <c r="G280" s="16">
        <v>1.0</v>
      </c>
      <c r="H280" s="16">
        <v>21.0</v>
      </c>
      <c r="I280" s="16">
        <v>14.0</v>
      </c>
      <c r="J280" s="16"/>
      <c r="K280" s="16">
        <v>5.0</v>
      </c>
      <c r="L280" s="16"/>
      <c r="M280" s="16"/>
      <c r="N280" s="16"/>
      <c r="O280" s="16">
        <v>2.0</v>
      </c>
      <c r="P280" s="16">
        <v>3.0</v>
      </c>
      <c r="Q280" s="16">
        <v>36.0</v>
      </c>
      <c r="R280" s="16">
        <v>3.0</v>
      </c>
      <c r="S280" s="16"/>
      <c r="T280" s="16">
        <v>2.0</v>
      </c>
      <c r="U280" s="16">
        <v>3.0</v>
      </c>
      <c r="V280" s="16">
        <v>1.0</v>
      </c>
      <c r="W280" s="16"/>
      <c r="X280" s="16"/>
      <c r="Y280" s="16"/>
      <c r="Z280" s="16"/>
      <c r="AA280" s="16"/>
      <c r="AB280" s="16">
        <v>6.0</v>
      </c>
      <c r="AC280" s="16"/>
      <c r="AD280" s="16"/>
      <c r="AE280" s="16">
        <v>1.0</v>
      </c>
      <c r="AF280" s="16"/>
      <c r="AG280" s="16">
        <v>22.0</v>
      </c>
      <c r="AH280" s="16"/>
      <c r="AI280" s="16"/>
      <c r="AJ280" s="16">
        <f t="shared" si="19"/>
        <v>120</v>
      </c>
      <c r="AK280" s="17">
        <f t="shared" si="20"/>
        <v>0.3</v>
      </c>
      <c r="AL280" s="17">
        <f t="shared" si="23"/>
        <v>0.04166666667</v>
      </c>
      <c r="AM280" s="17">
        <f t="shared" si="24"/>
        <v>0.3666666667</v>
      </c>
      <c r="AN280" s="17">
        <f t="shared" si="21"/>
        <v>0.03333333333</v>
      </c>
      <c r="AO280" s="17">
        <f t="shared" si="22"/>
        <v>0.1916666667</v>
      </c>
    </row>
    <row r="281" ht="14.25" customHeight="1">
      <c r="A281" s="31">
        <v>45877.0</v>
      </c>
      <c r="B281" s="16" t="s">
        <v>45</v>
      </c>
      <c r="C281" s="32">
        <v>15.0</v>
      </c>
      <c r="D281" s="32">
        <v>10.5</v>
      </c>
      <c r="E281" s="32">
        <v>10.1</v>
      </c>
      <c r="F281" s="16">
        <v>29.0</v>
      </c>
      <c r="G281" s="16"/>
      <c r="H281" s="16">
        <v>4.0</v>
      </c>
      <c r="I281" s="16">
        <v>22.0</v>
      </c>
      <c r="J281" s="16"/>
      <c r="K281" s="16">
        <v>7.0</v>
      </c>
      <c r="L281" s="16"/>
      <c r="M281" s="16">
        <v>3.0</v>
      </c>
      <c r="N281" s="16"/>
      <c r="O281" s="16">
        <v>6.0</v>
      </c>
      <c r="P281" s="16">
        <v>3.0</v>
      </c>
      <c r="Q281" s="16">
        <v>20.0</v>
      </c>
      <c r="R281" s="16">
        <v>4.0</v>
      </c>
      <c r="S281" s="16"/>
      <c r="T281" s="16"/>
      <c r="U281" s="16">
        <v>3.0</v>
      </c>
      <c r="V281" s="16"/>
      <c r="W281" s="16"/>
      <c r="X281" s="16"/>
      <c r="Y281" s="16"/>
      <c r="Z281" s="16"/>
      <c r="AA281" s="16"/>
      <c r="AB281" s="16">
        <v>2.0</v>
      </c>
      <c r="AC281" s="16"/>
      <c r="AD281" s="16"/>
      <c r="AE281" s="16"/>
      <c r="AF281" s="16">
        <v>1.0</v>
      </c>
      <c r="AG281" s="16">
        <v>44.0</v>
      </c>
      <c r="AH281" s="16"/>
      <c r="AI281" s="16"/>
      <c r="AJ281" s="16">
        <f t="shared" si="19"/>
        <v>119</v>
      </c>
      <c r="AK281" s="17">
        <f t="shared" si="20"/>
        <v>0.2166666667</v>
      </c>
      <c r="AL281" s="17">
        <f t="shared" si="23"/>
        <v>0.08333333333</v>
      </c>
      <c r="AM281" s="17">
        <f t="shared" si="24"/>
        <v>0.275</v>
      </c>
      <c r="AN281" s="17">
        <f t="shared" si="21"/>
        <v>0.025</v>
      </c>
      <c r="AO281" s="17">
        <f t="shared" si="22"/>
        <v>0.375</v>
      </c>
    </row>
    <row r="282" ht="14.25" customHeight="1">
      <c r="A282" s="31">
        <v>45882.0</v>
      </c>
      <c r="B282" s="18" t="s">
        <v>41</v>
      </c>
      <c r="C282" s="32">
        <v>9.8</v>
      </c>
      <c r="D282" s="32">
        <v>11.9</v>
      </c>
      <c r="E282" s="32">
        <v>11.9</v>
      </c>
      <c r="F282" s="16">
        <v>30.0</v>
      </c>
      <c r="G282" s="16">
        <v>0.0</v>
      </c>
      <c r="H282" s="16">
        <v>31.0</v>
      </c>
      <c r="I282" s="16">
        <v>14.0</v>
      </c>
      <c r="J282" s="16">
        <v>4.0</v>
      </c>
      <c r="K282" s="16">
        <v>10.0</v>
      </c>
      <c r="L282" s="16"/>
      <c r="M282" s="16"/>
      <c r="N282" s="16"/>
      <c r="O282" s="16">
        <v>20.0</v>
      </c>
      <c r="P282" s="16">
        <v>1.0</v>
      </c>
      <c r="Q282" s="16">
        <v>4.0</v>
      </c>
      <c r="R282" s="16">
        <v>8.0</v>
      </c>
      <c r="S282" s="16">
        <v>2.0</v>
      </c>
      <c r="T282" s="16">
        <v>1.0</v>
      </c>
      <c r="U282" s="16"/>
      <c r="V282" s="16"/>
      <c r="W282" s="16"/>
      <c r="X282" s="16"/>
      <c r="Y282" s="16"/>
      <c r="Z282" s="16"/>
      <c r="AA282" s="16">
        <v>1.0</v>
      </c>
      <c r="AB282" s="16">
        <v>3.0</v>
      </c>
      <c r="AC282" s="16"/>
      <c r="AD282" s="16">
        <v>3.0</v>
      </c>
      <c r="AE282" s="16"/>
      <c r="AF282" s="16"/>
      <c r="AG282" s="16">
        <v>18.0</v>
      </c>
      <c r="AH282" s="16"/>
      <c r="AI282" s="16"/>
      <c r="AJ282" s="16">
        <f t="shared" si="19"/>
        <v>120</v>
      </c>
      <c r="AK282" s="17">
        <f t="shared" si="20"/>
        <v>0.4083333333</v>
      </c>
      <c r="AL282" s="17">
        <f t="shared" si="23"/>
        <v>0.08333333333</v>
      </c>
      <c r="AM282" s="17">
        <f t="shared" si="24"/>
        <v>0.2916666667</v>
      </c>
      <c r="AN282" s="17">
        <f t="shared" si="21"/>
        <v>0.008333333333</v>
      </c>
      <c r="AO282" s="17">
        <f t="shared" si="22"/>
        <v>0.175</v>
      </c>
    </row>
    <row r="283" ht="14.25" customHeight="1">
      <c r="A283" s="31">
        <v>45882.0</v>
      </c>
      <c r="B283" s="18" t="s">
        <v>41</v>
      </c>
      <c r="C283" s="32">
        <v>9.8</v>
      </c>
      <c r="D283" s="32">
        <v>11.1</v>
      </c>
      <c r="E283" s="32">
        <v>13.3</v>
      </c>
      <c r="F283" s="16">
        <v>29.0</v>
      </c>
      <c r="G283" s="16"/>
      <c r="H283" s="16">
        <v>34.0</v>
      </c>
      <c r="I283" s="16">
        <v>7.0</v>
      </c>
      <c r="J283" s="16"/>
      <c r="K283" s="16">
        <v>8.0</v>
      </c>
      <c r="L283" s="16"/>
      <c r="M283" s="16"/>
      <c r="N283" s="16"/>
      <c r="O283" s="16">
        <v>6.0</v>
      </c>
      <c r="P283" s="16">
        <v>4.0</v>
      </c>
      <c r="Q283" s="16">
        <v>7.0</v>
      </c>
      <c r="R283" s="16">
        <v>1.0</v>
      </c>
      <c r="S283" s="16">
        <v>3.0</v>
      </c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>
        <v>48.0</v>
      </c>
      <c r="AH283" s="16"/>
      <c r="AI283" s="16"/>
      <c r="AJ283" s="16">
        <f t="shared" si="19"/>
        <v>118</v>
      </c>
      <c r="AK283" s="17">
        <f t="shared" si="20"/>
        <v>0.3416666667</v>
      </c>
      <c r="AL283" s="17">
        <f t="shared" si="23"/>
        <v>0.06666666667</v>
      </c>
      <c r="AM283" s="17">
        <f t="shared" si="24"/>
        <v>0.175</v>
      </c>
      <c r="AN283" s="17">
        <f t="shared" si="21"/>
        <v>0</v>
      </c>
      <c r="AO283" s="17">
        <f t="shared" si="22"/>
        <v>0.4</v>
      </c>
    </row>
    <row r="284" ht="14.25" customHeight="1">
      <c r="A284" s="31">
        <v>45882.0</v>
      </c>
      <c r="B284" s="16" t="s">
        <v>42</v>
      </c>
      <c r="C284" s="32">
        <v>10.5</v>
      </c>
      <c r="D284" s="32">
        <v>7.7</v>
      </c>
      <c r="E284" s="32">
        <v>12.1</v>
      </c>
      <c r="F284" s="16">
        <v>29.0</v>
      </c>
      <c r="G284" s="16">
        <v>3.0</v>
      </c>
      <c r="H284" s="16">
        <v>35.0</v>
      </c>
      <c r="I284" s="16">
        <v>22.0</v>
      </c>
      <c r="J284" s="16"/>
      <c r="K284" s="16">
        <v>20.0</v>
      </c>
      <c r="L284" s="16"/>
      <c r="M284" s="16"/>
      <c r="N284" s="16">
        <v>1.0</v>
      </c>
      <c r="O284" s="16">
        <v>13.0</v>
      </c>
      <c r="P284" s="16"/>
      <c r="Q284" s="16">
        <v>15.0</v>
      </c>
      <c r="R284" s="16">
        <v>1.0</v>
      </c>
      <c r="S284" s="16">
        <v>1.0</v>
      </c>
      <c r="T284" s="16"/>
      <c r="U284" s="16">
        <v>1.0</v>
      </c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>
        <v>6.0</v>
      </c>
      <c r="AH284" s="16"/>
      <c r="AI284" s="16"/>
      <c r="AJ284" s="16">
        <f t="shared" si="19"/>
        <v>118</v>
      </c>
      <c r="AK284" s="17">
        <f t="shared" si="20"/>
        <v>0.5</v>
      </c>
      <c r="AL284" s="17">
        <f t="shared" si="23"/>
        <v>0.1666666667</v>
      </c>
      <c r="AM284" s="17">
        <f t="shared" si="24"/>
        <v>0.25</v>
      </c>
      <c r="AN284" s="17">
        <f t="shared" si="21"/>
        <v>0.008333333333</v>
      </c>
      <c r="AO284" s="17">
        <f t="shared" si="22"/>
        <v>0.05</v>
      </c>
    </row>
    <row r="285" ht="14.25" customHeight="1">
      <c r="A285" s="31">
        <v>45882.0</v>
      </c>
      <c r="B285" s="16" t="s">
        <v>42</v>
      </c>
      <c r="C285" s="32">
        <v>10.5</v>
      </c>
      <c r="D285" s="32">
        <v>13.2</v>
      </c>
      <c r="E285" s="32">
        <v>13.2</v>
      </c>
      <c r="F285" s="16">
        <v>30.0</v>
      </c>
      <c r="G285" s="16"/>
      <c r="H285" s="16">
        <v>53.0</v>
      </c>
      <c r="I285" s="16">
        <v>14.0</v>
      </c>
      <c r="J285" s="16">
        <v>5.0</v>
      </c>
      <c r="K285" s="16">
        <v>2.0</v>
      </c>
      <c r="L285" s="16">
        <v>1.0</v>
      </c>
      <c r="M285" s="16">
        <v>8.0</v>
      </c>
      <c r="N285" s="16">
        <v>5.0</v>
      </c>
      <c r="O285" s="16">
        <v>5.0</v>
      </c>
      <c r="P285" s="16"/>
      <c r="Q285" s="16">
        <v>9.0</v>
      </c>
      <c r="R285" s="16">
        <v>3.0</v>
      </c>
      <c r="S285" s="16">
        <v>7.0</v>
      </c>
      <c r="T285" s="16">
        <v>2.0</v>
      </c>
      <c r="U285" s="16">
        <v>4.0</v>
      </c>
      <c r="V285" s="16">
        <v>1.0</v>
      </c>
      <c r="W285" s="16"/>
      <c r="X285" s="16"/>
      <c r="Y285" s="16"/>
      <c r="Z285" s="16"/>
      <c r="AA285" s="16"/>
      <c r="AB285" s="16"/>
      <c r="AC285" s="16"/>
      <c r="AD285" s="16">
        <v>1.0</v>
      </c>
      <c r="AE285" s="16"/>
      <c r="AF285" s="16"/>
      <c r="AG285" s="16"/>
      <c r="AH285" s="16"/>
      <c r="AI285" s="16"/>
      <c r="AJ285" s="16">
        <f t="shared" si="19"/>
        <v>120</v>
      </c>
      <c r="AK285" s="17">
        <f t="shared" si="20"/>
        <v>0.6</v>
      </c>
      <c r="AL285" s="17">
        <f t="shared" si="23"/>
        <v>0.09166666667</v>
      </c>
      <c r="AM285" s="17">
        <f t="shared" si="24"/>
        <v>0.2</v>
      </c>
      <c r="AN285" s="17">
        <f t="shared" si="21"/>
        <v>0.04166666667</v>
      </c>
      <c r="AO285" s="17">
        <f t="shared" si="22"/>
        <v>0.008333333333</v>
      </c>
    </row>
    <row r="286" ht="14.25" customHeight="1">
      <c r="A286" s="31">
        <v>45883.0</v>
      </c>
      <c r="B286" s="16" t="s">
        <v>45</v>
      </c>
      <c r="C286" s="32">
        <v>9.0</v>
      </c>
      <c r="D286" s="32">
        <v>11.4</v>
      </c>
      <c r="E286" s="32">
        <v>11.9</v>
      </c>
      <c r="F286" s="16">
        <v>29.0</v>
      </c>
      <c r="G286" s="16"/>
      <c r="H286" s="16">
        <v>50.0</v>
      </c>
      <c r="I286" s="16">
        <v>19.0</v>
      </c>
      <c r="J286" s="16"/>
      <c r="K286" s="16">
        <v>4.0</v>
      </c>
      <c r="L286" s="16"/>
      <c r="M286" s="16">
        <v>2.0</v>
      </c>
      <c r="N286" s="16">
        <v>3.0</v>
      </c>
      <c r="O286" s="16">
        <v>21.0</v>
      </c>
      <c r="P286" s="16"/>
      <c r="Q286" s="16">
        <v>10.0</v>
      </c>
      <c r="R286" s="16">
        <v>4.0</v>
      </c>
      <c r="S286" s="16">
        <v>4.0</v>
      </c>
      <c r="T286" s="16"/>
      <c r="U286" s="16">
        <v>3.0</v>
      </c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>
        <f t="shared" si="19"/>
        <v>120</v>
      </c>
      <c r="AK286" s="17">
        <f t="shared" si="20"/>
        <v>0.575</v>
      </c>
      <c r="AL286" s="17">
        <f t="shared" si="23"/>
        <v>0.05</v>
      </c>
      <c r="AM286" s="17">
        <f t="shared" si="24"/>
        <v>0.325</v>
      </c>
      <c r="AN286" s="17">
        <f t="shared" si="21"/>
        <v>0.025</v>
      </c>
      <c r="AO286" s="17">
        <f t="shared" si="22"/>
        <v>0</v>
      </c>
    </row>
    <row r="287" ht="14.25" customHeight="1">
      <c r="A287" s="31">
        <v>45883.0</v>
      </c>
      <c r="B287" s="16" t="s">
        <v>45</v>
      </c>
      <c r="C287" s="32">
        <v>9.0</v>
      </c>
      <c r="D287" s="32">
        <v>12.2</v>
      </c>
      <c r="E287" s="32">
        <v>10.1</v>
      </c>
      <c r="F287" s="16">
        <v>30.0</v>
      </c>
      <c r="G287" s="16"/>
      <c r="H287" s="16">
        <v>24.0</v>
      </c>
      <c r="I287" s="16">
        <v>23.0</v>
      </c>
      <c r="J287" s="16"/>
      <c r="K287" s="16">
        <v>6.0</v>
      </c>
      <c r="L287" s="16"/>
      <c r="M287" s="16">
        <v>1.0</v>
      </c>
      <c r="N287" s="16"/>
      <c r="O287" s="16">
        <v>17.0</v>
      </c>
      <c r="P287" s="16">
        <v>1.0</v>
      </c>
      <c r="Q287" s="16">
        <v>14.0</v>
      </c>
      <c r="R287" s="16">
        <v>4.0</v>
      </c>
      <c r="S287" s="16">
        <v>2.0</v>
      </c>
      <c r="T287" s="16"/>
      <c r="U287" s="16">
        <v>1.0</v>
      </c>
      <c r="V287" s="16"/>
      <c r="W287" s="16"/>
      <c r="X287" s="16">
        <v>1.0</v>
      </c>
      <c r="Y287" s="16"/>
      <c r="Z287" s="16"/>
      <c r="AA287" s="16"/>
      <c r="AB287" s="16">
        <v>1.0</v>
      </c>
      <c r="AC287" s="16"/>
      <c r="AD287" s="16"/>
      <c r="AE287" s="16"/>
      <c r="AF287" s="16"/>
      <c r="AG287" s="16">
        <v>25.0</v>
      </c>
      <c r="AH287" s="16"/>
      <c r="AI287" s="16"/>
      <c r="AJ287" s="16">
        <f t="shared" si="19"/>
        <v>120</v>
      </c>
      <c r="AK287" s="17">
        <f t="shared" si="20"/>
        <v>0.3916666667</v>
      </c>
      <c r="AL287" s="17">
        <f t="shared" si="23"/>
        <v>0.05833333333</v>
      </c>
      <c r="AM287" s="17">
        <f t="shared" si="24"/>
        <v>0.3166666667</v>
      </c>
      <c r="AN287" s="17">
        <f t="shared" si="21"/>
        <v>0.01666666667</v>
      </c>
      <c r="AO287" s="17">
        <f t="shared" si="22"/>
        <v>0.2083333333</v>
      </c>
    </row>
    <row r="288" ht="14.25" customHeight="1">
      <c r="A288" s="31">
        <v>45883.0</v>
      </c>
      <c r="B288" s="16" t="s">
        <v>45</v>
      </c>
      <c r="C288" s="32">
        <v>9.0</v>
      </c>
      <c r="D288" s="33">
        <v>12.5</v>
      </c>
      <c r="E288" s="32">
        <v>12.0</v>
      </c>
      <c r="F288" s="16">
        <v>29.0</v>
      </c>
      <c r="G288" s="16"/>
      <c r="H288" s="16">
        <v>1.0</v>
      </c>
      <c r="I288" s="16">
        <v>3.0</v>
      </c>
      <c r="J288" s="16">
        <v>2.0</v>
      </c>
      <c r="K288" s="16">
        <v>10.0</v>
      </c>
      <c r="L288" s="16"/>
      <c r="M288" s="16">
        <v>9.0</v>
      </c>
      <c r="N288" s="16">
        <v>7.0</v>
      </c>
      <c r="O288" s="16">
        <v>25.0</v>
      </c>
      <c r="P288" s="16"/>
      <c r="Q288" s="16">
        <v>7.0</v>
      </c>
      <c r="R288" s="16">
        <v>7.0</v>
      </c>
      <c r="S288" s="16">
        <v>1.0</v>
      </c>
      <c r="T288" s="16"/>
      <c r="U288" s="16">
        <v>7.0</v>
      </c>
      <c r="V288" s="16">
        <v>3.0</v>
      </c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>
        <v>18.0</v>
      </c>
      <c r="AH288" s="16"/>
      <c r="AI288" s="16"/>
      <c r="AJ288" s="16">
        <f t="shared" si="19"/>
        <v>100</v>
      </c>
      <c r="AK288" s="17">
        <f t="shared" si="20"/>
        <v>0.05</v>
      </c>
      <c r="AL288" s="17">
        <f t="shared" si="23"/>
        <v>0.1583333333</v>
      </c>
      <c r="AM288" s="17">
        <f t="shared" si="24"/>
        <v>0.3333333333</v>
      </c>
      <c r="AN288" s="17">
        <f t="shared" si="21"/>
        <v>0.08333333333</v>
      </c>
      <c r="AO288" s="17">
        <f t="shared" si="22"/>
        <v>0.15</v>
      </c>
    </row>
    <row r="289" ht="14.25" customHeight="1">
      <c r="A289" s="31">
        <v>45883.0</v>
      </c>
      <c r="B289" s="16" t="s">
        <v>44</v>
      </c>
      <c r="C289" s="32">
        <v>11.9</v>
      </c>
      <c r="D289" s="32">
        <v>10.7</v>
      </c>
      <c r="E289" s="32">
        <v>12.3</v>
      </c>
      <c r="F289" s="16">
        <v>30.0</v>
      </c>
      <c r="G289" s="16"/>
      <c r="H289" s="16">
        <v>34.0</v>
      </c>
      <c r="I289" s="16">
        <v>15.0</v>
      </c>
      <c r="J289" s="16">
        <v>1.0</v>
      </c>
      <c r="K289" s="16">
        <v>13.0</v>
      </c>
      <c r="L289" s="16">
        <v>1.0</v>
      </c>
      <c r="M289" s="16">
        <v>9.0</v>
      </c>
      <c r="N289" s="16">
        <v>11.0</v>
      </c>
      <c r="O289" s="16">
        <v>5.0</v>
      </c>
      <c r="P289" s="16"/>
      <c r="Q289" s="16">
        <v>4.0</v>
      </c>
      <c r="R289" s="16">
        <v>11.0</v>
      </c>
      <c r="S289" s="16">
        <v>1.0</v>
      </c>
      <c r="T289" s="16"/>
      <c r="U289" s="16">
        <v>7.0</v>
      </c>
      <c r="V289" s="16">
        <v>2.0</v>
      </c>
      <c r="W289" s="16"/>
      <c r="X289" s="16"/>
      <c r="Y289" s="16"/>
      <c r="Z289" s="16"/>
      <c r="AA289" s="16"/>
      <c r="AB289" s="16">
        <v>2.0</v>
      </c>
      <c r="AC289" s="16"/>
      <c r="AD289" s="16"/>
      <c r="AE289" s="16"/>
      <c r="AF289" s="16"/>
      <c r="AG289" s="16">
        <v>4.0</v>
      </c>
      <c r="AH289" s="16"/>
      <c r="AI289" s="16"/>
      <c r="AJ289" s="16">
        <f t="shared" si="19"/>
        <v>120</v>
      </c>
      <c r="AK289" s="17">
        <f t="shared" si="20"/>
        <v>0.4166666667</v>
      </c>
      <c r="AL289" s="17">
        <f t="shared" si="23"/>
        <v>0.1916666667</v>
      </c>
      <c r="AM289" s="17">
        <f t="shared" si="24"/>
        <v>0.175</v>
      </c>
      <c r="AN289" s="17">
        <f t="shared" si="21"/>
        <v>0.075</v>
      </c>
      <c r="AO289" s="17">
        <f t="shared" si="22"/>
        <v>0.03333333333</v>
      </c>
    </row>
    <row r="290" ht="14.25" customHeight="1">
      <c r="A290" s="31">
        <v>45883.0</v>
      </c>
      <c r="B290" s="16" t="s">
        <v>44</v>
      </c>
      <c r="C290" s="32">
        <v>11.9</v>
      </c>
      <c r="D290" s="32">
        <v>12.6</v>
      </c>
      <c r="E290" s="32">
        <v>15.5</v>
      </c>
      <c r="F290" s="16">
        <v>29.0</v>
      </c>
      <c r="G290" s="16"/>
      <c r="H290" s="16">
        <v>14.0</v>
      </c>
      <c r="I290" s="16">
        <v>12.0</v>
      </c>
      <c r="J290" s="16"/>
      <c r="K290" s="16">
        <v>19.0</v>
      </c>
      <c r="L290" s="16"/>
      <c r="M290" s="16">
        <v>14.0</v>
      </c>
      <c r="N290" s="16"/>
      <c r="O290" s="16">
        <v>7.0</v>
      </c>
      <c r="P290" s="16"/>
      <c r="Q290" s="16">
        <v>5.0</v>
      </c>
      <c r="R290" s="16">
        <v>13.0</v>
      </c>
      <c r="S290" s="16">
        <v>1.0</v>
      </c>
      <c r="T290" s="16"/>
      <c r="U290" s="16">
        <v>1.0</v>
      </c>
      <c r="V290" s="16">
        <v>3.0</v>
      </c>
      <c r="W290" s="16"/>
      <c r="X290" s="16"/>
      <c r="Y290" s="16">
        <v>1.0</v>
      </c>
      <c r="Z290" s="16">
        <v>1.0</v>
      </c>
      <c r="AA290" s="16"/>
      <c r="AB290" s="16"/>
      <c r="AC290" s="16"/>
      <c r="AD290" s="16"/>
      <c r="AE290" s="16"/>
      <c r="AF290" s="16"/>
      <c r="AG290" s="16">
        <v>29.0</v>
      </c>
      <c r="AH290" s="16"/>
      <c r="AI290" s="16"/>
      <c r="AJ290" s="16">
        <f t="shared" si="19"/>
        <v>120</v>
      </c>
      <c r="AK290" s="17">
        <f t="shared" si="20"/>
        <v>0.2166666667</v>
      </c>
      <c r="AL290" s="17">
        <f t="shared" si="23"/>
        <v>0.275</v>
      </c>
      <c r="AM290" s="17">
        <f t="shared" si="24"/>
        <v>0.2166666667</v>
      </c>
      <c r="AN290" s="17">
        <f t="shared" si="21"/>
        <v>0.05</v>
      </c>
      <c r="AO290" s="17">
        <f t="shared" si="22"/>
        <v>0.2416666667</v>
      </c>
    </row>
    <row r="291" ht="14.25" customHeight="1">
      <c r="A291" s="31">
        <v>45883.0</v>
      </c>
      <c r="B291" s="16" t="s">
        <v>44</v>
      </c>
      <c r="C291" s="32">
        <v>10.5</v>
      </c>
      <c r="D291" s="32">
        <v>14.0</v>
      </c>
      <c r="E291" s="32">
        <v>16.0</v>
      </c>
      <c r="F291" s="16">
        <v>29.0</v>
      </c>
      <c r="G291" s="16"/>
      <c r="H291" s="16"/>
      <c r="I291" s="16">
        <v>6.0</v>
      </c>
      <c r="J291" s="16"/>
      <c r="K291" s="16">
        <v>11.0</v>
      </c>
      <c r="L291" s="16"/>
      <c r="M291" s="16">
        <v>4.0</v>
      </c>
      <c r="N291" s="16">
        <v>5.0</v>
      </c>
      <c r="O291" s="16">
        <v>15.0</v>
      </c>
      <c r="P291" s="16">
        <v>1.0</v>
      </c>
      <c r="Q291" s="16">
        <v>7.0</v>
      </c>
      <c r="R291" s="16">
        <v>3.0</v>
      </c>
      <c r="S291" s="16">
        <v>2.0</v>
      </c>
      <c r="T291" s="16"/>
      <c r="U291" s="16">
        <v>1.0</v>
      </c>
      <c r="V291" s="16"/>
      <c r="W291" s="16"/>
      <c r="X291" s="16"/>
      <c r="Y291" s="16"/>
      <c r="Z291" s="16"/>
      <c r="AA291" s="16"/>
      <c r="AB291" s="16"/>
      <c r="AC291" s="16">
        <v>2.0</v>
      </c>
      <c r="AD291" s="16"/>
      <c r="AE291" s="16"/>
      <c r="AF291" s="16"/>
      <c r="AG291" s="16">
        <v>43.0</v>
      </c>
      <c r="AH291" s="16"/>
      <c r="AI291" s="16"/>
      <c r="AJ291" s="16">
        <f t="shared" si="19"/>
        <v>100</v>
      </c>
      <c r="AK291" s="17">
        <f t="shared" si="20"/>
        <v>0.05</v>
      </c>
      <c r="AL291" s="17">
        <f t="shared" si="23"/>
        <v>0.125</v>
      </c>
      <c r="AM291" s="17">
        <f t="shared" si="24"/>
        <v>0.2333333333</v>
      </c>
      <c r="AN291" s="17">
        <f t="shared" si="21"/>
        <v>0.008333333333</v>
      </c>
      <c r="AO291" s="17">
        <f t="shared" si="22"/>
        <v>0.3583333333</v>
      </c>
    </row>
    <row r="292" ht="14.25" customHeight="1">
      <c r="A292" s="31">
        <v>45884.0</v>
      </c>
      <c r="B292" s="18" t="s">
        <v>41</v>
      </c>
      <c r="C292" s="32">
        <v>9.2</v>
      </c>
      <c r="D292" s="32">
        <v>11.2</v>
      </c>
      <c r="E292" s="32">
        <v>17.5</v>
      </c>
      <c r="F292" s="16">
        <v>29.0</v>
      </c>
      <c r="G292" s="16"/>
      <c r="H292" s="16">
        <v>31.0</v>
      </c>
      <c r="I292" s="16">
        <v>13.0</v>
      </c>
      <c r="J292" s="16"/>
      <c r="K292" s="16">
        <v>11.0</v>
      </c>
      <c r="L292" s="16"/>
      <c r="M292" s="16">
        <v>8.0</v>
      </c>
      <c r="N292" s="16"/>
      <c r="O292" s="16">
        <v>8.0</v>
      </c>
      <c r="P292" s="16">
        <v>1.0</v>
      </c>
      <c r="Q292" s="16">
        <v>3.0</v>
      </c>
      <c r="R292" s="16">
        <v>15.0</v>
      </c>
      <c r="S292" s="16">
        <v>3.0</v>
      </c>
      <c r="T292" s="16"/>
      <c r="U292" s="16"/>
      <c r="V292" s="16">
        <v>4.0</v>
      </c>
      <c r="W292" s="16"/>
      <c r="X292" s="16">
        <v>1.0</v>
      </c>
      <c r="Y292" s="16"/>
      <c r="Z292" s="16"/>
      <c r="AA292" s="16"/>
      <c r="AB292" s="16">
        <v>1.0</v>
      </c>
      <c r="AC292" s="16"/>
      <c r="AD292" s="16"/>
      <c r="AE292" s="16"/>
      <c r="AF292" s="16"/>
      <c r="AG292" s="16">
        <v>23.0</v>
      </c>
      <c r="AH292" s="16"/>
      <c r="AI292" s="16"/>
      <c r="AJ292" s="16">
        <f t="shared" si="19"/>
        <v>122</v>
      </c>
      <c r="AK292" s="17">
        <f t="shared" si="20"/>
        <v>0.3666666667</v>
      </c>
      <c r="AL292" s="17">
        <f t="shared" si="23"/>
        <v>0.1583333333</v>
      </c>
      <c r="AM292" s="17">
        <f t="shared" si="24"/>
        <v>0.25</v>
      </c>
      <c r="AN292" s="17">
        <f t="shared" si="21"/>
        <v>0.04166666667</v>
      </c>
      <c r="AO292" s="17">
        <f t="shared" si="22"/>
        <v>0.1916666667</v>
      </c>
    </row>
    <row r="293" ht="14.25" customHeight="1">
      <c r="A293" s="31">
        <v>45884.0</v>
      </c>
      <c r="B293" s="18" t="s">
        <v>41</v>
      </c>
      <c r="C293" s="32">
        <v>9.2</v>
      </c>
      <c r="D293" s="32">
        <v>13.6</v>
      </c>
      <c r="E293" s="32">
        <v>15.8</v>
      </c>
      <c r="F293" s="16">
        <v>29.0</v>
      </c>
      <c r="G293" s="16">
        <v>6.0</v>
      </c>
      <c r="H293" s="16">
        <v>21.0</v>
      </c>
      <c r="I293" s="16">
        <v>5.0</v>
      </c>
      <c r="J293" s="16"/>
      <c r="K293" s="16">
        <v>9.0</v>
      </c>
      <c r="L293" s="16"/>
      <c r="M293" s="16"/>
      <c r="N293" s="16"/>
      <c r="O293" s="16"/>
      <c r="P293" s="16">
        <v>1.0</v>
      </c>
      <c r="Q293" s="16">
        <v>14.0</v>
      </c>
      <c r="R293" s="16"/>
      <c r="S293" s="16">
        <v>2.0</v>
      </c>
      <c r="T293" s="16">
        <v>5.0</v>
      </c>
      <c r="U293" s="16">
        <v>1.0</v>
      </c>
      <c r="V293" s="16">
        <v>1.0</v>
      </c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>
        <v>55.0</v>
      </c>
      <c r="AH293" s="16"/>
      <c r="AI293" s="16"/>
      <c r="AJ293" s="16">
        <f t="shared" si="19"/>
        <v>120</v>
      </c>
      <c r="AK293" s="17">
        <f t="shared" si="20"/>
        <v>0.2666666667</v>
      </c>
      <c r="AL293" s="17">
        <f t="shared" si="23"/>
        <v>0.075</v>
      </c>
      <c r="AM293" s="17">
        <f t="shared" si="24"/>
        <v>0.1416666667</v>
      </c>
      <c r="AN293" s="17">
        <f t="shared" si="21"/>
        <v>0.01666666667</v>
      </c>
      <c r="AO293" s="17">
        <f t="shared" si="22"/>
        <v>0.4583333333</v>
      </c>
    </row>
    <row r="294" ht="14.25" customHeight="1">
      <c r="A294" s="31">
        <v>45884.0</v>
      </c>
      <c r="B294" s="18" t="s">
        <v>41</v>
      </c>
      <c r="C294" s="32">
        <v>9.2</v>
      </c>
      <c r="D294" s="32">
        <v>8.2</v>
      </c>
      <c r="E294" s="32">
        <v>16.6</v>
      </c>
      <c r="F294" s="16">
        <v>29.0</v>
      </c>
      <c r="G294" s="16"/>
      <c r="H294" s="16">
        <v>54.0</v>
      </c>
      <c r="I294" s="16">
        <v>7.0</v>
      </c>
      <c r="J294" s="16">
        <v>3.0</v>
      </c>
      <c r="K294" s="16">
        <v>7.0</v>
      </c>
      <c r="L294" s="16"/>
      <c r="M294" s="16">
        <v>3.0</v>
      </c>
      <c r="N294" s="16">
        <v>3.0</v>
      </c>
      <c r="O294" s="16">
        <v>10.0</v>
      </c>
      <c r="P294" s="16">
        <v>1.0</v>
      </c>
      <c r="Q294" s="16">
        <v>10.0</v>
      </c>
      <c r="R294" s="16">
        <v>2.0</v>
      </c>
      <c r="S294" s="16"/>
      <c r="T294" s="16"/>
      <c r="U294" s="16">
        <v>4.0</v>
      </c>
      <c r="V294" s="16"/>
      <c r="W294" s="16"/>
      <c r="X294" s="16">
        <v>2.0</v>
      </c>
      <c r="Y294" s="16"/>
      <c r="Z294" s="16"/>
      <c r="AA294" s="16"/>
      <c r="AB294" s="16">
        <v>3.0</v>
      </c>
      <c r="AC294" s="16"/>
      <c r="AD294" s="16"/>
      <c r="AE294" s="16"/>
      <c r="AF294" s="16"/>
      <c r="AG294" s="16">
        <v>11.0</v>
      </c>
      <c r="AH294" s="16"/>
      <c r="AI294" s="16"/>
      <c r="AJ294" s="16">
        <f t="shared" si="19"/>
        <v>120</v>
      </c>
      <c r="AK294" s="17">
        <f t="shared" si="20"/>
        <v>0.5333333333</v>
      </c>
      <c r="AL294" s="17">
        <f t="shared" si="23"/>
        <v>0.08333333333</v>
      </c>
      <c r="AM294" s="17">
        <f t="shared" si="24"/>
        <v>0.1916666667</v>
      </c>
      <c r="AN294" s="17">
        <f t="shared" si="21"/>
        <v>0.05</v>
      </c>
      <c r="AO294" s="17">
        <f t="shared" si="22"/>
        <v>0.09166666667</v>
      </c>
    </row>
    <row r="295" ht="14.25" customHeight="1">
      <c r="A295" s="31">
        <v>45884.0</v>
      </c>
      <c r="B295" s="16" t="s">
        <v>42</v>
      </c>
      <c r="C295" s="32">
        <v>10.6</v>
      </c>
      <c r="D295" s="32">
        <v>11.4</v>
      </c>
      <c r="E295" s="32">
        <v>14.9</v>
      </c>
      <c r="F295" s="16">
        <v>29.0</v>
      </c>
      <c r="G295" s="16"/>
      <c r="H295" s="16">
        <v>28.0</v>
      </c>
      <c r="I295" s="16">
        <v>10.0</v>
      </c>
      <c r="J295" s="16"/>
      <c r="K295" s="16">
        <v>10.0</v>
      </c>
      <c r="L295" s="16"/>
      <c r="M295" s="16">
        <v>15.0</v>
      </c>
      <c r="N295" s="16">
        <v>5.0</v>
      </c>
      <c r="O295" s="16">
        <v>3.0</v>
      </c>
      <c r="P295" s="16">
        <v>3.0</v>
      </c>
      <c r="Q295" s="16"/>
      <c r="R295" s="16">
        <v>16.0</v>
      </c>
      <c r="S295" s="16"/>
      <c r="T295" s="16"/>
      <c r="U295" s="16">
        <v>2.0</v>
      </c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>
        <v>28.0</v>
      </c>
      <c r="AH295" s="16"/>
      <c r="AI295" s="16"/>
      <c r="AJ295" s="16">
        <f t="shared" si="19"/>
        <v>120</v>
      </c>
      <c r="AK295" s="17">
        <f t="shared" si="20"/>
        <v>0.3166666667</v>
      </c>
      <c r="AL295" s="17">
        <f t="shared" si="23"/>
        <v>0.2083333333</v>
      </c>
      <c r="AM295" s="17">
        <f t="shared" si="24"/>
        <v>0.1833333333</v>
      </c>
      <c r="AN295" s="17">
        <f t="shared" si="21"/>
        <v>0.01666666667</v>
      </c>
      <c r="AO295" s="17">
        <f t="shared" si="22"/>
        <v>0.2333333333</v>
      </c>
    </row>
    <row r="296" ht="14.25" customHeight="1">
      <c r="A296" s="31">
        <v>45884.0</v>
      </c>
      <c r="B296" s="16" t="s">
        <v>42</v>
      </c>
      <c r="C296" s="32">
        <v>10.6</v>
      </c>
      <c r="D296" s="32">
        <v>15.2</v>
      </c>
      <c r="E296" s="32">
        <v>16.8</v>
      </c>
      <c r="F296" s="16">
        <v>29.0</v>
      </c>
      <c r="G296" s="16">
        <v>16.0</v>
      </c>
      <c r="H296" s="16">
        <v>17.0</v>
      </c>
      <c r="I296" s="16">
        <v>1.0</v>
      </c>
      <c r="J296" s="16"/>
      <c r="K296" s="16">
        <v>17.0</v>
      </c>
      <c r="L296" s="16"/>
      <c r="M296" s="16">
        <v>2.0</v>
      </c>
      <c r="N296" s="16"/>
      <c r="O296" s="16"/>
      <c r="P296" s="16">
        <v>2.0</v>
      </c>
      <c r="Q296" s="16">
        <v>3.0</v>
      </c>
      <c r="R296" s="16">
        <v>3.0</v>
      </c>
      <c r="S296" s="16"/>
      <c r="T296" s="16">
        <v>5.0</v>
      </c>
      <c r="U296" s="16"/>
      <c r="V296" s="16">
        <v>1.0</v>
      </c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>
        <v>53.0</v>
      </c>
      <c r="AH296" s="16"/>
      <c r="AI296" s="16"/>
      <c r="AJ296" s="16">
        <f t="shared" si="19"/>
        <v>120</v>
      </c>
      <c r="AK296" s="17">
        <f t="shared" si="20"/>
        <v>0.2833333333</v>
      </c>
      <c r="AL296" s="17">
        <f t="shared" si="23"/>
        <v>0.1583333333</v>
      </c>
      <c r="AM296" s="17">
        <f t="shared" si="24"/>
        <v>0.06666666667</v>
      </c>
      <c r="AN296" s="17">
        <f t="shared" si="21"/>
        <v>0.008333333333</v>
      </c>
      <c r="AO296" s="17">
        <f t="shared" si="22"/>
        <v>0.4416666667</v>
      </c>
    </row>
    <row r="297" ht="14.25" customHeight="1">
      <c r="A297" s="31">
        <v>45884.0</v>
      </c>
      <c r="B297" s="16" t="s">
        <v>42</v>
      </c>
      <c r="C297" s="32">
        <v>10.6</v>
      </c>
      <c r="D297" s="32">
        <v>9.0</v>
      </c>
      <c r="E297" s="32">
        <v>10.1</v>
      </c>
      <c r="F297" s="16">
        <v>29.0</v>
      </c>
      <c r="G297" s="16">
        <v>20.0</v>
      </c>
      <c r="H297" s="16">
        <v>10.0</v>
      </c>
      <c r="I297" s="16">
        <v>15.0</v>
      </c>
      <c r="J297" s="16">
        <v>1.0</v>
      </c>
      <c r="K297" s="16">
        <v>21.0</v>
      </c>
      <c r="L297" s="16"/>
      <c r="M297" s="16">
        <v>11.0</v>
      </c>
      <c r="N297" s="16"/>
      <c r="O297" s="16"/>
      <c r="P297" s="16">
        <v>3.0</v>
      </c>
      <c r="Q297" s="16">
        <v>4.0</v>
      </c>
      <c r="R297" s="16">
        <v>6.0</v>
      </c>
      <c r="S297" s="16">
        <v>3.0</v>
      </c>
      <c r="T297" s="16">
        <v>6.0</v>
      </c>
      <c r="U297" s="16">
        <v>4.0</v>
      </c>
      <c r="V297" s="16">
        <v>2.0</v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>
        <v>14.0</v>
      </c>
      <c r="AH297" s="16"/>
      <c r="AI297" s="16"/>
      <c r="AJ297" s="16">
        <f t="shared" si="19"/>
        <v>120</v>
      </c>
      <c r="AK297" s="17">
        <f t="shared" si="20"/>
        <v>0.3833333333</v>
      </c>
      <c r="AL297" s="17">
        <f t="shared" si="23"/>
        <v>0.2666666667</v>
      </c>
      <c r="AM297" s="17">
        <f t="shared" si="24"/>
        <v>0.1333333333</v>
      </c>
      <c r="AN297" s="17">
        <f t="shared" si="21"/>
        <v>0.05</v>
      </c>
      <c r="AO297" s="17">
        <f t="shared" si="22"/>
        <v>0.1166666667</v>
      </c>
    </row>
    <row r="298" ht="14.25" customHeight="1">
      <c r="A298" s="31">
        <v>45884.0</v>
      </c>
      <c r="B298" s="16" t="s">
        <v>42</v>
      </c>
      <c r="C298" s="32">
        <v>10.6</v>
      </c>
      <c r="D298" s="32">
        <v>11.6</v>
      </c>
      <c r="E298" s="32">
        <v>15.8</v>
      </c>
      <c r="F298" s="16">
        <v>29.0</v>
      </c>
      <c r="G298" s="16"/>
      <c r="H298" s="16">
        <v>72.0</v>
      </c>
      <c r="I298" s="16">
        <v>1.0</v>
      </c>
      <c r="J298" s="16">
        <v>1.0</v>
      </c>
      <c r="K298" s="16">
        <v>12.0</v>
      </c>
      <c r="L298" s="16"/>
      <c r="M298" s="16">
        <v>12.0</v>
      </c>
      <c r="N298" s="16">
        <v>3.0</v>
      </c>
      <c r="O298" s="16">
        <v>1.0</v>
      </c>
      <c r="P298" s="16">
        <v>1.0</v>
      </c>
      <c r="Q298" s="16">
        <v>2.0</v>
      </c>
      <c r="R298" s="16">
        <v>4.0</v>
      </c>
      <c r="S298" s="16"/>
      <c r="T298" s="16"/>
      <c r="U298" s="16">
        <v>7.0</v>
      </c>
      <c r="V298" s="16">
        <v>1.0</v>
      </c>
      <c r="W298" s="16"/>
      <c r="X298" s="16"/>
      <c r="Y298" s="16"/>
      <c r="Z298" s="16"/>
      <c r="AA298" s="16"/>
      <c r="AB298" s="16"/>
      <c r="AC298" s="16">
        <v>1.0</v>
      </c>
      <c r="AD298" s="16"/>
      <c r="AE298" s="16"/>
      <c r="AF298" s="16"/>
      <c r="AG298" s="16">
        <v>2.0</v>
      </c>
      <c r="AH298" s="16"/>
      <c r="AI298" s="16"/>
      <c r="AJ298" s="16">
        <f t="shared" si="19"/>
        <v>120</v>
      </c>
      <c r="AK298" s="17">
        <f t="shared" si="20"/>
        <v>0.6166666667</v>
      </c>
      <c r="AL298" s="17">
        <f t="shared" si="23"/>
        <v>0.2</v>
      </c>
      <c r="AM298" s="17">
        <f t="shared" si="24"/>
        <v>0.06666666667</v>
      </c>
      <c r="AN298" s="17">
        <f t="shared" si="21"/>
        <v>0.06666666667</v>
      </c>
      <c r="AO298" s="17">
        <f t="shared" si="22"/>
        <v>0.01666666667</v>
      </c>
    </row>
    <row r="299" ht="14.25" customHeight="1">
      <c r="A299" s="31">
        <v>45887.0</v>
      </c>
      <c r="B299" s="16" t="s">
        <v>45</v>
      </c>
      <c r="C299" s="32">
        <v>8.7</v>
      </c>
      <c r="D299" s="32">
        <v>12.0</v>
      </c>
      <c r="E299" s="32">
        <v>10.2</v>
      </c>
      <c r="F299" s="16">
        <v>29.0</v>
      </c>
      <c r="G299" s="16"/>
      <c r="H299" s="16">
        <v>8.0</v>
      </c>
      <c r="I299" s="16">
        <v>3.0</v>
      </c>
      <c r="J299" s="16"/>
      <c r="K299" s="16">
        <v>27.0</v>
      </c>
      <c r="L299" s="16"/>
      <c r="M299" s="16">
        <v>3.0</v>
      </c>
      <c r="N299" s="16">
        <v>3.0</v>
      </c>
      <c r="O299" s="16">
        <v>30.0</v>
      </c>
      <c r="P299" s="16">
        <v>6.0</v>
      </c>
      <c r="Q299" s="16">
        <v>6.0</v>
      </c>
      <c r="R299" s="16">
        <v>12.0</v>
      </c>
      <c r="S299" s="16">
        <v>2.0</v>
      </c>
      <c r="T299" s="16"/>
      <c r="U299" s="16">
        <v>4.0</v>
      </c>
      <c r="V299" s="16">
        <v>6.0</v>
      </c>
      <c r="W299" s="16"/>
      <c r="X299" s="16"/>
      <c r="Y299" s="16"/>
      <c r="Z299" s="16"/>
      <c r="AA299" s="16"/>
      <c r="AB299" s="16"/>
      <c r="AC299" s="16"/>
      <c r="AD299" s="16"/>
      <c r="AE299" s="16">
        <v>1.0</v>
      </c>
      <c r="AF299" s="16"/>
      <c r="AG299" s="16">
        <v>9.0</v>
      </c>
      <c r="AH299" s="16"/>
      <c r="AI299" s="16"/>
      <c r="AJ299" s="16">
        <f t="shared" si="19"/>
        <v>120</v>
      </c>
      <c r="AK299" s="17">
        <f t="shared" si="20"/>
        <v>0.09166666667</v>
      </c>
      <c r="AL299" s="17">
        <f t="shared" si="23"/>
        <v>0.25</v>
      </c>
      <c r="AM299" s="17">
        <f t="shared" si="24"/>
        <v>0.4666666667</v>
      </c>
      <c r="AN299" s="17">
        <f t="shared" si="21"/>
        <v>0.08333333333</v>
      </c>
      <c r="AO299" s="17">
        <f t="shared" si="22"/>
        <v>0.08333333333</v>
      </c>
    </row>
    <row r="300" ht="14.25" customHeight="1">
      <c r="A300" s="31">
        <v>45887.0</v>
      </c>
      <c r="B300" s="16" t="s">
        <v>45</v>
      </c>
      <c r="C300" s="32">
        <v>8.7</v>
      </c>
      <c r="D300" s="32">
        <v>12.4</v>
      </c>
      <c r="E300" s="32">
        <v>11.1</v>
      </c>
      <c r="F300" s="16">
        <v>29.0</v>
      </c>
      <c r="G300" s="16"/>
      <c r="H300" s="16">
        <v>22.0</v>
      </c>
      <c r="I300" s="16">
        <v>10.0</v>
      </c>
      <c r="J300" s="16">
        <v>2.0</v>
      </c>
      <c r="K300" s="16">
        <v>8.0</v>
      </c>
      <c r="L300" s="16"/>
      <c r="M300" s="16">
        <v>10.0</v>
      </c>
      <c r="N300" s="16">
        <v>10.0</v>
      </c>
      <c r="O300" s="16">
        <v>23.0</v>
      </c>
      <c r="P300" s="16">
        <v>1.0</v>
      </c>
      <c r="Q300" s="16">
        <v>13.0</v>
      </c>
      <c r="R300" s="16">
        <v>8.0</v>
      </c>
      <c r="S300" s="16">
        <v>1.0</v>
      </c>
      <c r="T300" s="16"/>
      <c r="U300" s="16">
        <v>2.0</v>
      </c>
      <c r="V300" s="16">
        <v>6.0</v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>
        <v>4.0</v>
      </c>
      <c r="AH300" s="16"/>
      <c r="AI300" s="16"/>
      <c r="AJ300" s="16">
        <f t="shared" si="19"/>
        <v>120</v>
      </c>
      <c r="AK300" s="17">
        <f t="shared" si="20"/>
        <v>0.2833333333</v>
      </c>
      <c r="AL300" s="17">
        <f t="shared" si="23"/>
        <v>0.15</v>
      </c>
      <c r="AM300" s="17">
        <f t="shared" si="24"/>
        <v>0.3833333333</v>
      </c>
      <c r="AN300" s="17">
        <f t="shared" si="21"/>
        <v>0.06666666667</v>
      </c>
      <c r="AO300" s="17">
        <f t="shared" si="22"/>
        <v>0.03333333333</v>
      </c>
    </row>
    <row r="301" ht="14.25" customHeight="1">
      <c r="A301" s="31">
        <v>45888.0</v>
      </c>
      <c r="B301" s="16" t="s">
        <v>42</v>
      </c>
      <c r="C301" s="32">
        <v>13.8</v>
      </c>
      <c r="D301" s="32">
        <v>8.0</v>
      </c>
      <c r="E301" s="32">
        <v>7.8</v>
      </c>
      <c r="F301" s="16">
        <v>30.0</v>
      </c>
      <c r="G301" s="16"/>
      <c r="H301" s="16">
        <v>17.0</v>
      </c>
      <c r="I301" s="16">
        <v>30.0</v>
      </c>
      <c r="J301" s="16">
        <v>1.0</v>
      </c>
      <c r="K301" s="16">
        <v>6.0</v>
      </c>
      <c r="L301" s="16"/>
      <c r="M301" s="16">
        <v>9.0</v>
      </c>
      <c r="N301" s="16"/>
      <c r="O301" s="16">
        <v>22.0</v>
      </c>
      <c r="P301" s="16">
        <v>2.0</v>
      </c>
      <c r="Q301" s="16">
        <v>4.0</v>
      </c>
      <c r="R301" s="16">
        <v>9.0</v>
      </c>
      <c r="S301" s="16"/>
      <c r="T301" s="16">
        <v>2.0</v>
      </c>
      <c r="U301" s="16">
        <v>12.0</v>
      </c>
      <c r="V301" s="16">
        <v>1.0</v>
      </c>
      <c r="W301" s="16"/>
      <c r="X301" s="16">
        <v>1.0</v>
      </c>
      <c r="Y301" s="16"/>
      <c r="Z301" s="16"/>
      <c r="AA301" s="16"/>
      <c r="AB301" s="16"/>
      <c r="AC301" s="16"/>
      <c r="AD301" s="16"/>
      <c r="AE301" s="16"/>
      <c r="AF301" s="16"/>
      <c r="AG301" s="16">
        <v>4.0</v>
      </c>
      <c r="AH301" s="16"/>
      <c r="AI301" s="16"/>
      <c r="AJ301" s="16">
        <f t="shared" si="19"/>
        <v>120</v>
      </c>
      <c r="AK301" s="17">
        <f t="shared" si="20"/>
        <v>0.4</v>
      </c>
      <c r="AL301" s="17">
        <f t="shared" si="23"/>
        <v>0.125</v>
      </c>
      <c r="AM301" s="17">
        <f t="shared" si="24"/>
        <v>0.3083333333</v>
      </c>
      <c r="AN301" s="17">
        <f t="shared" si="21"/>
        <v>0.1166666667</v>
      </c>
      <c r="AO301" s="17">
        <f t="shared" si="22"/>
        <v>0.03333333333</v>
      </c>
    </row>
    <row r="302" ht="14.25" customHeight="1">
      <c r="A302" s="31">
        <v>45888.0</v>
      </c>
      <c r="B302" s="16" t="s">
        <v>42</v>
      </c>
      <c r="C302" s="32">
        <v>13.8</v>
      </c>
      <c r="D302" s="32">
        <v>8.0</v>
      </c>
      <c r="E302" s="32">
        <v>6.0</v>
      </c>
      <c r="F302" s="16">
        <v>30.0</v>
      </c>
      <c r="G302" s="16"/>
      <c r="H302" s="16">
        <v>44.0</v>
      </c>
      <c r="I302" s="16">
        <v>29.0</v>
      </c>
      <c r="J302" s="16"/>
      <c r="K302" s="16">
        <v>8.0</v>
      </c>
      <c r="L302" s="16"/>
      <c r="M302" s="16">
        <v>4.0</v>
      </c>
      <c r="N302" s="16"/>
      <c r="O302" s="16">
        <v>15.0</v>
      </c>
      <c r="P302" s="16">
        <v>2.0</v>
      </c>
      <c r="Q302" s="16">
        <v>3.0</v>
      </c>
      <c r="R302" s="16">
        <v>1.0</v>
      </c>
      <c r="S302" s="16">
        <v>7.0</v>
      </c>
      <c r="T302" s="16"/>
      <c r="U302" s="16">
        <v>7.0</v>
      </c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>
        <f t="shared" si="19"/>
        <v>120</v>
      </c>
      <c r="AK302" s="17">
        <f t="shared" si="20"/>
        <v>0.6083333333</v>
      </c>
      <c r="AL302" s="17">
        <f t="shared" si="23"/>
        <v>0.1</v>
      </c>
      <c r="AM302" s="17">
        <f t="shared" si="24"/>
        <v>0.2333333333</v>
      </c>
      <c r="AN302" s="17">
        <f t="shared" si="21"/>
        <v>0.05833333333</v>
      </c>
      <c r="AO302" s="17">
        <f t="shared" si="22"/>
        <v>0</v>
      </c>
    </row>
    <row r="303" ht="14.25" customHeight="1">
      <c r="A303" s="31">
        <v>45888.0</v>
      </c>
      <c r="B303" s="16" t="s">
        <v>43</v>
      </c>
      <c r="C303" s="32">
        <v>10.3</v>
      </c>
      <c r="D303" s="32">
        <v>7.8</v>
      </c>
      <c r="E303" s="32">
        <v>5.1</v>
      </c>
      <c r="F303" s="16">
        <v>30.0</v>
      </c>
      <c r="G303" s="16">
        <v>5.0</v>
      </c>
      <c r="H303" s="16">
        <v>21.0</v>
      </c>
      <c r="I303" s="16">
        <v>20.0</v>
      </c>
      <c r="J303" s="16">
        <v>5.0</v>
      </c>
      <c r="K303" s="16">
        <v>9.0</v>
      </c>
      <c r="L303" s="16"/>
      <c r="M303" s="16">
        <v>9.0</v>
      </c>
      <c r="N303" s="16"/>
      <c r="O303" s="16">
        <v>10.0</v>
      </c>
      <c r="P303" s="16"/>
      <c r="Q303" s="16">
        <v>10.0</v>
      </c>
      <c r="R303" s="16">
        <v>6.0</v>
      </c>
      <c r="S303" s="16"/>
      <c r="T303" s="16">
        <v>1.0</v>
      </c>
      <c r="U303" s="16">
        <v>18.0</v>
      </c>
      <c r="V303" s="16"/>
      <c r="W303" s="16"/>
      <c r="X303" s="16">
        <v>2.0</v>
      </c>
      <c r="Y303" s="16"/>
      <c r="Z303" s="16"/>
      <c r="AA303" s="16"/>
      <c r="AB303" s="16"/>
      <c r="AC303" s="16"/>
      <c r="AD303" s="16"/>
      <c r="AE303" s="16">
        <v>1.0</v>
      </c>
      <c r="AF303" s="16">
        <v>1.0</v>
      </c>
      <c r="AG303" s="16">
        <v>2.0</v>
      </c>
      <c r="AH303" s="16"/>
      <c r="AI303" s="16"/>
      <c r="AJ303" s="16">
        <f t="shared" si="19"/>
        <v>120</v>
      </c>
      <c r="AK303" s="17">
        <f t="shared" si="20"/>
        <v>0.425</v>
      </c>
      <c r="AL303" s="17">
        <f t="shared" si="23"/>
        <v>0.15</v>
      </c>
      <c r="AM303" s="17">
        <f t="shared" si="24"/>
        <v>0.2166666667</v>
      </c>
      <c r="AN303" s="17">
        <f t="shared" si="21"/>
        <v>0.1666666667</v>
      </c>
      <c r="AO303" s="17">
        <f t="shared" si="22"/>
        <v>0.03333333333</v>
      </c>
    </row>
    <row r="304" ht="14.25" customHeight="1">
      <c r="A304" s="31">
        <v>45888.0</v>
      </c>
      <c r="B304" s="16" t="s">
        <v>43</v>
      </c>
      <c r="C304" s="32">
        <v>13.8</v>
      </c>
      <c r="D304" s="32">
        <v>8.0</v>
      </c>
      <c r="E304" s="32">
        <v>8.0</v>
      </c>
      <c r="F304" s="16">
        <v>30.0</v>
      </c>
      <c r="G304" s="16"/>
      <c r="H304" s="16">
        <v>20.0</v>
      </c>
      <c r="I304" s="16">
        <v>31.0</v>
      </c>
      <c r="J304" s="16">
        <v>5.0</v>
      </c>
      <c r="K304" s="16">
        <v>16.0</v>
      </c>
      <c r="L304" s="16"/>
      <c r="M304" s="16">
        <v>11.0</v>
      </c>
      <c r="N304" s="16"/>
      <c r="O304" s="16">
        <v>13.0</v>
      </c>
      <c r="P304" s="16"/>
      <c r="Q304" s="16">
        <v>5.0</v>
      </c>
      <c r="R304" s="16">
        <v>7.0</v>
      </c>
      <c r="S304" s="16"/>
      <c r="T304" s="16"/>
      <c r="U304" s="16">
        <v>9.0</v>
      </c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>
        <v>1.0</v>
      </c>
      <c r="AG304" s="16"/>
      <c r="AH304" s="16"/>
      <c r="AI304" s="16"/>
      <c r="AJ304" s="16">
        <f t="shared" si="19"/>
        <v>118</v>
      </c>
      <c r="AK304" s="17">
        <f t="shared" si="20"/>
        <v>0.4666666667</v>
      </c>
      <c r="AL304" s="17">
        <f t="shared" si="23"/>
        <v>0.225</v>
      </c>
      <c r="AM304" s="17">
        <f t="shared" si="24"/>
        <v>0.2083333333</v>
      </c>
      <c r="AN304" s="17">
        <f t="shared" si="21"/>
        <v>0.075</v>
      </c>
      <c r="AO304" s="17">
        <f t="shared" si="22"/>
        <v>0.008333333333</v>
      </c>
    </row>
    <row r="305" ht="14.25" customHeight="1">
      <c r="A305" s="31">
        <v>45890.0</v>
      </c>
      <c r="B305" s="16" t="s">
        <v>45</v>
      </c>
      <c r="C305" s="32">
        <v>15.5</v>
      </c>
      <c r="D305" s="32">
        <v>11.0</v>
      </c>
      <c r="E305" s="32">
        <v>12.0</v>
      </c>
      <c r="F305" s="16">
        <v>30.0</v>
      </c>
      <c r="G305" s="16"/>
      <c r="H305" s="16">
        <v>35.0</v>
      </c>
      <c r="I305" s="16">
        <v>17.0</v>
      </c>
      <c r="J305" s="16"/>
      <c r="K305" s="16">
        <v>15.0</v>
      </c>
      <c r="L305" s="16"/>
      <c r="M305" s="16">
        <v>1.0</v>
      </c>
      <c r="N305" s="16"/>
      <c r="O305" s="16">
        <v>30.0</v>
      </c>
      <c r="P305" s="16">
        <v>3.0</v>
      </c>
      <c r="Q305" s="16">
        <v>3.0</v>
      </c>
      <c r="R305" s="16">
        <v>7.0</v>
      </c>
      <c r="S305" s="16">
        <v>2.0</v>
      </c>
      <c r="T305" s="16"/>
      <c r="U305" s="16">
        <v>1.0</v>
      </c>
      <c r="V305" s="16"/>
      <c r="W305" s="16"/>
      <c r="X305" s="16"/>
      <c r="Y305" s="16">
        <v>3.0</v>
      </c>
      <c r="Z305" s="16"/>
      <c r="AA305" s="16"/>
      <c r="AB305" s="16"/>
      <c r="AC305" s="16"/>
      <c r="AD305" s="16"/>
      <c r="AE305" s="16"/>
      <c r="AF305" s="16"/>
      <c r="AG305" s="16">
        <v>1.0</v>
      </c>
      <c r="AH305" s="16"/>
      <c r="AI305" s="16"/>
      <c r="AJ305" s="16">
        <f t="shared" si="19"/>
        <v>118</v>
      </c>
      <c r="AK305" s="17">
        <f t="shared" si="20"/>
        <v>0.4333333333</v>
      </c>
      <c r="AL305" s="17">
        <f t="shared" si="23"/>
        <v>0.1333333333</v>
      </c>
      <c r="AM305" s="17">
        <f t="shared" si="24"/>
        <v>0.375</v>
      </c>
      <c r="AN305" s="17">
        <f t="shared" si="21"/>
        <v>0.03333333333</v>
      </c>
      <c r="AO305" s="17">
        <f t="shared" si="22"/>
        <v>0.008333333333</v>
      </c>
    </row>
    <row r="306" ht="14.25" customHeight="1">
      <c r="A306" s="31">
        <v>45894.0</v>
      </c>
      <c r="B306" s="16" t="s">
        <v>42</v>
      </c>
      <c r="C306" s="32">
        <v>11.8</v>
      </c>
      <c r="D306" s="32">
        <v>8.2</v>
      </c>
      <c r="E306" s="32">
        <v>9.0</v>
      </c>
      <c r="F306" s="16">
        <v>30.0</v>
      </c>
      <c r="G306" s="16">
        <v>1.0</v>
      </c>
      <c r="H306" s="16">
        <v>17.0</v>
      </c>
      <c r="I306" s="16">
        <v>6.0</v>
      </c>
      <c r="J306" s="16">
        <v>2.0</v>
      </c>
      <c r="K306" s="16">
        <v>22.0</v>
      </c>
      <c r="L306" s="16">
        <v>1.0</v>
      </c>
      <c r="M306" s="16">
        <v>12.0</v>
      </c>
      <c r="N306" s="16"/>
      <c r="O306" s="16">
        <v>18.0</v>
      </c>
      <c r="P306" s="16">
        <v>1.0</v>
      </c>
      <c r="Q306" s="16">
        <v>9.0</v>
      </c>
      <c r="R306" s="16">
        <v>6.0</v>
      </c>
      <c r="S306" s="16"/>
      <c r="T306" s="16">
        <v>1.0</v>
      </c>
      <c r="U306" s="16">
        <v>19.0</v>
      </c>
      <c r="V306" s="16">
        <v>1.0</v>
      </c>
      <c r="W306" s="16"/>
      <c r="X306" s="16">
        <v>3.0</v>
      </c>
      <c r="Y306" s="16"/>
      <c r="Z306" s="16"/>
      <c r="AA306" s="16"/>
      <c r="AB306" s="16"/>
      <c r="AC306" s="16"/>
      <c r="AD306" s="16"/>
      <c r="AE306" s="16"/>
      <c r="AF306" s="16"/>
      <c r="AG306" s="16">
        <v>1.0</v>
      </c>
      <c r="AH306" s="16"/>
      <c r="AI306" s="16"/>
      <c r="AJ306" s="16">
        <f t="shared" si="19"/>
        <v>120</v>
      </c>
      <c r="AK306" s="17">
        <f t="shared" si="20"/>
        <v>0.2166666667</v>
      </c>
      <c r="AL306" s="17">
        <f t="shared" si="23"/>
        <v>0.2916666667</v>
      </c>
      <c r="AM306" s="17">
        <f t="shared" si="24"/>
        <v>0.2833333333</v>
      </c>
      <c r="AN306" s="17">
        <f t="shared" si="21"/>
        <v>0.1916666667</v>
      </c>
      <c r="AO306" s="17">
        <f t="shared" si="22"/>
        <v>0.008333333333</v>
      </c>
    </row>
    <row r="307" ht="14.25" customHeight="1">
      <c r="A307" s="31">
        <v>45894.0</v>
      </c>
      <c r="B307" s="16" t="s">
        <v>43</v>
      </c>
      <c r="C307" s="32">
        <v>11.0</v>
      </c>
      <c r="D307" s="32">
        <v>7.8</v>
      </c>
      <c r="E307" s="32">
        <v>6.9</v>
      </c>
      <c r="F307" s="16">
        <v>30.0</v>
      </c>
      <c r="G307" s="16"/>
      <c r="H307" s="16">
        <v>17.0</v>
      </c>
      <c r="I307" s="16">
        <v>12.0</v>
      </c>
      <c r="J307" s="16">
        <v>3.0</v>
      </c>
      <c r="K307" s="16">
        <v>16.0</v>
      </c>
      <c r="L307" s="16"/>
      <c r="M307" s="16">
        <v>8.0</v>
      </c>
      <c r="N307" s="16">
        <v>2.0</v>
      </c>
      <c r="O307" s="16">
        <v>9.0</v>
      </c>
      <c r="P307" s="16">
        <v>1.0</v>
      </c>
      <c r="Q307" s="16">
        <v>10.0</v>
      </c>
      <c r="R307" s="16">
        <v>6.0</v>
      </c>
      <c r="S307" s="16">
        <v>3.0</v>
      </c>
      <c r="T307" s="16">
        <v>3.0</v>
      </c>
      <c r="U307" s="16">
        <v>28.0</v>
      </c>
      <c r="V307" s="16"/>
      <c r="W307" s="16"/>
      <c r="X307" s="16">
        <v>1.0</v>
      </c>
      <c r="Y307" s="16"/>
      <c r="Z307" s="16"/>
      <c r="AA307" s="16"/>
      <c r="AB307" s="16"/>
      <c r="AC307" s="16"/>
      <c r="AD307" s="16"/>
      <c r="AE307" s="16"/>
      <c r="AF307" s="16"/>
      <c r="AG307" s="16">
        <v>1.0</v>
      </c>
      <c r="AH307" s="16"/>
      <c r="AI307" s="16"/>
      <c r="AJ307" s="16">
        <f t="shared" si="19"/>
        <v>120</v>
      </c>
      <c r="AK307" s="17">
        <f t="shared" si="20"/>
        <v>0.2666666667</v>
      </c>
      <c r="AL307" s="17">
        <f t="shared" si="23"/>
        <v>0.2</v>
      </c>
      <c r="AM307" s="17">
        <f t="shared" si="24"/>
        <v>0.2416666667</v>
      </c>
      <c r="AN307" s="17">
        <f t="shared" si="21"/>
        <v>0.2416666667</v>
      </c>
      <c r="AO307" s="17">
        <f t="shared" si="22"/>
        <v>0.008333333333</v>
      </c>
    </row>
    <row r="308" ht="14.25" customHeight="1">
      <c r="A308" s="31">
        <v>45895.0</v>
      </c>
      <c r="B308" s="16" t="s">
        <v>42</v>
      </c>
      <c r="C308" s="32">
        <v>7.0</v>
      </c>
      <c r="D308" s="32">
        <v>8.2</v>
      </c>
      <c r="E308" s="32">
        <v>8.0</v>
      </c>
      <c r="F308" s="16">
        <v>28.0</v>
      </c>
      <c r="G308" s="16">
        <v>3.0</v>
      </c>
      <c r="H308" s="16">
        <v>18.0</v>
      </c>
      <c r="I308" s="16">
        <v>10.0</v>
      </c>
      <c r="J308" s="16">
        <v>1.0</v>
      </c>
      <c r="K308" s="16">
        <v>24.0</v>
      </c>
      <c r="L308" s="16"/>
      <c r="M308" s="16">
        <v>14.0</v>
      </c>
      <c r="N308" s="16"/>
      <c r="O308" s="16">
        <v>17.0</v>
      </c>
      <c r="P308" s="16">
        <v>1.0</v>
      </c>
      <c r="Q308" s="16">
        <v>8.0</v>
      </c>
      <c r="R308" s="16">
        <v>7.0</v>
      </c>
      <c r="S308" s="16">
        <v>1.0</v>
      </c>
      <c r="T308" s="16">
        <v>2.0</v>
      </c>
      <c r="U308" s="16">
        <v>4.0</v>
      </c>
      <c r="V308" s="16">
        <v>2.0</v>
      </c>
      <c r="W308" s="16"/>
      <c r="X308" s="16">
        <v>1.0</v>
      </c>
      <c r="Y308" s="16">
        <v>1.0</v>
      </c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>
        <f t="shared" si="19"/>
        <v>114</v>
      </c>
      <c r="AK308" s="17">
        <f t="shared" si="20"/>
        <v>0.2666666667</v>
      </c>
      <c r="AL308" s="17">
        <f t="shared" si="23"/>
        <v>0.3166666667</v>
      </c>
      <c r="AM308" s="17">
        <f t="shared" si="24"/>
        <v>0.2833333333</v>
      </c>
      <c r="AN308" s="17">
        <f t="shared" si="21"/>
        <v>0.06666666667</v>
      </c>
      <c r="AO308" s="17">
        <f t="shared" si="22"/>
        <v>0</v>
      </c>
    </row>
    <row r="309" ht="14.25" customHeight="1">
      <c r="A309" s="31"/>
      <c r="B309" s="16"/>
      <c r="C309" s="35"/>
      <c r="D309" s="32"/>
      <c r="E309" s="3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>
        <f t="shared" si="19"/>
        <v>0</v>
      </c>
      <c r="AK309" s="17">
        <f t="shared" si="20"/>
        <v>0</v>
      </c>
      <c r="AL309" s="17">
        <f t="shared" si="23"/>
        <v>0</v>
      </c>
      <c r="AM309" s="17">
        <f t="shared" si="24"/>
        <v>0</v>
      </c>
      <c r="AN309" s="17">
        <f t="shared" si="21"/>
        <v>0</v>
      </c>
      <c r="AO309" s="17">
        <f t="shared" si="22"/>
        <v>0</v>
      </c>
    </row>
    <row r="310" ht="14.25" customHeight="1">
      <c r="A310" s="31"/>
      <c r="B310" s="16"/>
      <c r="C310" s="35"/>
      <c r="D310" s="32"/>
      <c r="E310" s="3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>
        <f t="shared" si="19"/>
        <v>0</v>
      </c>
      <c r="AK310" s="17">
        <f t="shared" si="20"/>
        <v>0</v>
      </c>
      <c r="AL310" s="17">
        <f t="shared" si="23"/>
        <v>0</v>
      </c>
      <c r="AM310" s="17">
        <f t="shared" si="24"/>
        <v>0</v>
      </c>
      <c r="AN310" s="17">
        <f t="shared" si="21"/>
        <v>0</v>
      </c>
      <c r="AO310" s="17">
        <f t="shared" si="22"/>
        <v>0</v>
      </c>
    </row>
    <row r="311" ht="14.25" customHeight="1">
      <c r="A311" s="31"/>
      <c r="B311" s="16"/>
      <c r="C311" s="35"/>
      <c r="D311" s="32"/>
      <c r="E311" s="3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>
        <f t="shared" si="19"/>
        <v>0</v>
      </c>
      <c r="AK311" s="17">
        <f t="shared" si="20"/>
        <v>0</v>
      </c>
      <c r="AL311" s="17">
        <f t="shared" si="23"/>
        <v>0</v>
      </c>
      <c r="AM311" s="17">
        <f t="shared" si="24"/>
        <v>0</v>
      </c>
      <c r="AN311" s="17">
        <f t="shared" si="21"/>
        <v>0</v>
      </c>
      <c r="AO311" s="17">
        <f t="shared" si="22"/>
        <v>0</v>
      </c>
    </row>
    <row r="312" ht="14.25" customHeight="1">
      <c r="A312" s="31"/>
      <c r="B312" s="16"/>
      <c r="C312" s="35"/>
      <c r="D312" s="32"/>
      <c r="E312" s="3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>
        <f t="shared" si="19"/>
        <v>0</v>
      </c>
      <c r="AK312" s="17">
        <f t="shared" si="20"/>
        <v>0</v>
      </c>
      <c r="AL312" s="17">
        <f t="shared" si="23"/>
        <v>0</v>
      </c>
      <c r="AM312" s="17">
        <f t="shared" si="24"/>
        <v>0</v>
      </c>
      <c r="AN312" s="17">
        <f t="shared" si="21"/>
        <v>0</v>
      </c>
      <c r="AO312" s="17">
        <f t="shared" si="22"/>
        <v>0</v>
      </c>
    </row>
    <row r="313" ht="14.25" customHeight="1">
      <c r="A313" s="31"/>
      <c r="B313" s="16"/>
      <c r="C313" s="35"/>
      <c r="D313" s="32"/>
      <c r="E313" s="3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>
        <f t="shared" si="19"/>
        <v>0</v>
      </c>
      <c r="AK313" s="17">
        <f t="shared" si="20"/>
        <v>0</v>
      </c>
      <c r="AL313" s="17">
        <f t="shared" si="23"/>
        <v>0</v>
      </c>
      <c r="AM313" s="17">
        <f t="shared" si="24"/>
        <v>0</v>
      </c>
      <c r="AN313" s="17">
        <f t="shared" si="21"/>
        <v>0</v>
      </c>
      <c r="AO313" s="17">
        <f t="shared" si="22"/>
        <v>0</v>
      </c>
    </row>
    <row r="314" ht="14.25" customHeight="1">
      <c r="A314" s="31"/>
      <c r="B314" s="16"/>
      <c r="C314" s="35"/>
      <c r="D314" s="32"/>
      <c r="E314" s="3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>
        <f t="shared" si="19"/>
        <v>0</v>
      </c>
      <c r="AK314" s="17">
        <f t="shared" si="20"/>
        <v>0</v>
      </c>
      <c r="AL314" s="17">
        <f t="shared" si="23"/>
        <v>0</v>
      </c>
      <c r="AM314" s="17">
        <f t="shared" si="24"/>
        <v>0</v>
      </c>
      <c r="AN314" s="17">
        <f t="shared" si="21"/>
        <v>0</v>
      </c>
      <c r="AO314" s="17">
        <f t="shared" si="22"/>
        <v>0</v>
      </c>
    </row>
    <row r="315" ht="14.25" customHeight="1">
      <c r="A315" s="31"/>
      <c r="B315" s="16"/>
      <c r="C315" s="35"/>
      <c r="D315" s="32"/>
      <c r="E315" s="3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>
        <f t="shared" si="19"/>
        <v>0</v>
      </c>
      <c r="AK315" s="17">
        <f t="shared" si="20"/>
        <v>0</v>
      </c>
      <c r="AL315" s="17">
        <f t="shared" si="23"/>
        <v>0</v>
      </c>
      <c r="AM315" s="17">
        <f t="shared" si="24"/>
        <v>0</v>
      </c>
      <c r="AN315" s="17">
        <f t="shared" si="21"/>
        <v>0</v>
      </c>
      <c r="AO315" s="17">
        <f t="shared" si="22"/>
        <v>0</v>
      </c>
    </row>
    <row r="316" ht="14.25" customHeight="1">
      <c r="A316" s="31"/>
      <c r="B316" s="16"/>
      <c r="C316" s="35"/>
      <c r="D316" s="32"/>
      <c r="E316" s="3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>
        <f t="shared" si="19"/>
        <v>0</v>
      </c>
      <c r="AK316" s="17">
        <f t="shared" si="20"/>
        <v>0</v>
      </c>
      <c r="AL316" s="17">
        <f t="shared" si="23"/>
        <v>0</v>
      </c>
      <c r="AM316" s="17">
        <f t="shared" si="24"/>
        <v>0</v>
      </c>
      <c r="AN316" s="17">
        <f t="shared" si="21"/>
        <v>0</v>
      </c>
      <c r="AO316" s="17">
        <f t="shared" si="22"/>
        <v>0</v>
      </c>
    </row>
    <row r="317" ht="14.25" customHeight="1">
      <c r="A317" s="31"/>
      <c r="B317" s="16"/>
      <c r="C317" s="35"/>
      <c r="D317" s="32"/>
      <c r="E317" s="3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>
        <f t="shared" si="19"/>
        <v>0</v>
      </c>
      <c r="AK317" s="17">
        <f t="shared" si="20"/>
        <v>0</v>
      </c>
      <c r="AL317" s="17">
        <f t="shared" si="23"/>
        <v>0</v>
      </c>
      <c r="AM317" s="17">
        <f t="shared" si="24"/>
        <v>0</v>
      </c>
      <c r="AN317" s="17">
        <f t="shared" si="21"/>
        <v>0</v>
      </c>
      <c r="AO317" s="17">
        <f t="shared" si="22"/>
        <v>0</v>
      </c>
    </row>
    <row r="318" ht="14.25" customHeight="1">
      <c r="A318" s="31"/>
      <c r="B318" s="16"/>
      <c r="C318" s="35"/>
      <c r="D318" s="32"/>
      <c r="E318" s="3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>
        <f t="shared" si="19"/>
        <v>0</v>
      </c>
      <c r="AK318" s="17">
        <f t="shared" si="20"/>
        <v>0</v>
      </c>
      <c r="AL318" s="17">
        <f t="shared" si="23"/>
        <v>0</v>
      </c>
      <c r="AM318" s="17">
        <f t="shared" si="24"/>
        <v>0</v>
      </c>
      <c r="AN318" s="17">
        <f t="shared" si="21"/>
        <v>0</v>
      </c>
      <c r="AO318" s="17">
        <f t="shared" si="22"/>
        <v>0</v>
      </c>
    </row>
    <row r="319" ht="14.25" customHeight="1">
      <c r="A319" s="31"/>
      <c r="B319" s="16"/>
      <c r="C319" s="35"/>
      <c r="D319" s="32"/>
      <c r="E319" s="3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>
        <f t="shared" si="19"/>
        <v>0</v>
      </c>
      <c r="AK319" s="17">
        <f t="shared" si="20"/>
        <v>0</v>
      </c>
      <c r="AL319" s="17">
        <f t="shared" si="23"/>
        <v>0</v>
      </c>
      <c r="AM319" s="17">
        <f t="shared" si="24"/>
        <v>0</v>
      </c>
      <c r="AN319" s="17">
        <f t="shared" si="21"/>
        <v>0</v>
      </c>
      <c r="AO319" s="17">
        <f t="shared" si="22"/>
        <v>0</v>
      </c>
    </row>
    <row r="320" ht="14.25" customHeight="1">
      <c r="A320" s="31"/>
      <c r="B320" s="16"/>
      <c r="C320" s="35"/>
      <c r="D320" s="32"/>
      <c r="E320" s="3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>
        <f t="shared" si="19"/>
        <v>0</v>
      </c>
      <c r="AK320" s="17">
        <f t="shared" si="20"/>
        <v>0</v>
      </c>
      <c r="AL320" s="17">
        <f t="shared" si="23"/>
        <v>0</v>
      </c>
      <c r="AM320" s="17">
        <f t="shared" si="24"/>
        <v>0</v>
      </c>
      <c r="AN320" s="17">
        <f t="shared" si="21"/>
        <v>0</v>
      </c>
      <c r="AO320" s="17">
        <f t="shared" si="22"/>
        <v>0</v>
      </c>
    </row>
    <row r="321" ht="14.25" customHeight="1">
      <c r="A321" s="31"/>
      <c r="B321" s="16"/>
      <c r="C321" s="35"/>
      <c r="D321" s="32"/>
      <c r="E321" s="3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>
        <f t="shared" si="19"/>
        <v>0</v>
      </c>
      <c r="AK321" s="17">
        <f t="shared" si="20"/>
        <v>0</v>
      </c>
      <c r="AL321" s="17">
        <f t="shared" si="23"/>
        <v>0</v>
      </c>
      <c r="AM321" s="17">
        <f t="shared" si="24"/>
        <v>0</v>
      </c>
      <c r="AN321" s="17">
        <f t="shared" si="21"/>
        <v>0</v>
      </c>
      <c r="AO321" s="17">
        <f t="shared" si="22"/>
        <v>0</v>
      </c>
    </row>
    <row r="322" ht="14.25" customHeight="1">
      <c r="A322" s="31"/>
      <c r="B322" s="16"/>
      <c r="C322" s="35"/>
      <c r="D322" s="32"/>
      <c r="E322" s="3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>
        <f t="shared" si="19"/>
        <v>0</v>
      </c>
      <c r="AK322" s="17">
        <f t="shared" si="20"/>
        <v>0</v>
      </c>
      <c r="AL322" s="17">
        <f t="shared" si="23"/>
        <v>0</v>
      </c>
      <c r="AM322" s="17">
        <f t="shared" si="24"/>
        <v>0</v>
      </c>
      <c r="AN322" s="17">
        <f t="shared" si="21"/>
        <v>0</v>
      </c>
      <c r="AO322" s="17">
        <f t="shared" si="22"/>
        <v>0</v>
      </c>
    </row>
    <row r="323" ht="14.25" customHeight="1">
      <c r="A323" s="31"/>
      <c r="B323" s="16"/>
      <c r="C323" s="35"/>
      <c r="D323" s="32"/>
      <c r="E323" s="3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>
        <f t="shared" si="19"/>
        <v>0</v>
      </c>
      <c r="AK323" s="17">
        <f t="shared" si="20"/>
        <v>0</v>
      </c>
      <c r="AL323" s="17">
        <f t="shared" si="23"/>
        <v>0</v>
      </c>
      <c r="AM323" s="17">
        <f t="shared" si="24"/>
        <v>0</v>
      </c>
      <c r="AN323" s="17">
        <f t="shared" si="21"/>
        <v>0</v>
      </c>
      <c r="AO323" s="17">
        <f t="shared" si="22"/>
        <v>0</v>
      </c>
    </row>
    <row r="324" ht="14.25" customHeight="1">
      <c r="A324" s="31"/>
      <c r="B324" s="16"/>
      <c r="C324" s="35"/>
      <c r="D324" s="32"/>
      <c r="E324" s="3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>
        <f t="shared" si="19"/>
        <v>0</v>
      </c>
      <c r="AK324" s="17">
        <f t="shared" si="20"/>
        <v>0</v>
      </c>
      <c r="AL324" s="17">
        <f t="shared" si="23"/>
        <v>0</v>
      </c>
      <c r="AM324" s="17">
        <f t="shared" si="24"/>
        <v>0</v>
      </c>
      <c r="AN324" s="17">
        <f t="shared" si="21"/>
        <v>0</v>
      </c>
      <c r="AO324" s="17">
        <f t="shared" si="22"/>
        <v>0</v>
      </c>
    </row>
    <row r="325" ht="14.25" customHeight="1">
      <c r="A325" s="31"/>
      <c r="B325" s="16"/>
      <c r="C325" s="35"/>
      <c r="D325" s="32"/>
      <c r="E325" s="3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>
        <f t="shared" si="19"/>
        <v>0</v>
      </c>
      <c r="AK325" s="17">
        <f t="shared" si="20"/>
        <v>0</v>
      </c>
      <c r="AL325" s="17">
        <f t="shared" si="23"/>
        <v>0</v>
      </c>
      <c r="AM325" s="17">
        <f t="shared" si="24"/>
        <v>0</v>
      </c>
      <c r="AN325" s="17">
        <f t="shared" si="21"/>
        <v>0</v>
      </c>
      <c r="AO325" s="17">
        <f t="shared" si="22"/>
        <v>0</v>
      </c>
    </row>
    <row r="326" ht="14.25" customHeight="1">
      <c r="A326" s="31"/>
      <c r="B326" s="16"/>
      <c r="C326" s="35"/>
      <c r="D326" s="32"/>
      <c r="E326" s="3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>
        <f t="shared" si="19"/>
        <v>0</v>
      </c>
      <c r="AK326" s="17">
        <f t="shared" si="20"/>
        <v>0</v>
      </c>
      <c r="AL326" s="17">
        <f t="shared" si="23"/>
        <v>0</v>
      </c>
      <c r="AM326" s="17">
        <f t="shared" si="24"/>
        <v>0</v>
      </c>
      <c r="AN326" s="17">
        <f t="shared" si="21"/>
        <v>0</v>
      </c>
      <c r="AO326" s="17">
        <f t="shared" si="22"/>
        <v>0</v>
      </c>
    </row>
    <row r="327" ht="14.25" customHeight="1">
      <c r="A327" s="31"/>
      <c r="B327" s="16"/>
      <c r="C327" s="35"/>
      <c r="D327" s="32"/>
      <c r="E327" s="3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>
        <f t="shared" si="19"/>
        <v>0</v>
      </c>
      <c r="AK327" s="17">
        <f t="shared" si="20"/>
        <v>0</v>
      </c>
      <c r="AL327" s="17">
        <f t="shared" si="23"/>
        <v>0</v>
      </c>
      <c r="AM327" s="17">
        <f t="shared" si="24"/>
        <v>0</v>
      </c>
      <c r="AN327" s="17">
        <f t="shared" si="21"/>
        <v>0</v>
      </c>
      <c r="AO327" s="17">
        <f t="shared" si="22"/>
        <v>0</v>
      </c>
    </row>
    <row r="328" ht="14.25" customHeight="1">
      <c r="A328" s="31"/>
      <c r="B328" s="16"/>
      <c r="C328" s="35"/>
      <c r="D328" s="32"/>
      <c r="E328" s="3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>
        <f t="shared" si="19"/>
        <v>0</v>
      </c>
      <c r="AK328" s="17">
        <f t="shared" si="20"/>
        <v>0</v>
      </c>
      <c r="AL328" s="17">
        <f t="shared" si="23"/>
        <v>0</v>
      </c>
      <c r="AM328" s="17">
        <f t="shared" si="24"/>
        <v>0</v>
      </c>
      <c r="AN328" s="17">
        <f t="shared" si="21"/>
        <v>0</v>
      </c>
      <c r="AO328" s="17">
        <f t="shared" si="22"/>
        <v>0</v>
      </c>
    </row>
    <row r="329" ht="14.25" customHeight="1">
      <c r="A329" s="31"/>
      <c r="B329" s="16"/>
      <c r="C329" s="35"/>
      <c r="D329" s="32"/>
      <c r="E329" s="3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>
        <f t="shared" si="19"/>
        <v>0</v>
      </c>
      <c r="AK329" s="17">
        <f t="shared" si="20"/>
        <v>0</v>
      </c>
      <c r="AL329" s="17">
        <f t="shared" si="23"/>
        <v>0</v>
      </c>
      <c r="AM329" s="17">
        <f t="shared" si="24"/>
        <v>0</v>
      </c>
      <c r="AN329" s="17">
        <f t="shared" si="21"/>
        <v>0</v>
      </c>
      <c r="AO329" s="17">
        <f t="shared" si="22"/>
        <v>0</v>
      </c>
    </row>
    <row r="330" ht="14.25" customHeight="1">
      <c r="A330" s="31"/>
      <c r="B330" s="16"/>
      <c r="C330" s="35"/>
      <c r="D330" s="32"/>
      <c r="E330" s="3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>
        <f t="shared" si="19"/>
        <v>0</v>
      </c>
      <c r="AK330" s="17">
        <f t="shared" si="20"/>
        <v>0</v>
      </c>
      <c r="AL330" s="17">
        <f t="shared" si="23"/>
        <v>0</v>
      </c>
      <c r="AM330" s="17">
        <f t="shared" si="24"/>
        <v>0</v>
      </c>
      <c r="AN330" s="17">
        <f t="shared" si="21"/>
        <v>0</v>
      </c>
      <c r="AO330" s="17">
        <f t="shared" si="22"/>
        <v>0</v>
      </c>
    </row>
    <row r="331" ht="14.25" customHeight="1">
      <c r="A331" s="25"/>
      <c r="B331" s="16"/>
      <c r="C331" s="3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36"/>
      <c r="AK331" s="37"/>
      <c r="AL331" s="37"/>
      <c r="AM331" s="37"/>
      <c r="AN331" s="17"/>
      <c r="AO331" s="17"/>
    </row>
    <row r="332" ht="14.25" customHeight="1">
      <c r="A332" s="25"/>
      <c r="B332" s="16"/>
      <c r="C332" s="3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36"/>
      <c r="AK332" s="37"/>
      <c r="AL332" s="37"/>
      <c r="AM332" s="37"/>
      <c r="AN332" s="17"/>
      <c r="AO332" s="17"/>
    </row>
    <row r="333" ht="14.25" customHeight="1">
      <c r="A333" s="25"/>
      <c r="B333" s="16"/>
      <c r="C333" s="3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36"/>
      <c r="AK333" s="37"/>
      <c r="AL333" s="37"/>
      <c r="AM333" s="37"/>
      <c r="AN333" s="17"/>
      <c r="AO333" s="17"/>
    </row>
    <row r="334" ht="14.25" customHeight="1">
      <c r="A334" s="25"/>
      <c r="B334" s="16"/>
      <c r="C334" s="3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36"/>
      <c r="AK334" s="37"/>
      <c r="AL334" s="37"/>
      <c r="AM334" s="37"/>
      <c r="AN334" s="17"/>
      <c r="AO334" s="17"/>
    </row>
    <row r="335" ht="14.25" customHeight="1">
      <c r="A335" s="25"/>
      <c r="B335" s="16"/>
      <c r="C335" s="3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36"/>
      <c r="AK335" s="37"/>
      <c r="AL335" s="37"/>
      <c r="AM335" s="37"/>
      <c r="AN335" s="17"/>
      <c r="AO335" s="17"/>
    </row>
    <row r="336" ht="14.25" customHeight="1">
      <c r="A336" s="25"/>
      <c r="B336" s="16"/>
      <c r="C336" s="3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36"/>
      <c r="AK336" s="37"/>
      <c r="AL336" s="37"/>
      <c r="AM336" s="37"/>
      <c r="AN336" s="17"/>
      <c r="AO336" s="17"/>
    </row>
    <row r="337" ht="14.25" customHeight="1">
      <c r="A337" s="25"/>
      <c r="B337" s="16"/>
      <c r="C337" s="3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36"/>
      <c r="AK337" s="37"/>
      <c r="AL337" s="37"/>
      <c r="AM337" s="37"/>
      <c r="AN337" s="17"/>
      <c r="AO337" s="17"/>
    </row>
    <row r="338" ht="14.25" customHeight="1">
      <c r="A338" s="25"/>
      <c r="B338" s="16"/>
      <c r="C338" s="3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36"/>
      <c r="AK338" s="37"/>
      <c r="AL338" s="37"/>
      <c r="AM338" s="37"/>
      <c r="AN338" s="17"/>
      <c r="AO338" s="17"/>
    </row>
    <row r="339" ht="14.25" customHeight="1">
      <c r="A339" s="25"/>
      <c r="B339" s="16"/>
      <c r="C339" s="3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36"/>
      <c r="AK339" s="37"/>
      <c r="AL339" s="37"/>
      <c r="AM339" s="37"/>
      <c r="AN339" s="17"/>
      <c r="AO339" s="17"/>
    </row>
    <row r="340" ht="14.25" customHeight="1">
      <c r="A340" s="25"/>
      <c r="B340" s="16"/>
      <c r="C340" s="3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36"/>
      <c r="AK340" s="37"/>
      <c r="AL340" s="37"/>
      <c r="AM340" s="37"/>
      <c r="AN340" s="17"/>
      <c r="AO340" s="17"/>
    </row>
    <row r="341" ht="14.25" customHeight="1">
      <c r="A341" s="25"/>
      <c r="B341" s="16"/>
      <c r="C341" s="3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36"/>
      <c r="AK341" s="37"/>
      <c r="AL341" s="37"/>
      <c r="AM341" s="37"/>
      <c r="AN341" s="17"/>
      <c r="AO341" s="17"/>
    </row>
    <row r="342" ht="14.25" customHeight="1">
      <c r="A342" s="25"/>
      <c r="B342" s="16"/>
      <c r="C342" s="3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36"/>
      <c r="AK342" s="37"/>
      <c r="AL342" s="37"/>
      <c r="AM342" s="37"/>
      <c r="AN342" s="17"/>
      <c r="AO342" s="17"/>
    </row>
    <row r="343" ht="14.25" customHeight="1">
      <c r="A343" s="25"/>
      <c r="B343" s="16"/>
      <c r="C343" s="3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36"/>
      <c r="AK343" s="37"/>
      <c r="AL343" s="37"/>
      <c r="AM343" s="37"/>
      <c r="AN343" s="17"/>
      <c r="AO343" s="17"/>
    </row>
    <row r="344" ht="14.25" customHeight="1">
      <c r="A344" s="25"/>
      <c r="B344" s="16"/>
      <c r="C344" s="3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36"/>
      <c r="AK344" s="37"/>
      <c r="AL344" s="37"/>
      <c r="AM344" s="37"/>
      <c r="AN344" s="17"/>
      <c r="AO344" s="17"/>
    </row>
    <row r="345" ht="14.25" customHeight="1">
      <c r="A345" s="25"/>
      <c r="B345" s="16"/>
      <c r="C345" s="3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36"/>
      <c r="AK345" s="37"/>
      <c r="AL345" s="37"/>
      <c r="AM345" s="37"/>
      <c r="AN345" s="17"/>
      <c r="AO345" s="17"/>
    </row>
    <row r="346" ht="14.25" customHeight="1">
      <c r="A346" s="25"/>
      <c r="B346" s="16"/>
      <c r="C346" s="3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36"/>
      <c r="AK346" s="37"/>
      <c r="AL346" s="37"/>
      <c r="AM346" s="37"/>
      <c r="AN346" s="17"/>
      <c r="AO346" s="17"/>
    </row>
    <row r="347" ht="14.25" customHeight="1">
      <c r="A347" s="25"/>
      <c r="B347" s="16"/>
      <c r="C347" s="3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36"/>
      <c r="AK347" s="37"/>
      <c r="AL347" s="37"/>
      <c r="AM347" s="37"/>
      <c r="AN347" s="17"/>
      <c r="AO347" s="17"/>
    </row>
    <row r="348" ht="14.25" customHeight="1">
      <c r="A348" s="25"/>
      <c r="B348" s="16"/>
      <c r="C348" s="3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36"/>
      <c r="AK348" s="37"/>
      <c r="AL348" s="37"/>
      <c r="AM348" s="37"/>
      <c r="AN348" s="17"/>
      <c r="AO348" s="17"/>
    </row>
    <row r="349" ht="14.25" customHeight="1">
      <c r="A349" s="25"/>
      <c r="B349" s="16"/>
      <c r="C349" s="3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36"/>
      <c r="AK349" s="37"/>
      <c r="AL349" s="37"/>
      <c r="AM349" s="37"/>
      <c r="AN349" s="17"/>
      <c r="AO349" s="17"/>
    </row>
    <row r="350" ht="14.25" customHeight="1">
      <c r="A350" s="25"/>
      <c r="B350" s="16"/>
      <c r="C350" s="3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36"/>
      <c r="AK350" s="37"/>
      <c r="AL350" s="37"/>
      <c r="AM350" s="37"/>
      <c r="AN350" s="17"/>
      <c r="AO350" s="17"/>
    </row>
    <row r="351" ht="14.25" customHeight="1">
      <c r="A351" s="25"/>
      <c r="B351" s="16"/>
      <c r="C351" s="3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36"/>
      <c r="AK351" s="37"/>
      <c r="AL351" s="37"/>
      <c r="AM351" s="37"/>
      <c r="AN351" s="17"/>
      <c r="AO351" s="17"/>
    </row>
    <row r="352" ht="14.25" customHeight="1">
      <c r="A352" s="25"/>
      <c r="B352" s="16"/>
      <c r="C352" s="3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36"/>
      <c r="AK352" s="37"/>
      <c r="AL352" s="37"/>
      <c r="AM352" s="37"/>
      <c r="AN352" s="17"/>
      <c r="AO352" s="17"/>
    </row>
    <row r="353" ht="14.25" customHeight="1">
      <c r="A353" s="25"/>
      <c r="B353" s="16"/>
      <c r="C353" s="3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36"/>
      <c r="AK353" s="37"/>
      <c r="AL353" s="37"/>
      <c r="AM353" s="37"/>
      <c r="AN353" s="17"/>
      <c r="AO353" s="17"/>
    </row>
    <row r="354" ht="14.25" customHeight="1">
      <c r="A354" s="25"/>
      <c r="B354" s="16"/>
      <c r="C354" s="3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36"/>
      <c r="AK354" s="37"/>
      <c r="AL354" s="37"/>
      <c r="AM354" s="37"/>
      <c r="AN354" s="17"/>
      <c r="AO354" s="17"/>
    </row>
    <row r="355" ht="14.25" customHeight="1">
      <c r="A355" s="25"/>
      <c r="B355" s="16"/>
      <c r="C355" s="3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36"/>
      <c r="AK355" s="37"/>
      <c r="AL355" s="37"/>
      <c r="AM355" s="37"/>
      <c r="AN355" s="17"/>
      <c r="AO355" s="17"/>
    </row>
    <row r="356" ht="14.25" customHeight="1">
      <c r="A356" s="25"/>
      <c r="B356" s="16"/>
      <c r="C356" s="3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36"/>
      <c r="AK356" s="37"/>
      <c r="AL356" s="37"/>
      <c r="AM356" s="37"/>
      <c r="AN356" s="17"/>
      <c r="AO356" s="17"/>
    </row>
    <row r="357" ht="14.25" customHeight="1">
      <c r="A357" s="25"/>
      <c r="B357" s="16"/>
      <c r="C357" s="3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36"/>
      <c r="AK357" s="37"/>
      <c r="AL357" s="37"/>
      <c r="AM357" s="37"/>
      <c r="AN357" s="17"/>
      <c r="AO357" s="17"/>
    </row>
    <row r="358" ht="14.25" customHeight="1">
      <c r="A358" s="25"/>
      <c r="B358" s="16"/>
      <c r="C358" s="3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36"/>
      <c r="AK358" s="37"/>
      <c r="AL358" s="37"/>
      <c r="AM358" s="37"/>
      <c r="AN358" s="17"/>
      <c r="AO358" s="17"/>
    </row>
    <row r="359" ht="14.25" customHeight="1">
      <c r="A359" s="25"/>
      <c r="B359" s="16"/>
      <c r="C359" s="3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36"/>
      <c r="AK359" s="37"/>
      <c r="AL359" s="37"/>
      <c r="AM359" s="37"/>
      <c r="AN359" s="17"/>
      <c r="AO359" s="17"/>
    </row>
    <row r="360" ht="14.25" customHeight="1">
      <c r="A360" s="25"/>
      <c r="B360" s="16"/>
      <c r="C360" s="3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36"/>
      <c r="AK360" s="37"/>
      <c r="AL360" s="37"/>
      <c r="AM360" s="37"/>
      <c r="AN360" s="17"/>
      <c r="AO360" s="17"/>
    </row>
    <row r="361" ht="14.25" customHeight="1">
      <c r="A361" s="25"/>
      <c r="B361" s="16"/>
      <c r="C361" s="3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36"/>
      <c r="AK361" s="37"/>
      <c r="AL361" s="37"/>
      <c r="AM361" s="37"/>
      <c r="AN361" s="17"/>
      <c r="AO361" s="17"/>
    </row>
    <row r="362" ht="14.25" customHeight="1">
      <c r="A362" s="25"/>
      <c r="B362" s="16"/>
      <c r="C362" s="3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36"/>
      <c r="AK362" s="37"/>
      <c r="AL362" s="37"/>
      <c r="AM362" s="37"/>
      <c r="AN362" s="17"/>
      <c r="AO362" s="17"/>
    </row>
    <row r="363" ht="14.25" customHeight="1">
      <c r="A363" s="25"/>
      <c r="B363" s="16"/>
      <c r="C363" s="3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36"/>
      <c r="AK363" s="37"/>
      <c r="AL363" s="37"/>
      <c r="AM363" s="37"/>
      <c r="AN363" s="17"/>
      <c r="AO363" s="17"/>
    </row>
    <row r="364" ht="14.25" customHeight="1">
      <c r="A364" s="25"/>
      <c r="B364" s="16"/>
      <c r="C364" s="3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36"/>
      <c r="AK364" s="37"/>
      <c r="AL364" s="37"/>
      <c r="AM364" s="37"/>
      <c r="AN364" s="17"/>
      <c r="AO364" s="17"/>
    </row>
    <row r="365" ht="14.25" customHeight="1">
      <c r="A365" s="25"/>
      <c r="B365" s="16"/>
      <c r="C365" s="3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36"/>
      <c r="AK365" s="37"/>
      <c r="AL365" s="37"/>
      <c r="AM365" s="37"/>
      <c r="AN365" s="17"/>
      <c r="AO365" s="17"/>
    </row>
    <row r="366" ht="14.25" customHeight="1">
      <c r="A366" s="25"/>
      <c r="B366" s="16"/>
      <c r="C366" s="3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36"/>
      <c r="AK366" s="37"/>
      <c r="AL366" s="37"/>
      <c r="AM366" s="37"/>
      <c r="AN366" s="17"/>
      <c r="AO366" s="17"/>
    </row>
    <row r="367" ht="14.25" customHeight="1">
      <c r="A367" s="25"/>
      <c r="B367" s="16"/>
      <c r="C367" s="3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36"/>
      <c r="AK367" s="37"/>
      <c r="AL367" s="37"/>
      <c r="AM367" s="37"/>
      <c r="AN367" s="17"/>
      <c r="AO367" s="17"/>
    </row>
    <row r="368" ht="14.25" customHeight="1">
      <c r="A368" s="25"/>
      <c r="B368" s="16"/>
      <c r="C368" s="3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36"/>
      <c r="AK368" s="37"/>
      <c r="AL368" s="37"/>
      <c r="AM368" s="37"/>
      <c r="AN368" s="17"/>
      <c r="AO368" s="17"/>
    </row>
    <row r="369" ht="14.25" customHeight="1">
      <c r="A369" s="25"/>
      <c r="B369" s="16"/>
      <c r="C369" s="3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36"/>
      <c r="AK369" s="37"/>
      <c r="AL369" s="37"/>
      <c r="AM369" s="37"/>
      <c r="AN369" s="17"/>
      <c r="AO369" s="17"/>
    </row>
    <row r="370" ht="14.25" customHeight="1">
      <c r="A370" s="25"/>
      <c r="B370" s="16"/>
      <c r="C370" s="3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36"/>
      <c r="AK370" s="37"/>
      <c r="AL370" s="37"/>
      <c r="AM370" s="37"/>
      <c r="AN370" s="17"/>
      <c r="AO370" s="17"/>
    </row>
    <row r="371" ht="14.25" customHeight="1">
      <c r="A371" s="25"/>
      <c r="B371" s="16"/>
      <c r="C371" s="3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36"/>
      <c r="AK371" s="37"/>
      <c r="AL371" s="37"/>
      <c r="AM371" s="37"/>
      <c r="AN371" s="17"/>
      <c r="AO371" s="17"/>
    </row>
    <row r="372" ht="14.25" customHeight="1">
      <c r="A372" s="25"/>
      <c r="B372" s="16"/>
      <c r="C372" s="3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36"/>
      <c r="AK372" s="37"/>
      <c r="AL372" s="37"/>
      <c r="AM372" s="37"/>
      <c r="AN372" s="17"/>
      <c r="AO372" s="17"/>
    </row>
    <row r="373" ht="14.25" customHeight="1">
      <c r="A373" s="25"/>
      <c r="B373" s="16"/>
      <c r="C373" s="3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36"/>
      <c r="AK373" s="37"/>
      <c r="AL373" s="37"/>
      <c r="AM373" s="37"/>
      <c r="AN373" s="17"/>
      <c r="AO373" s="17"/>
    </row>
    <row r="374" ht="14.25" customHeight="1">
      <c r="A374" s="25"/>
      <c r="B374" s="16"/>
      <c r="C374" s="3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36"/>
      <c r="AK374" s="37"/>
      <c r="AL374" s="37"/>
      <c r="AM374" s="37"/>
      <c r="AN374" s="17"/>
      <c r="AO374" s="17"/>
    </row>
    <row r="375" ht="14.25" customHeight="1">
      <c r="A375" s="25"/>
      <c r="B375" s="16"/>
      <c r="C375" s="3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36"/>
      <c r="AK375" s="37"/>
      <c r="AL375" s="37"/>
      <c r="AM375" s="37"/>
      <c r="AN375" s="17"/>
      <c r="AO375" s="17"/>
    </row>
    <row r="376" ht="14.25" customHeight="1">
      <c r="A376" s="25"/>
      <c r="B376" s="16"/>
      <c r="C376" s="3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36"/>
      <c r="AK376" s="37"/>
      <c r="AL376" s="37"/>
      <c r="AM376" s="37"/>
      <c r="AN376" s="17"/>
      <c r="AO376" s="17"/>
    </row>
    <row r="377" ht="14.25" customHeight="1">
      <c r="A377" s="25"/>
      <c r="B377" s="16"/>
      <c r="C377" s="3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36"/>
      <c r="AK377" s="37"/>
      <c r="AL377" s="37"/>
      <c r="AM377" s="37"/>
      <c r="AN377" s="17"/>
      <c r="AO377" s="17"/>
    </row>
    <row r="378" ht="14.25" customHeight="1">
      <c r="A378" s="25"/>
      <c r="B378" s="16"/>
      <c r="C378" s="3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36"/>
      <c r="AK378" s="37"/>
      <c r="AL378" s="37"/>
      <c r="AM378" s="37"/>
      <c r="AN378" s="17"/>
      <c r="AO378" s="17"/>
    </row>
    <row r="379" ht="14.25" customHeight="1">
      <c r="A379" s="25"/>
      <c r="B379" s="16"/>
      <c r="C379" s="3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36"/>
      <c r="AK379" s="37"/>
      <c r="AL379" s="37"/>
      <c r="AM379" s="37"/>
      <c r="AN379" s="17"/>
      <c r="AO379" s="17"/>
    </row>
    <row r="380" ht="14.25" customHeight="1">
      <c r="A380" s="25"/>
      <c r="B380" s="16"/>
      <c r="C380" s="3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36"/>
      <c r="AK380" s="37"/>
      <c r="AL380" s="37"/>
      <c r="AM380" s="37"/>
      <c r="AN380" s="17"/>
      <c r="AO380" s="17"/>
    </row>
    <row r="381" ht="14.25" customHeight="1">
      <c r="A381" s="25"/>
      <c r="B381" s="16"/>
      <c r="C381" s="3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36"/>
      <c r="AK381" s="37"/>
      <c r="AL381" s="37"/>
      <c r="AM381" s="37"/>
      <c r="AN381" s="17"/>
      <c r="AO381" s="17"/>
    </row>
    <row r="382" ht="14.25" customHeight="1">
      <c r="A382" s="25"/>
      <c r="B382" s="16"/>
      <c r="C382" s="3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36"/>
      <c r="AK382" s="37"/>
      <c r="AL382" s="37"/>
      <c r="AM382" s="37"/>
      <c r="AN382" s="17"/>
      <c r="AO382" s="17"/>
    </row>
    <row r="383" ht="14.25" customHeight="1">
      <c r="A383" s="25"/>
      <c r="B383" s="16"/>
      <c r="C383" s="3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36"/>
      <c r="AK383" s="37"/>
      <c r="AL383" s="37"/>
      <c r="AM383" s="37"/>
      <c r="AN383" s="17"/>
      <c r="AO383" s="17"/>
    </row>
    <row r="384" ht="14.25" customHeight="1">
      <c r="A384" s="25"/>
      <c r="B384" s="16"/>
      <c r="C384" s="3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36"/>
      <c r="AK384" s="37"/>
      <c r="AL384" s="37"/>
      <c r="AM384" s="37"/>
      <c r="AN384" s="17"/>
      <c r="AO384" s="17"/>
    </row>
    <row r="385" ht="14.25" customHeight="1">
      <c r="A385" s="25"/>
      <c r="B385" s="16"/>
      <c r="C385" s="3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36"/>
      <c r="AK385" s="37"/>
      <c r="AL385" s="37"/>
      <c r="AM385" s="37"/>
      <c r="AN385" s="17"/>
      <c r="AO385" s="17"/>
    </row>
    <row r="386" ht="14.25" customHeight="1">
      <c r="A386" s="25"/>
      <c r="B386" s="16"/>
      <c r="C386" s="3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36"/>
      <c r="AK386" s="37"/>
      <c r="AL386" s="37"/>
      <c r="AM386" s="37"/>
      <c r="AN386" s="17"/>
      <c r="AO386" s="17"/>
    </row>
    <row r="387" ht="14.25" customHeight="1">
      <c r="A387" s="25"/>
      <c r="B387" s="16"/>
      <c r="C387" s="3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36"/>
      <c r="AK387" s="37"/>
      <c r="AL387" s="37"/>
      <c r="AM387" s="37"/>
      <c r="AN387" s="17"/>
      <c r="AO387" s="17"/>
    </row>
    <row r="388" ht="14.25" customHeight="1">
      <c r="A388" s="25"/>
      <c r="B388" s="16"/>
      <c r="C388" s="3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36"/>
      <c r="AK388" s="37"/>
      <c r="AL388" s="37"/>
      <c r="AM388" s="37"/>
      <c r="AN388" s="17"/>
      <c r="AO388" s="17"/>
    </row>
    <row r="389" ht="14.25" customHeight="1">
      <c r="A389" s="25"/>
      <c r="B389" s="16"/>
      <c r="C389" s="3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36"/>
      <c r="AK389" s="37"/>
      <c r="AL389" s="37"/>
      <c r="AM389" s="37"/>
      <c r="AN389" s="17"/>
      <c r="AO389" s="17"/>
    </row>
    <row r="390" ht="14.25" customHeight="1">
      <c r="A390" s="25"/>
      <c r="B390" s="16"/>
      <c r="C390" s="3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36"/>
      <c r="AK390" s="37"/>
      <c r="AL390" s="37"/>
      <c r="AM390" s="37"/>
      <c r="AN390" s="17"/>
      <c r="AO390" s="17"/>
    </row>
    <row r="391" ht="14.25" customHeight="1">
      <c r="A391" s="25"/>
      <c r="B391" s="16"/>
      <c r="C391" s="3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36"/>
      <c r="AK391" s="37"/>
      <c r="AL391" s="37"/>
      <c r="AM391" s="37"/>
      <c r="AN391" s="17"/>
      <c r="AO391" s="17"/>
    </row>
    <row r="392" ht="14.25" customHeight="1">
      <c r="A392" s="25"/>
      <c r="B392" s="16"/>
      <c r="C392" s="3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36"/>
      <c r="AK392" s="37"/>
      <c r="AL392" s="37"/>
      <c r="AM392" s="37"/>
      <c r="AN392" s="17"/>
      <c r="AO392" s="17"/>
    </row>
    <row r="393" ht="14.25" customHeight="1">
      <c r="A393" s="25"/>
      <c r="B393" s="16"/>
      <c r="C393" s="3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36"/>
      <c r="AK393" s="37"/>
      <c r="AL393" s="37"/>
      <c r="AM393" s="37"/>
      <c r="AN393" s="17"/>
      <c r="AO393" s="17"/>
    </row>
    <row r="394" ht="14.25" customHeight="1">
      <c r="A394" s="25"/>
      <c r="B394" s="16"/>
      <c r="C394" s="3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36"/>
      <c r="AK394" s="37"/>
      <c r="AL394" s="37"/>
      <c r="AM394" s="37"/>
      <c r="AN394" s="17"/>
      <c r="AO394" s="17"/>
    </row>
    <row r="395" ht="14.25" customHeight="1">
      <c r="A395" s="25"/>
      <c r="B395" s="16"/>
      <c r="C395" s="3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36"/>
      <c r="AK395" s="37"/>
      <c r="AL395" s="37"/>
      <c r="AM395" s="37"/>
      <c r="AN395" s="17"/>
      <c r="AO395" s="17"/>
    </row>
    <row r="396" ht="14.25" customHeight="1">
      <c r="A396" s="25"/>
      <c r="B396" s="16"/>
      <c r="C396" s="3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36"/>
      <c r="AK396" s="37"/>
      <c r="AL396" s="37"/>
      <c r="AM396" s="37"/>
      <c r="AN396" s="17"/>
      <c r="AO396" s="17"/>
    </row>
    <row r="397" ht="14.25" customHeight="1">
      <c r="A397" s="25"/>
      <c r="B397" s="16"/>
      <c r="C397" s="3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36"/>
      <c r="AK397" s="37"/>
      <c r="AL397" s="37"/>
      <c r="AM397" s="37"/>
      <c r="AN397" s="17"/>
      <c r="AO397" s="17"/>
    </row>
    <row r="398" ht="14.25" customHeight="1">
      <c r="A398" s="25"/>
      <c r="B398" s="16"/>
      <c r="C398" s="3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36"/>
      <c r="AK398" s="37"/>
      <c r="AL398" s="37"/>
      <c r="AM398" s="37"/>
      <c r="AN398" s="17"/>
      <c r="AO398" s="17"/>
    </row>
    <row r="399" ht="14.25" customHeight="1">
      <c r="A399" s="25"/>
      <c r="B399" s="16"/>
      <c r="C399" s="3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36"/>
      <c r="AK399" s="37"/>
      <c r="AL399" s="37"/>
      <c r="AM399" s="37"/>
      <c r="AN399" s="17"/>
      <c r="AO399" s="17"/>
    </row>
    <row r="400" ht="14.25" customHeight="1">
      <c r="A400" s="25"/>
      <c r="B400" s="16"/>
      <c r="C400" s="3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36"/>
      <c r="AK400" s="37"/>
      <c r="AL400" s="37"/>
      <c r="AM400" s="37"/>
      <c r="AN400" s="17"/>
      <c r="AO400" s="17"/>
    </row>
    <row r="401" ht="14.25" customHeight="1">
      <c r="A401" s="25"/>
      <c r="B401" s="16"/>
      <c r="C401" s="3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36"/>
      <c r="AK401" s="37"/>
      <c r="AL401" s="37"/>
      <c r="AM401" s="37"/>
      <c r="AN401" s="17"/>
      <c r="AO401" s="17"/>
    </row>
    <row r="402" ht="14.25" customHeight="1">
      <c r="A402" s="25"/>
      <c r="B402" s="16"/>
      <c r="C402" s="3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36"/>
      <c r="AK402" s="37"/>
      <c r="AL402" s="37"/>
      <c r="AM402" s="37"/>
      <c r="AN402" s="17"/>
      <c r="AO402" s="17"/>
    </row>
    <row r="403" ht="14.25" customHeight="1">
      <c r="A403" s="25"/>
      <c r="B403" s="16"/>
      <c r="C403" s="3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36"/>
      <c r="AK403" s="37"/>
      <c r="AL403" s="37"/>
      <c r="AM403" s="37"/>
      <c r="AN403" s="17"/>
      <c r="AO403" s="17"/>
    </row>
    <row r="404" ht="14.25" customHeight="1">
      <c r="A404" s="25"/>
      <c r="B404" s="16"/>
      <c r="C404" s="3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36"/>
      <c r="AK404" s="37"/>
      <c r="AL404" s="37"/>
      <c r="AM404" s="37"/>
      <c r="AN404" s="17"/>
      <c r="AO404" s="17"/>
    </row>
    <row r="405" ht="14.25" customHeight="1">
      <c r="A405" s="25"/>
      <c r="B405" s="16"/>
      <c r="C405" s="3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36"/>
      <c r="AK405" s="37"/>
      <c r="AL405" s="37"/>
      <c r="AM405" s="37"/>
      <c r="AN405" s="17"/>
      <c r="AO405" s="17"/>
    </row>
    <row r="406" ht="14.25" customHeight="1">
      <c r="A406" s="25"/>
      <c r="B406" s="16"/>
      <c r="C406" s="3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36"/>
      <c r="AK406" s="37"/>
      <c r="AL406" s="37"/>
      <c r="AM406" s="37"/>
      <c r="AN406" s="17"/>
      <c r="AO406" s="17"/>
    </row>
    <row r="407" ht="14.25" customHeight="1">
      <c r="A407" s="25"/>
      <c r="B407" s="16"/>
      <c r="C407" s="3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36"/>
      <c r="AK407" s="37"/>
      <c r="AL407" s="37"/>
      <c r="AM407" s="37"/>
      <c r="AN407" s="17"/>
      <c r="AO407" s="17"/>
    </row>
    <row r="408" ht="14.25" customHeight="1">
      <c r="A408" s="25"/>
      <c r="B408" s="16"/>
      <c r="C408" s="3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36"/>
      <c r="AK408" s="37"/>
      <c r="AL408" s="37"/>
      <c r="AM408" s="37"/>
      <c r="AN408" s="17"/>
      <c r="AO408" s="17"/>
    </row>
    <row r="409" ht="14.25" customHeight="1">
      <c r="A409" s="25"/>
      <c r="B409" s="16"/>
      <c r="C409" s="3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36"/>
      <c r="AK409" s="37"/>
      <c r="AL409" s="37"/>
      <c r="AM409" s="37"/>
      <c r="AN409" s="17"/>
      <c r="AO409" s="17"/>
    </row>
    <row r="410" ht="14.25" customHeight="1">
      <c r="A410" s="25"/>
      <c r="B410" s="16"/>
      <c r="C410" s="3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36"/>
      <c r="AK410" s="37"/>
      <c r="AL410" s="37"/>
      <c r="AM410" s="37"/>
      <c r="AN410" s="17"/>
      <c r="AO410" s="17"/>
    </row>
    <row r="411" ht="14.25" customHeight="1">
      <c r="A411" s="25"/>
      <c r="B411" s="16"/>
      <c r="C411" s="3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36"/>
      <c r="AK411" s="37"/>
      <c r="AL411" s="37"/>
      <c r="AM411" s="37"/>
      <c r="AN411" s="17"/>
      <c r="AO411" s="17"/>
    </row>
    <row r="412" ht="14.25" customHeight="1">
      <c r="A412" s="25"/>
      <c r="B412" s="16"/>
      <c r="C412" s="3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36"/>
      <c r="AK412" s="37"/>
      <c r="AL412" s="37"/>
      <c r="AM412" s="37"/>
      <c r="AN412" s="17"/>
      <c r="AO412" s="17"/>
    </row>
    <row r="413" ht="14.25" customHeight="1">
      <c r="A413" s="25"/>
      <c r="B413" s="16"/>
      <c r="C413" s="3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36"/>
      <c r="AK413" s="37"/>
      <c r="AL413" s="37"/>
      <c r="AM413" s="37"/>
      <c r="AN413" s="17"/>
      <c r="AO413" s="17"/>
    </row>
    <row r="414" ht="14.25" customHeight="1">
      <c r="A414" s="25"/>
      <c r="B414" s="16"/>
      <c r="C414" s="3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36"/>
      <c r="AK414" s="37"/>
      <c r="AL414" s="37"/>
      <c r="AM414" s="37"/>
      <c r="AN414" s="17"/>
      <c r="AO414" s="17"/>
    </row>
    <row r="415" ht="14.25" customHeight="1">
      <c r="A415" s="25"/>
      <c r="B415" s="16"/>
      <c r="C415" s="3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36"/>
      <c r="AK415" s="37"/>
      <c r="AL415" s="37"/>
      <c r="AM415" s="37"/>
      <c r="AN415" s="17"/>
      <c r="AO415" s="17"/>
    </row>
    <row r="416" ht="14.25" customHeight="1">
      <c r="A416" s="25"/>
      <c r="B416" s="16"/>
      <c r="C416" s="3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36"/>
      <c r="AK416" s="37"/>
      <c r="AL416" s="37"/>
      <c r="AM416" s="37"/>
      <c r="AN416" s="17"/>
      <c r="AO416" s="17"/>
    </row>
    <row r="417" ht="14.25" customHeight="1">
      <c r="A417" s="25"/>
      <c r="B417" s="16"/>
      <c r="C417" s="3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36"/>
      <c r="AK417" s="37"/>
      <c r="AL417" s="37"/>
      <c r="AM417" s="37"/>
      <c r="AN417" s="17"/>
      <c r="AO417" s="17"/>
    </row>
    <row r="418" ht="14.25" customHeight="1">
      <c r="A418" s="25"/>
      <c r="B418" s="16"/>
      <c r="C418" s="3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36"/>
      <c r="AK418" s="37"/>
      <c r="AL418" s="37"/>
      <c r="AM418" s="37"/>
      <c r="AN418" s="17"/>
      <c r="AO418" s="17"/>
    </row>
    <row r="419" ht="14.25" customHeight="1">
      <c r="A419" s="25"/>
      <c r="B419" s="16"/>
      <c r="C419" s="3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36"/>
      <c r="AK419" s="37"/>
      <c r="AL419" s="37"/>
      <c r="AM419" s="37"/>
      <c r="AN419" s="17"/>
      <c r="AO419" s="17"/>
    </row>
    <row r="420" ht="14.25" customHeight="1">
      <c r="A420" s="25"/>
      <c r="B420" s="16"/>
      <c r="C420" s="3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36"/>
      <c r="AK420" s="37"/>
      <c r="AL420" s="37"/>
      <c r="AM420" s="37"/>
      <c r="AN420" s="17"/>
      <c r="AO420" s="17"/>
    </row>
    <row r="421" ht="14.25" customHeight="1">
      <c r="A421" s="25"/>
      <c r="B421" s="16"/>
      <c r="C421" s="3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36"/>
      <c r="AK421" s="37"/>
      <c r="AL421" s="37"/>
      <c r="AM421" s="37"/>
      <c r="AN421" s="17"/>
      <c r="AO421" s="17"/>
    </row>
    <row r="422" ht="14.25" customHeight="1">
      <c r="A422" s="25"/>
      <c r="B422" s="16"/>
      <c r="C422" s="3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36"/>
      <c r="AK422" s="37"/>
      <c r="AL422" s="37"/>
      <c r="AM422" s="37"/>
      <c r="AN422" s="17"/>
      <c r="AO422" s="17"/>
    </row>
    <row r="423" ht="14.25" customHeight="1">
      <c r="A423" s="25"/>
      <c r="B423" s="16"/>
      <c r="C423" s="3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36"/>
      <c r="AK423" s="37"/>
      <c r="AL423" s="37"/>
      <c r="AM423" s="37"/>
      <c r="AN423" s="17"/>
      <c r="AO423" s="17"/>
    </row>
    <row r="424" ht="14.25" customHeight="1">
      <c r="A424" s="25"/>
      <c r="B424" s="16"/>
      <c r="C424" s="3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36"/>
      <c r="AK424" s="37"/>
      <c r="AL424" s="37"/>
      <c r="AM424" s="37"/>
      <c r="AN424" s="17"/>
      <c r="AO424" s="17"/>
    </row>
    <row r="425" ht="14.25" customHeight="1">
      <c r="A425" s="25"/>
      <c r="B425" s="16"/>
      <c r="C425" s="3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36"/>
      <c r="AK425" s="37"/>
      <c r="AL425" s="37"/>
      <c r="AM425" s="37"/>
      <c r="AN425" s="17"/>
      <c r="AO425" s="17"/>
    </row>
    <row r="426" ht="14.25" customHeight="1">
      <c r="A426" s="25"/>
      <c r="B426" s="16"/>
      <c r="C426" s="3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36"/>
      <c r="AK426" s="37"/>
      <c r="AL426" s="37"/>
      <c r="AM426" s="37"/>
      <c r="AN426" s="17"/>
      <c r="AO426" s="17"/>
    </row>
    <row r="427" ht="14.25" customHeight="1">
      <c r="A427" s="25"/>
      <c r="B427" s="16"/>
      <c r="C427" s="3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36"/>
      <c r="AK427" s="37"/>
      <c r="AL427" s="37"/>
      <c r="AM427" s="37"/>
      <c r="AN427" s="17"/>
      <c r="AO427" s="17"/>
    </row>
    <row r="428" ht="14.25" customHeight="1">
      <c r="A428" s="25"/>
      <c r="B428" s="16"/>
      <c r="C428" s="3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36"/>
      <c r="AK428" s="37"/>
      <c r="AL428" s="37"/>
      <c r="AM428" s="37"/>
      <c r="AN428" s="17"/>
      <c r="AO428" s="17"/>
    </row>
    <row r="429" ht="14.25" customHeight="1">
      <c r="A429" s="25"/>
      <c r="B429" s="16"/>
      <c r="C429" s="3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36"/>
      <c r="AK429" s="37"/>
      <c r="AL429" s="37"/>
      <c r="AM429" s="37"/>
      <c r="AN429" s="17"/>
      <c r="AO429" s="17"/>
    </row>
    <row r="430" ht="14.25" customHeight="1">
      <c r="A430" s="25"/>
      <c r="B430" s="16"/>
      <c r="C430" s="3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36"/>
      <c r="AK430" s="37"/>
      <c r="AL430" s="37"/>
      <c r="AM430" s="37"/>
      <c r="AN430" s="17"/>
      <c r="AO430" s="17"/>
    </row>
    <row r="431" ht="14.25" customHeight="1">
      <c r="A431" s="25"/>
      <c r="B431" s="16"/>
      <c r="C431" s="3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36"/>
      <c r="AK431" s="37"/>
      <c r="AL431" s="37"/>
      <c r="AM431" s="37"/>
      <c r="AN431" s="17"/>
      <c r="AO431" s="17"/>
    </row>
    <row r="432" ht="14.25" customHeight="1">
      <c r="A432" s="25"/>
      <c r="B432" s="16"/>
      <c r="C432" s="3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36"/>
      <c r="AK432" s="37"/>
      <c r="AL432" s="37"/>
      <c r="AM432" s="37"/>
      <c r="AN432" s="17"/>
      <c r="AO432" s="17"/>
    </row>
    <row r="433" ht="14.25" customHeight="1">
      <c r="A433" s="25"/>
      <c r="B433" s="16"/>
      <c r="C433" s="3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36"/>
      <c r="AK433" s="37"/>
      <c r="AL433" s="37"/>
      <c r="AM433" s="37"/>
      <c r="AN433" s="17"/>
      <c r="AO433" s="17"/>
    </row>
    <row r="434" ht="14.25" customHeight="1">
      <c r="A434" s="25"/>
      <c r="B434" s="16"/>
      <c r="C434" s="3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36"/>
      <c r="AK434" s="37"/>
      <c r="AL434" s="37"/>
      <c r="AM434" s="37"/>
      <c r="AN434" s="17"/>
      <c r="AO434" s="17"/>
    </row>
    <row r="435" ht="14.25" customHeight="1">
      <c r="A435" s="25"/>
      <c r="B435" s="16"/>
      <c r="C435" s="3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36"/>
      <c r="AK435" s="37"/>
      <c r="AL435" s="37"/>
      <c r="AM435" s="37"/>
      <c r="AN435" s="17"/>
      <c r="AO435" s="17"/>
    </row>
    <row r="436" ht="14.25" customHeight="1">
      <c r="A436" s="25"/>
      <c r="B436" s="16"/>
      <c r="C436" s="3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36"/>
      <c r="AK436" s="37"/>
      <c r="AL436" s="37"/>
      <c r="AM436" s="37"/>
      <c r="AN436" s="17"/>
      <c r="AO436" s="17"/>
    </row>
    <row r="437" ht="14.25" customHeight="1">
      <c r="A437" s="25"/>
      <c r="B437" s="16"/>
      <c r="C437" s="3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36"/>
      <c r="AK437" s="37"/>
      <c r="AL437" s="37"/>
      <c r="AM437" s="37"/>
      <c r="AN437" s="17"/>
      <c r="AO437" s="17"/>
    </row>
    <row r="438" ht="14.25" customHeight="1">
      <c r="A438" s="25"/>
      <c r="B438" s="16"/>
      <c r="C438" s="3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36"/>
      <c r="AK438" s="37"/>
      <c r="AL438" s="37"/>
      <c r="AM438" s="37"/>
      <c r="AN438" s="17"/>
      <c r="AO438" s="17"/>
    </row>
    <row r="439" ht="14.25" customHeight="1">
      <c r="A439" s="25"/>
      <c r="B439" s="16"/>
      <c r="C439" s="3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36"/>
      <c r="AK439" s="37"/>
      <c r="AL439" s="37"/>
      <c r="AM439" s="37"/>
      <c r="AN439" s="17"/>
      <c r="AO439" s="17"/>
    </row>
    <row r="440" ht="14.25" customHeight="1">
      <c r="A440" s="25"/>
      <c r="B440" s="16"/>
      <c r="C440" s="3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36"/>
      <c r="AK440" s="37"/>
      <c r="AL440" s="37"/>
      <c r="AM440" s="37"/>
      <c r="AN440" s="17"/>
      <c r="AO440" s="17"/>
    </row>
    <row r="441" ht="14.25" customHeight="1">
      <c r="A441" s="25"/>
      <c r="B441" s="16"/>
      <c r="C441" s="3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36"/>
      <c r="AK441" s="37"/>
      <c r="AL441" s="37"/>
      <c r="AM441" s="37"/>
      <c r="AN441" s="17"/>
      <c r="AO441" s="17"/>
    </row>
    <row r="442" ht="14.25" customHeight="1">
      <c r="A442" s="25"/>
      <c r="B442" s="16"/>
      <c r="C442" s="3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36"/>
      <c r="AK442" s="37"/>
      <c r="AL442" s="37"/>
      <c r="AM442" s="37"/>
      <c r="AN442" s="17"/>
      <c r="AO442" s="17"/>
    </row>
    <row r="443" ht="14.25" customHeight="1">
      <c r="A443" s="25"/>
      <c r="B443" s="16"/>
      <c r="C443" s="3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36"/>
      <c r="AK443" s="37"/>
      <c r="AL443" s="37"/>
      <c r="AM443" s="37"/>
      <c r="AN443" s="17"/>
      <c r="AO443" s="17"/>
    </row>
    <row r="444" ht="14.25" customHeight="1">
      <c r="A444" s="25"/>
      <c r="B444" s="16"/>
      <c r="C444" s="3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36"/>
      <c r="AK444" s="37"/>
      <c r="AL444" s="37"/>
      <c r="AM444" s="37"/>
      <c r="AN444" s="17"/>
      <c r="AO444" s="17"/>
    </row>
    <row r="445" ht="14.25" customHeight="1">
      <c r="A445" s="25"/>
      <c r="B445" s="16"/>
      <c r="C445" s="3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36"/>
      <c r="AK445" s="37"/>
      <c r="AL445" s="37"/>
      <c r="AM445" s="37"/>
      <c r="AN445" s="17"/>
      <c r="AO445" s="17"/>
    </row>
    <row r="446" ht="14.25" customHeight="1">
      <c r="A446" s="25"/>
      <c r="B446" s="16"/>
      <c r="C446" s="3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36"/>
      <c r="AK446" s="37"/>
      <c r="AL446" s="37"/>
      <c r="AM446" s="37"/>
      <c r="AN446" s="17"/>
      <c r="AO446" s="17"/>
    </row>
    <row r="447" ht="14.25" customHeight="1">
      <c r="A447" s="25"/>
      <c r="B447" s="16"/>
      <c r="C447" s="3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36"/>
      <c r="AK447" s="37"/>
      <c r="AL447" s="37"/>
      <c r="AM447" s="37"/>
      <c r="AN447" s="17"/>
      <c r="AO447" s="17"/>
    </row>
    <row r="448" ht="14.25" customHeight="1">
      <c r="A448" s="25"/>
      <c r="B448" s="16"/>
      <c r="C448" s="3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36"/>
      <c r="AK448" s="37"/>
      <c r="AL448" s="37"/>
      <c r="AM448" s="37"/>
      <c r="AN448" s="17"/>
      <c r="AO448" s="17"/>
    </row>
    <row r="449" ht="14.25" customHeight="1">
      <c r="A449" s="25"/>
      <c r="B449" s="16"/>
      <c r="C449" s="3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36"/>
      <c r="AK449" s="37"/>
      <c r="AL449" s="37"/>
      <c r="AM449" s="37"/>
      <c r="AN449" s="17"/>
      <c r="AO449" s="17"/>
    </row>
    <row r="450" ht="14.25" customHeight="1">
      <c r="A450" s="25"/>
      <c r="B450" s="16"/>
      <c r="C450" s="3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36"/>
      <c r="AK450" s="37"/>
      <c r="AL450" s="37"/>
      <c r="AM450" s="37"/>
      <c r="AN450" s="17"/>
      <c r="AO450" s="17"/>
    </row>
    <row r="451" ht="14.25" customHeight="1">
      <c r="A451" s="25"/>
      <c r="B451" s="16"/>
      <c r="C451" s="3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36"/>
      <c r="AK451" s="37"/>
      <c r="AL451" s="37"/>
      <c r="AM451" s="37"/>
      <c r="AN451" s="17"/>
      <c r="AO451" s="17"/>
    </row>
    <row r="452" ht="14.25" customHeight="1">
      <c r="A452" s="25"/>
      <c r="B452" s="16"/>
      <c r="C452" s="3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36"/>
      <c r="AK452" s="37"/>
      <c r="AL452" s="37"/>
      <c r="AM452" s="37"/>
      <c r="AN452" s="17"/>
      <c r="AO452" s="17"/>
    </row>
    <row r="453" ht="14.25" customHeight="1">
      <c r="A453" s="25"/>
      <c r="B453" s="16"/>
      <c r="C453" s="3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36"/>
      <c r="AK453" s="37"/>
      <c r="AL453" s="37"/>
      <c r="AM453" s="37"/>
      <c r="AN453" s="17"/>
      <c r="AO453" s="17"/>
    </row>
    <row r="454" ht="14.25" customHeight="1">
      <c r="A454" s="25"/>
      <c r="B454" s="16"/>
      <c r="C454" s="3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36"/>
      <c r="AK454" s="37"/>
      <c r="AL454" s="37"/>
      <c r="AM454" s="37"/>
      <c r="AN454" s="17"/>
      <c r="AO454" s="17"/>
    </row>
    <row r="455" ht="14.25" customHeight="1">
      <c r="A455" s="25"/>
      <c r="B455" s="16"/>
      <c r="C455" s="3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36"/>
      <c r="AK455" s="37"/>
      <c r="AL455" s="37"/>
      <c r="AM455" s="37"/>
      <c r="AN455" s="17"/>
      <c r="AO455" s="17"/>
    </row>
    <row r="456" ht="14.25" customHeight="1">
      <c r="A456" s="25"/>
      <c r="B456" s="16"/>
      <c r="C456" s="3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36"/>
      <c r="AK456" s="37"/>
      <c r="AL456" s="37"/>
      <c r="AM456" s="37"/>
      <c r="AN456" s="17"/>
      <c r="AO456" s="17"/>
    </row>
    <row r="457" ht="14.25" customHeight="1">
      <c r="A457" s="25"/>
      <c r="B457" s="16"/>
      <c r="C457" s="3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36"/>
      <c r="AK457" s="37"/>
      <c r="AL457" s="37"/>
      <c r="AM457" s="37"/>
      <c r="AN457" s="17"/>
      <c r="AO457" s="17"/>
    </row>
    <row r="458" ht="14.25" customHeight="1">
      <c r="A458" s="25"/>
      <c r="B458" s="16"/>
      <c r="C458" s="3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36"/>
      <c r="AK458" s="37"/>
      <c r="AL458" s="37"/>
      <c r="AM458" s="37"/>
      <c r="AN458" s="17"/>
      <c r="AO458" s="17"/>
    </row>
    <row r="459" ht="14.25" customHeight="1">
      <c r="A459" s="25"/>
      <c r="B459" s="16"/>
      <c r="C459" s="3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36"/>
      <c r="AK459" s="37"/>
      <c r="AL459" s="37"/>
      <c r="AM459" s="37"/>
      <c r="AN459" s="17"/>
      <c r="AO459" s="17"/>
    </row>
    <row r="460" ht="14.25" customHeight="1">
      <c r="A460" s="25"/>
      <c r="B460" s="16"/>
      <c r="C460" s="3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36"/>
      <c r="AK460" s="37"/>
      <c r="AL460" s="37"/>
      <c r="AM460" s="37"/>
      <c r="AN460" s="17"/>
      <c r="AO460" s="17"/>
    </row>
    <row r="461" ht="14.25" customHeight="1">
      <c r="A461" s="25"/>
      <c r="B461" s="16"/>
      <c r="C461" s="3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36"/>
      <c r="AK461" s="37"/>
      <c r="AL461" s="37"/>
      <c r="AM461" s="37"/>
      <c r="AN461" s="17"/>
      <c r="AO461" s="17"/>
    </row>
    <row r="462" ht="14.25" customHeight="1">
      <c r="A462" s="25"/>
      <c r="B462" s="16"/>
      <c r="C462" s="3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36"/>
      <c r="AK462" s="37"/>
      <c r="AL462" s="37"/>
      <c r="AM462" s="37"/>
      <c r="AN462" s="17"/>
      <c r="AO462" s="17"/>
    </row>
    <row r="463" ht="14.25" customHeight="1">
      <c r="A463" s="25"/>
      <c r="B463" s="16"/>
      <c r="C463" s="3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36"/>
      <c r="AK463" s="37"/>
      <c r="AL463" s="37"/>
      <c r="AM463" s="37"/>
      <c r="AN463" s="17"/>
      <c r="AO463" s="17"/>
    </row>
    <row r="464" ht="14.25" customHeight="1">
      <c r="A464" s="25"/>
      <c r="B464" s="16"/>
      <c r="C464" s="3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36"/>
      <c r="AK464" s="37"/>
      <c r="AL464" s="37"/>
      <c r="AM464" s="37"/>
      <c r="AN464" s="17"/>
      <c r="AO464" s="17"/>
    </row>
    <row r="465" ht="14.25" customHeight="1">
      <c r="A465" s="25"/>
      <c r="B465" s="16"/>
      <c r="C465" s="3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36"/>
      <c r="AK465" s="37"/>
      <c r="AL465" s="37"/>
      <c r="AM465" s="37"/>
      <c r="AN465" s="17"/>
      <c r="AO465" s="17"/>
    </row>
    <row r="466" ht="14.25" customHeight="1">
      <c r="A466" s="25"/>
      <c r="B466" s="16"/>
      <c r="C466" s="3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36"/>
      <c r="AK466" s="37"/>
      <c r="AL466" s="37"/>
      <c r="AM466" s="37"/>
      <c r="AN466" s="17"/>
      <c r="AO466" s="17"/>
    </row>
    <row r="467" ht="14.25" customHeight="1">
      <c r="A467" s="25"/>
      <c r="B467" s="16"/>
      <c r="C467" s="3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36"/>
      <c r="AK467" s="37"/>
      <c r="AL467" s="37"/>
      <c r="AM467" s="37"/>
      <c r="AN467" s="17"/>
      <c r="AO467" s="17"/>
    </row>
    <row r="468" ht="14.25" customHeight="1">
      <c r="A468" s="25"/>
      <c r="B468" s="16"/>
      <c r="C468" s="3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36"/>
      <c r="AK468" s="37"/>
      <c r="AL468" s="37"/>
      <c r="AM468" s="37"/>
      <c r="AN468" s="17"/>
      <c r="AO468" s="17"/>
    </row>
    <row r="469" ht="14.25" customHeight="1">
      <c r="A469" s="25"/>
      <c r="B469" s="16"/>
      <c r="C469" s="3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36"/>
      <c r="AK469" s="37"/>
      <c r="AL469" s="37"/>
      <c r="AM469" s="37"/>
      <c r="AN469" s="17"/>
      <c r="AO469" s="17"/>
    </row>
    <row r="470" ht="14.25" customHeight="1">
      <c r="A470" s="25"/>
      <c r="B470" s="16"/>
      <c r="C470" s="3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36"/>
      <c r="AK470" s="37"/>
      <c r="AL470" s="37"/>
      <c r="AM470" s="37"/>
      <c r="AN470" s="17"/>
      <c r="AO470" s="17"/>
    </row>
    <row r="471" ht="14.25" customHeight="1">
      <c r="A471" s="25"/>
      <c r="B471" s="16"/>
      <c r="C471" s="3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36"/>
      <c r="AK471" s="37"/>
      <c r="AL471" s="37"/>
      <c r="AM471" s="37"/>
      <c r="AN471" s="17"/>
      <c r="AO471" s="17"/>
    </row>
    <row r="472" ht="14.25" customHeight="1">
      <c r="A472" s="25"/>
      <c r="B472" s="16"/>
      <c r="C472" s="3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36"/>
      <c r="AK472" s="37"/>
      <c r="AL472" s="37"/>
      <c r="AM472" s="37"/>
      <c r="AN472" s="17"/>
      <c r="AO472" s="17"/>
    </row>
    <row r="473" ht="14.25" customHeight="1">
      <c r="A473" s="25"/>
      <c r="B473" s="16"/>
      <c r="C473" s="3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36"/>
      <c r="AK473" s="37"/>
      <c r="AL473" s="37"/>
      <c r="AM473" s="37"/>
      <c r="AN473" s="17"/>
      <c r="AO473" s="17"/>
    </row>
    <row r="474" ht="14.25" customHeight="1">
      <c r="A474" s="25"/>
      <c r="B474" s="16"/>
      <c r="C474" s="3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36"/>
      <c r="AK474" s="37"/>
      <c r="AL474" s="37"/>
      <c r="AM474" s="37"/>
      <c r="AN474" s="17"/>
      <c r="AO474" s="17"/>
    </row>
    <row r="475" ht="14.25" customHeight="1">
      <c r="A475" s="25"/>
      <c r="B475" s="16"/>
      <c r="C475" s="3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36"/>
      <c r="AK475" s="37"/>
      <c r="AL475" s="37"/>
      <c r="AM475" s="37"/>
      <c r="AN475" s="17"/>
      <c r="AO475" s="17"/>
    </row>
    <row r="476" ht="14.25" customHeight="1">
      <c r="A476" s="25"/>
      <c r="B476" s="16"/>
      <c r="C476" s="3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36"/>
      <c r="AK476" s="37"/>
      <c r="AL476" s="37"/>
      <c r="AM476" s="37"/>
      <c r="AN476" s="17"/>
      <c r="AO476" s="17"/>
    </row>
    <row r="477" ht="14.25" customHeight="1">
      <c r="A477" s="25"/>
      <c r="B477" s="16"/>
      <c r="C477" s="3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36"/>
      <c r="AK477" s="37"/>
      <c r="AL477" s="37"/>
      <c r="AM477" s="37"/>
      <c r="AN477" s="17"/>
      <c r="AO477" s="17"/>
    </row>
    <row r="478" ht="14.25" customHeight="1">
      <c r="A478" s="25"/>
      <c r="B478" s="16"/>
      <c r="C478" s="3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36"/>
      <c r="AK478" s="37"/>
      <c r="AL478" s="37"/>
      <c r="AM478" s="37"/>
      <c r="AN478" s="17"/>
      <c r="AO478" s="17"/>
    </row>
    <row r="479" ht="14.25" customHeight="1">
      <c r="A479" s="25"/>
      <c r="B479" s="16"/>
      <c r="C479" s="3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36"/>
      <c r="AK479" s="37"/>
      <c r="AL479" s="37"/>
      <c r="AM479" s="37"/>
      <c r="AN479" s="17"/>
      <c r="AO479" s="17"/>
    </row>
    <row r="480" ht="14.25" customHeight="1">
      <c r="A480" s="25"/>
      <c r="B480" s="16"/>
      <c r="C480" s="3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36"/>
      <c r="AK480" s="37"/>
      <c r="AL480" s="37"/>
      <c r="AM480" s="37"/>
      <c r="AN480" s="17"/>
      <c r="AO480" s="17"/>
    </row>
    <row r="481" ht="14.25" customHeight="1">
      <c r="A481" s="25"/>
      <c r="B481" s="16"/>
      <c r="C481" s="3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36"/>
      <c r="AK481" s="37"/>
      <c r="AL481" s="37"/>
      <c r="AM481" s="37"/>
      <c r="AN481" s="17"/>
      <c r="AO481" s="17"/>
    </row>
    <row r="482" ht="14.25" customHeight="1">
      <c r="A482" s="25"/>
      <c r="B482" s="16"/>
      <c r="C482" s="3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36"/>
      <c r="AK482" s="37"/>
      <c r="AL482" s="37"/>
      <c r="AM482" s="37"/>
      <c r="AN482" s="17"/>
      <c r="AO482" s="17"/>
    </row>
    <row r="483" ht="14.25" customHeight="1">
      <c r="A483" s="25"/>
      <c r="B483" s="16"/>
      <c r="C483" s="3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36"/>
      <c r="AK483" s="37"/>
      <c r="AL483" s="37"/>
      <c r="AM483" s="37"/>
      <c r="AN483" s="17"/>
      <c r="AO483" s="17"/>
    </row>
    <row r="484" ht="14.25" customHeight="1">
      <c r="A484" s="25"/>
      <c r="B484" s="16"/>
      <c r="C484" s="3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36"/>
      <c r="AK484" s="37"/>
      <c r="AL484" s="37"/>
      <c r="AM484" s="37"/>
      <c r="AN484" s="17"/>
      <c r="AO484" s="17"/>
    </row>
    <row r="485" ht="14.25" customHeight="1">
      <c r="A485" s="25"/>
      <c r="B485" s="16"/>
      <c r="C485" s="3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36"/>
      <c r="AK485" s="37"/>
      <c r="AL485" s="37"/>
      <c r="AM485" s="37"/>
      <c r="AN485" s="17"/>
      <c r="AO485" s="17"/>
    </row>
    <row r="486" ht="14.25" customHeight="1">
      <c r="A486" s="25"/>
      <c r="B486" s="16"/>
      <c r="C486" s="3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36"/>
      <c r="AK486" s="37"/>
      <c r="AL486" s="37"/>
      <c r="AM486" s="37"/>
      <c r="AN486" s="17"/>
      <c r="AO486" s="17"/>
    </row>
    <row r="487" ht="14.25" customHeight="1">
      <c r="A487" s="25"/>
      <c r="B487" s="16"/>
      <c r="C487" s="3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36"/>
      <c r="AK487" s="37"/>
      <c r="AL487" s="37"/>
      <c r="AM487" s="37"/>
      <c r="AN487" s="17"/>
      <c r="AO487" s="17"/>
    </row>
    <row r="488" ht="14.25" customHeight="1">
      <c r="A488" s="25"/>
      <c r="B488" s="16"/>
      <c r="C488" s="3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36"/>
      <c r="AK488" s="37"/>
      <c r="AL488" s="37"/>
      <c r="AM488" s="37"/>
      <c r="AN488" s="17"/>
      <c r="AO488" s="17"/>
    </row>
    <row r="489" ht="14.25" customHeight="1">
      <c r="A489" s="25"/>
      <c r="B489" s="16"/>
      <c r="C489" s="3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36"/>
      <c r="AK489" s="37"/>
      <c r="AL489" s="37"/>
      <c r="AM489" s="37"/>
      <c r="AN489" s="17"/>
      <c r="AO489" s="17"/>
    </row>
    <row r="490" ht="14.25" customHeight="1">
      <c r="A490" s="25"/>
      <c r="B490" s="16"/>
      <c r="C490" s="3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36"/>
      <c r="AK490" s="37"/>
      <c r="AL490" s="37"/>
      <c r="AM490" s="37"/>
      <c r="AN490" s="17"/>
      <c r="AO490" s="17"/>
    </row>
    <row r="491" ht="14.25" customHeight="1">
      <c r="A491" s="25"/>
      <c r="B491" s="16"/>
      <c r="C491" s="3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36"/>
      <c r="AK491" s="37"/>
      <c r="AL491" s="37"/>
      <c r="AM491" s="37"/>
      <c r="AN491" s="17"/>
      <c r="AO491" s="17"/>
    </row>
    <row r="492" ht="14.25" customHeight="1">
      <c r="A492" s="25"/>
      <c r="B492" s="16"/>
      <c r="C492" s="3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36"/>
      <c r="AK492" s="37"/>
      <c r="AL492" s="37"/>
      <c r="AM492" s="37"/>
      <c r="AN492" s="17"/>
      <c r="AO492" s="17"/>
    </row>
    <row r="493" ht="14.25" customHeight="1">
      <c r="A493" s="25"/>
      <c r="B493" s="16"/>
      <c r="C493" s="3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36"/>
      <c r="AK493" s="37"/>
      <c r="AL493" s="37"/>
      <c r="AM493" s="37"/>
      <c r="AN493" s="17"/>
      <c r="AO493" s="17"/>
    </row>
    <row r="494" ht="14.25" customHeight="1">
      <c r="A494" s="25"/>
      <c r="B494" s="16"/>
      <c r="C494" s="3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36"/>
      <c r="AK494" s="37"/>
      <c r="AL494" s="37"/>
      <c r="AM494" s="37"/>
      <c r="AN494" s="17"/>
      <c r="AO494" s="17"/>
    </row>
    <row r="495" ht="14.25" customHeight="1">
      <c r="A495" s="25"/>
      <c r="B495" s="16"/>
      <c r="C495" s="3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36"/>
      <c r="AK495" s="37"/>
      <c r="AL495" s="37"/>
      <c r="AM495" s="37"/>
      <c r="AN495" s="17"/>
      <c r="AO495" s="17"/>
    </row>
    <row r="496" ht="14.25" customHeight="1">
      <c r="A496" s="25"/>
      <c r="B496" s="16"/>
      <c r="C496" s="3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36"/>
      <c r="AK496" s="37"/>
      <c r="AL496" s="37"/>
      <c r="AM496" s="37"/>
      <c r="AN496" s="17"/>
      <c r="AO496" s="17"/>
    </row>
    <row r="497" ht="14.25" customHeight="1">
      <c r="A497" s="25"/>
      <c r="B497" s="16"/>
      <c r="C497" s="3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36"/>
      <c r="AK497" s="37"/>
      <c r="AL497" s="37"/>
      <c r="AM497" s="37"/>
      <c r="AN497" s="17"/>
      <c r="AO497" s="17"/>
    </row>
    <row r="498" ht="14.25" customHeight="1">
      <c r="A498" s="25"/>
      <c r="B498" s="16"/>
      <c r="C498" s="3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36"/>
      <c r="AK498" s="37"/>
      <c r="AL498" s="37"/>
      <c r="AM498" s="37"/>
      <c r="AN498" s="17"/>
      <c r="AO498" s="17"/>
    </row>
    <row r="499" ht="14.25" customHeight="1">
      <c r="A499" s="25"/>
      <c r="B499" s="16"/>
      <c r="C499" s="3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36"/>
      <c r="AK499" s="37"/>
      <c r="AL499" s="37"/>
      <c r="AM499" s="37"/>
      <c r="AN499" s="17"/>
      <c r="AO499" s="17"/>
    </row>
    <row r="500" ht="14.25" customHeight="1">
      <c r="A500" s="25"/>
      <c r="B500" s="16"/>
      <c r="C500" s="3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36"/>
      <c r="AK500" s="37"/>
      <c r="AL500" s="37"/>
      <c r="AM500" s="37"/>
      <c r="AN500" s="17"/>
      <c r="AO500" s="17"/>
    </row>
    <row r="501" ht="14.25" customHeight="1">
      <c r="A501" s="25"/>
      <c r="B501" s="16"/>
      <c r="C501" s="3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36"/>
      <c r="AK501" s="37"/>
      <c r="AL501" s="37"/>
      <c r="AM501" s="37"/>
      <c r="AN501" s="17"/>
      <c r="AO501" s="17"/>
    </row>
    <row r="502" ht="14.25" customHeight="1">
      <c r="A502" s="25"/>
      <c r="B502" s="16"/>
      <c r="C502" s="3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36"/>
      <c r="AK502" s="37"/>
      <c r="AL502" s="37"/>
      <c r="AM502" s="37"/>
      <c r="AN502" s="17"/>
      <c r="AO502" s="17"/>
    </row>
    <row r="503" ht="14.25" customHeight="1">
      <c r="A503" s="25"/>
      <c r="B503" s="16"/>
      <c r="C503" s="3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36"/>
      <c r="AK503" s="37"/>
      <c r="AL503" s="37"/>
      <c r="AM503" s="37"/>
      <c r="AN503" s="17"/>
      <c r="AO503" s="17"/>
    </row>
    <row r="504" ht="14.25" customHeight="1">
      <c r="A504" s="25"/>
      <c r="B504" s="16"/>
      <c r="C504" s="3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36"/>
      <c r="AK504" s="37"/>
      <c r="AL504" s="37"/>
      <c r="AM504" s="37"/>
      <c r="AN504" s="17"/>
      <c r="AO504" s="17"/>
    </row>
    <row r="505" ht="14.25" customHeight="1">
      <c r="A505" s="25"/>
      <c r="B505" s="16"/>
      <c r="C505" s="3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36"/>
      <c r="AK505" s="37"/>
      <c r="AL505" s="37"/>
      <c r="AM505" s="37"/>
      <c r="AN505" s="17"/>
      <c r="AO505" s="17"/>
    </row>
    <row r="506" ht="14.25" customHeight="1">
      <c r="A506" s="25"/>
      <c r="B506" s="16"/>
      <c r="C506" s="3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36"/>
      <c r="AK506" s="37"/>
      <c r="AL506" s="37"/>
      <c r="AM506" s="37"/>
      <c r="AN506" s="17"/>
      <c r="AO506" s="17"/>
    </row>
    <row r="507" ht="14.25" customHeight="1">
      <c r="A507" s="25"/>
      <c r="B507" s="16"/>
      <c r="C507" s="3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36"/>
      <c r="AK507" s="37"/>
      <c r="AL507" s="37"/>
      <c r="AM507" s="37"/>
      <c r="AN507" s="17"/>
      <c r="AO507" s="17"/>
    </row>
    <row r="508" ht="14.25" customHeight="1">
      <c r="A508" s="25"/>
      <c r="B508" s="16"/>
      <c r="C508" s="3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36"/>
      <c r="AK508" s="37"/>
      <c r="AL508" s="37"/>
      <c r="AM508" s="37"/>
      <c r="AN508" s="17"/>
      <c r="AO508" s="17"/>
    </row>
    <row r="509" ht="14.25" customHeight="1">
      <c r="A509" s="25"/>
      <c r="B509" s="16"/>
      <c r="C509" s="3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36"/>
      <c r="AK509" s="37"/>
      <c r="AL509" s="37"/>
      <c r="AM509" s="37"/>
      <c r="AN509" s="17"/>
      <c r="AO509" s="17"/>
    </row>
    <row r="510" ht="14.25" customHeight="1">
      <c r="A510" s="25"/>
      <c r="B510" s="16"/>
      <c r="C510" s="3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36"/>
      <c r="AK510" s="37"/>
      <c r="AL510" s="37"/>
      <c r="AM510" s="37"/>
      <c r="AN510" s="17"/>
      <c r="AO510" s="17"/>
    </row>
    <row r="511" ht="14.25" customHeight="1">
      <c r="A511" s="25"/>
      <c r="B511" s="16"/>
      <c r="C511" s="3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36"/>
      <c r="AK511" s="37"/>
      <c r="AL511" s="37"/>
      <c r="AM511" s="37"/>
      <c r="AN511" s="17"/>
      <c r="AO511" s="17"/>
    </row>
    <row r="512" ht="14.25" customHeight="1">
      <c r="A512" s="25"/>
      <c r="B512" s="16"/>
      <c r="C512" s="3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36"/>
      <c r="AK512" s="37"/>
      <c r="AL512" s="37"/>
      <c r="AM512" s="37"/>
      <c r="AN512" s="17"/>
      <c r="AO512" s="17"/>
    </row>
    <row r="513" ht="14.25" customHeight="1">
      <c r="A513" s="25"/>
      <c r="B513" s="16"/>
      <c r="C513" s="3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36"/>
      <c r="AK513" s="37"/>
      <c r="AL513" s="37"/>
      <c r="AM513" s="37"/>
      <c r="AN513" s="17"/>
      <c r="AO513" s="17"/>
    </row>
    <row r="514" ht="14.25" customHeight="1">
      <c r="A514" s="25"/>
      <c r="B514" s="16"/>
      <c r="C514" s="3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36"/>
      <c r="AK514" s="37"/>
      <c r="AL514" s="37"/>
      <c r="AM514" s="37"/>
      <c r="AN514" s="17"/>
      <c r="AO514" s="17"/>
    </row>
    <row r="515" ht="14.25" customHeight="1">
      <c r="A515" s="25"/>
      <c r="B515" s="16"/>
      <c r="C515" s="3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36"/>
      <c r="AK515" s="37"/>
      <c r="AL515" s="37"/>
      <c r="AM515" s="37"/>
      <c r="AN515" s="17"/>
      <c r="AO515" s="17"/>
    </row>
    <row r="516" ht="14.25" customHeight="1">
      <c r="A516" s="25"/>
      <c r="B516" s="16"/>
      <c r="C516" s="3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36"/>
      <c r="AK516" s="37"/>
      <c r="AL516" s="37"/>
      <c r="AM516" s="37"/>
      <c r="AN516" s="17"/>
      <c r="AO516" s="17"/>
    </row>
    <row r="517" ht="14.25" customHeight="1">
      <c r="A517" s="25"/>
      <c r="B517" s="16"/>
      <c r="C517" s="3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36"/>
      <c r="AK517" s="37"/>
      <c r="AL517" s="37"/>
      <c r="AM517" s="37"/>
      <c r="AN517" s="17"/>
      <c r="AO517" s="17"/>
    </row>
    <row r="518" ht="14.25" customHeight="1">
      <c r="A518" s="25"/>
      <c r="B518" s="16"/>
      <c r="C518" s="3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36"/>
      <c r="AK518" s="37"/>
      <c r="AL518" s="37"/>
      <c r="AM518" s="37"/>
      <c r="AN518" s="17"/>
      <c r="AO518" s="17"/>
    </row>
    <row r="519" ht="14.25" customHeight="1">
      <c r="A519" s="25"/>
      <c r="B519" s="16"/>
      <c r="C519" s="3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36"/>
      <c r="AK519" s="37"/>
      <c r="AL519" s="37"/>
      <c r="AM519" s="37"/>
      <c r="AN519" s="17"/>
      <c r="AO519" s="17"/>
    </row>
    <row r="520" ht="14.25" customHeight="1">
      <c r="A520" s="25"/>
      <c r="B520" s="16"/>
      <c r="C520" s="3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36"/>
      <c r="AK520" s="37"/>
      <c r="AL520" s="37"/>
      <c r="AM520" s="37"/>
      <c r="AN520" s="17"/>
      <c r="AO520" s="17"/>
    </row>
    <row r="521" ht="14.25" customHeight="1">
      <c r="A521" s="25"/>
      <c r="B521" s="16"/>
      <c r="C521" s="3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36"/>
      <c r="AK521" s="37"/>
      <c r="AL521" s="37"/>
      <c r="AM521" s="37"/>
      <c r="AN521" s="17"/>
      <c r="AO521" s="17"/>
    </row>
    <row r="522" ht="14.25" customHeight="1">
      <c r="A522" s="25"/>
      <c r="B522" s="16"/>
      <c r="C522" s="3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36"/>
      <c r="AK522" s="37"/>
      <c r="AL522" s="37"/>
      <c r="AM522" s="37"/>
      <c r="AN522" s="17"/>
      <c r="AO522" s="17"/>
    </row>
    <row r="523" ht="14.25" customHeight="1">
      <c r="A523" s="25"/>
      <c r="B523" s="16"/>
      <c r="C523" s="3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36"/>
      <c r="AK523" s="37"/>
      <c r="AL523" s="37"/>
      <c r="AM523" s="37"/>
      <c r="AN523" s="17"/>
      <c r="AO523" s="17"/>
    </row>
    <row r="524" ht="14.25" customHeight="1">
      <c r="A524" s="25"/>
      <c r="B524" s="16"/>
      <c r="C524" s="3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36"/>
      <c r="AK524" s="37"/>
      <c r="AL524" s="37"/>
      <c r="AM524" s="37"/>
      <c r="AN524" s="17"/>
      <c r="AO524" s="17"/>
    </row>
    <row r="525" ht="14.25" customHeight="1">
      <c r="A525" s="25"/>
      <c r="B525" s="16"/>
      <c r="C525" s="3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36"/>
      <c r="AK525" s="37"/>
      <c r="AL525" s="37"/>
      <c r="AM525" s="37"/>
      <c r="AN525" s="17"/>
      <c r="AO525" s="17"/>
    </row>
    <row r="526" ht="14.25" customHeight="1">
      <c r="A526" s="25"/>
      <c r="B526" s="16"/>
      <c r="C526" s="3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36"/>
      <c r="AK526" s="37"/>
      <c r="AL526" s="37"/>
      <c r="AM526" s="37"/>
      <c r="AN526" s="17"/>
      <c r="AO526" s="17"/>
    </row>
    <row r="527" ht="14.25" customHeight="1">
      <c r="A527" s="25"/>
      <c r="B527" s="16"/>
      <c r="C527" s="3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36"/>
      <c r="AK527" s="37"/>
      <c r="AL527" s="37"/>
      <c r="AM527" s="37"/>
      <c r="AN527" s="17"/>
      <c r="AO527" s="17"/>
    </row>
    <row r="528" ht="14.25" customHeight="1">
      <c r="A528" s="25"/>
      <c r="B528" s="16"/>
      <c r="C528" s="3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36"/>
      <c r="AK528" s="37"/>
      <c r="AL528" s="37"/>
      <c r="AM528" s="37"/>
      <c r="AN528" s="17"/>
      <c r="AO528" s="17"/>
    </row>
    <row r="529" ht="14.25" customHeight="1">
      <c r="A529" s="25"/>
      <c r="B529" s="16"/>
      <c r="C529" s="3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36"/>
      <c r="AK529" s="37"/>
      <c r="AL529" s="37"/>
      <c r="AM529" s="37"/>
      <c r="AN529" s="17"/>
      <c r="AO529" s="17"/>
    </row>
    <row r="530" ht="14.25" customHeight="1">
      <c r="A530" s="25"/>
      <c r="B530" s="16"/>
      <c r="C530" s="3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36"/>
      <c r="AK530" s="37"/>
      <c r="AL530" s="37"/>
      <c r="AM530" s="37"/>
      <c r="AN530" s="17"/>
      <c r="AO530" s="17"/>
    </row>
    <row r="531" ht="14.25" customHeight="1">
      <c r="A531" s="25"/>
      <c r="B531" s="16"/>
      <c r="C531" s="3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36"/>
      <c r="AK531" s="37"/>
      <c r="AL531" s="37"/>
      <c r="AM531" s="37"/>
      <c r="AN531" s="17"/>
      <c r="AO531" s="17"/>
    </row>
    <row r="532" ht="14.25" customHeight="1">
      <c r="A532" s="25"/>
      <c r="B532" s="16"/>
      <c r="C532" s="3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36"/>
      <c r="AK532" s="37"/>
      <c r="AL532" s="37"/>
      <c r="AM532" s="37"/>
      <c r="AN532" s="17"/>
      <c r="AO532" s="17"/>
    </row>
    <row r="533" ht="14.25" customHeight="1">
      <c r="A533" s="25"/>
      <c r="B533" s="16"/>
      <c r="C533" s="3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36"/>
      <c r="AK533" s="37"/>
      <c r="AL533" s="37"/>
      <c r="AM533" s="37"/>
      <c r="AN533" s="17"/>
      <c r="AO533" s="17"/>
    </row>
    <row r="534" ht="14.25" customHeight="1">
      <c r="A534" s="25"/>
      <c r="B534" s="16"/>
      <c r="C534" s="3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36"/>
      <c r="AK534" s="37"/>
      <c r="AL534" s="37"/>
      <c r="AM534" s="37"/>
      <c r="AN534" s="17"/>
      <c r="AO534" s="17"/>
    </row>
    <row r="535" ht="14.25" customHeight="1">
      <c r="A535" s="25"/>
      <c r="B535" s="16"/>
      <c r="C535" s="3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36"/>
      <c r="AK535" s="37"/>
      <c r="AL535" s="37"/>
      <c r="AM535" s="37"/>
      <c r="AN535" s="17"/>
      <c r="AO535" s="17"/>
    </row>
    <row r="536" ht="14.25" customHeight="1">
      <c r="A536" s="25"/>
      <c r="B536" s="16"/>
      <c r="C536" s="3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36"/>
      <c r="AK536" s="37"/>
      <c r="AL536" s="37"/>
      <c r="AM536" s="37"/>
      <c r="AN536" s="17"/>
      <c r="AO536" s="17"/>
    </row>
    <row r="537" ht="14.25" customHeight="1">
      <c r="A537" s="25"/>
      <c r="B537" s="16"/>
      <c r="C537" s="3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36"/>
      <c r="AK537" s="37"/>
      <c r="AL537" s="37"/>
      <c r="AM537" s="37"/>
      <c r="AN537" s="17"/>
      <c r="AO537" s="17"/>
    </row>
    <row r="538" ht="14.25" customHeight="1">
      <c r="A538" s="25"/>
      <c r="B538" s="16"/>
      <c r="C538" s="3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36"/>
      <c r="AK538" s="37"/>
      <c r="AL538" s="37"/>
      <c r="AM538" s="37"/>
      <c r="AN538" s="17"/>
      <c r="AO538" s="17"/>
    </row>
    <row r="539" ht="14.25" customHeight="1">
      <c r="A539" s="25"/>
      <c r="B539" s="16"/>
      <c r="C539" s="3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36"/>
      <c r="AK539" s="37"/>
      <c r="AL539" s="37"/>
      <c r="AM539" s="37"/>
      <c r="AN539" s="17"/>
      <c r="AO539" s="17"/>
    </row>
    <row r="540" ht="14.25" customHeight="1">
      <c r="A540" s="25"/>
      <c r="B540" s="16"/>
      <c r="C540" s="3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36"/>
      <c r="AK540" s="37"/>
      <c r="AL540" s="37"/>
      <c r="AM540" s="37"/>
      <c r="AN540" s="17"/>
      <c r="AO540" s="17"/>
    </row>
    <row r="541" ht="14.25" customHeight="1">
      <c r="A541" s="25"/>
      <c r="B541" s="16"/>
      <c r="C541" s="3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36"/>
      <c r="AK541" s="37"/>
      <c r="AL541" s="37"/>
      <c r="AM541" s="37"/>
      <c r="AN541" s="17"/>
      <c r="AO541" s="17"/>
    </row>
    <row r="542" ht="14.25" customHeight="1">
      <c r="A542" s="25"/>
      <c r="B542" s="16"/>
      <c r="C542" s="3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36"/>
      <c r="AK542" s="37"/>
      <c r="AL542" s="37"/>
      <c r="AM542" s="37"/>
      <c r="AN542" s="17"/>
      <c r="AO542" s="17"/>
    </row>
    <row r="543" ht="14.25" customHeight="1">
      <c r="A543" s="25"/>
      <c r="B543" s="16"/>
      <c r="C543" s="3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36"/>
      <c r="AK543" s="37"/>
      <c r="AL543" s="37"/>
      <c r="AM543" s="37"/>
      <c r="AN543" s="17"/>
      <c r="AO543" s="17"/>
    </row>
    <row r="544" ht="14.25" customHeight="1">
      <c r="A544" s="25"/>
      <c r="B544" s="16"/>
      <c r="C544" s="3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36"/>
      <c r="AK544" s="37"/>
      <c r="AL544" s="37"/>
      <c r="AM544" s="37"/>
      <c r="AN544" s="17"/>
      <c r="AO544" s="17"/>
    </row>
    <row r="545" ht="14.25" customHeight="1">
      <c r="A545" s="25"/>
      <c r="B545" s="16"/>
      <c r="C545" s="3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36"/>
      <c r="AK545" s="37"/>
      <c r="AL545" s="37"/>
      <c r="AM545" s="37"/>
      <c r="AN545" s="17"/>
      <c r="AO545" s="17"/>
    </row>
    <row r="546" ht="14.25" customHeight="1">
      <c r="A546" s="25"/>
      <c r="B546" s="16"/>
      <c r="C546" s="3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36"/>
      <c r="AK546" s="37"/>
      <c r="AL546" s="37"/>
      <c r="AM546" s="37"/>
      <c r="AN546" s="17"/>
      <c r="AO546" s="17"/>
    </row>
    <row r="547" ht="14.25" customHeight="1">
      <c r="A547" s="25"/>
      <c r="B547" s="16"/>
      <c r="C547" s="3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36"/>
      <c r="AK547" s="37"/>
      <c r="AL547" s="37"/>
      <c r="AM547" s="37"/>
      <c r="AN547" s="17"/>
      <c r="AO547" s="17"/>
    </row>
    <row r="548" ht="14.25" customHeight="1">
      <c r="A548" s="25"/>
      <c r="B548" s="16"/>
      <c r="C548" s="3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36"/>
      <c r="AK548" s="37"/>
      <c r="AL548" s="37"/>
      <c r="AM548" s="37"/>
      <c r="AN548" s="17"/>
      <c r="AO548" s="17"/>
    </row>
    <row r="549" ht="14.25" customHeight="1">
      <c r="A549" s="25"/>
      <c r="B549" s="16"/>
      <c r="C549" s="3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36"/>
      <c r="AK549" s="37"/>
      <c r="AL549" s="37"/>
      <c r="AM549" s="37"/>
      <c r="AN549" s="17"/>
      <c r="AO549" s="17"/>
    </row>
    <row r="550" ht="14.25" customHeight="1">
      <c r="A550" s="25"/>
      <c r="B550" s="16"/>
      <c r="C550" s="3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36"/>
      <c r="AK550" s="37"/>
      <c r="AL550" s="37"/>
      <c r="AM550" s="37"/>
      <c r="AN550" s="17"/>
      <c r="AO550" s="17"/>
    </row>
    <row r="551" ht="14.25" customHeight="1">
      <c r="A551" s="25"/>
      <c r="B551" s="16"/>
      <c r="C551" s="3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36"/>
      <c r="AK551" s="37"/>
      <c r="AL551" s="37"/>
      <c r="AM551" s="37"/>
      <c r="AN551" s="17"/>
      <c r="AO551" s="17"/>
    </row>
    <row r="552" ht="14.25" customHeight="1">
      <c r="A552" s="25"/>
      <c r="B552" s="16"/>
      <c r="C552" s="3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36"/>
      <c r="AK552" s="37"/>
      <c r="AL552" s="37"/>
      <c r="AM552" s="37"/>
      <c r="AN552" s="17"/>
      <c r="AO552" s="17"/>
    </row>
    <row r="553" ht="14.25" customHeight="1">
      <c r="A553" s="25"/>
      <c r="B553" s="16"/>
      <c r="C553" s="3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36"/>
      <c r="AK553" s="37"/>
      <c r="AL553" s="37"/>
      <c r="AM553" s="37"/>
      <c r="AN553" s="17"/>
      <c r="AO553" s="17"/>
    </row>
    <row r="554" ht="14.25" customHeight="1">
      <c r="A554" s="25"/>
      <c r="B554" s="16"/>
      <c r="C554" s="3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36"/>
      <c r="AK554" s="37"/>
      <c r="AL554" s="37"/>
      <c r="AM554" s="37"/>
      <c r="AN554" s="17"/>
      <c r="AO554" s="17"/>
    </row>
    <row r="555" ht="14.25" customHeight="1">
      <c r="A555" s="25"/>
      <c r="B555" s="16"/>
      <c r="C555" s="3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36"/>
      <c r="AK555" s="37"/>
      <c r="AL555" s="37"/>
      <c r="AM555" s="37"/>
      <c r="AN555" s="17"/>
      <c r="AO555" s="17"/>
    </row>
    <row r="556" ht="14.25" customHeight="1">
      <c r="A556" s="25"/>
      <c r="B556" s="16"/>
      <c r="C556" s="3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36"/>
      <c r="AK556" s="37"/>
      <c r="AL556" s="37"/>
      <c r="AM556" s="37"/>
      <c r="AN556" s="17"/>
      <c r="AO556" s="17"/>
    </row>
    <row r="557" ht="14.25" customHeight="1">
      <c r="A557" s="25"/>
      <c r="B557" s="16"/>
      <c r="C557" s="3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36"/>
      <c r="AK557" s="37"/>
      <c r="AL557" s="37"/>
      <c r="AM557" s="37"/>
      <c r="AN557" s="17"/>
      <c r="AO557" s="17"/>
    </row>
    <row r="558" ht="14.25" customHeight="1">
      <c r="A558" s="25"/>
      <c r="B558" s="16"/>
      <c r="C558" s="3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36"/>
      <c r="AK558" s="37"/>
      <c r="AL558" s="37"/>
      <c r="AM558" s="37"/>
      <c r="AN558" s="17"/>
      <c r="AO558" s="17"/>
    </row>
    <row r="559" ht="14.25" customHeight="1">
      <c r="A559" s="25"/>
      <c r="B559" s="16"/>
      <c r="C559" s="3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36"/>
      <c r="AK559" s="37"/>
      <c r="AL559" s="37"/>
      <c r="AM559" s="37"/>
      <c r="AN559" s="17"/>
      <c r="AO559" s="17"/>
    </row>
    <row r="560" ht="14.25" customHeight="1">
      <c r="A560" s="25"/>
      <c r="B560" s="16"/>
      <c r="C560" s="3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36"/>
      <c r="AK560" s="37"/>
      <c r="AL560" s="37"/>
      <c r="AM560" s="37"/>
      <c r="AN560" s="17"/>
      <c r="AO560" s="17"/>
    </row>
    <row r="561" ht="14.25" customHeight="1">
      <c r="A561" s="25"/>
      <c r="B561" s="16"/>
      <c r="C561" s="3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36"/>
      <c r="AK561" s="37"/>
      <c r="AL561" s="37"/>
      <c r="AM561" s="37"/>
      <c r="AN561" s="17"/>
      <c r="AO561" s="17"/>
    </row>
    <row r="562" ht="14.25" customHeight="1">
      <c r="A562" s="25"/>
      <c r="B562" s="16"/>
      <c r="C562" s="3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36"/>
      <c r="AK562" s="37"/>
      <c r="AL562" s="37"/>
      <c r="AM562" s="37"/>
      <c r="AN562" s="17"/>
      <c r="AO562" s="17"/>
    </row>
    <row r="563" ht="14.25" customHeight="1">
      <c r="A563" s="25"/>
      <c r="B563" s="16"/>
      <c r="C563" s="3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36"/>
      <c r="AK563" s="37"/>
      <c r="AL563" s="37"/>
      <c r="AM563" s="37"/>
      <c r="AN563" s="17"/>
      <c r="AO563" s="17"/>
    </row>
    <row r="564" ht="14.25" customHeight="1">
      <c r="A564" s="25"/>
      <c r="B564" s="16"/>
      <c r="C564" s="3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36"/>
      <c r="AK564" s="37"/>
      <c r="AL564" s="37"/>
      <c r="AM564" s="37"/>
      <c r="AN564" s="17"/>
      <c r="AO564" s="17"/>
    </row>
    <row r="565" ht="14.25" customHeight="1">
      <c r="A565" s="25"/>
      <c r="B565" s="16"/>
      <c r="C565" s="3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36"/>
      <c r="AK565" s="37"/>
      <c r="AL565" s="37"/>
      <c r="AM565" s="37"/>
      <c r="AN565" s="17"/>
      <c r="AO565" s="17"/>
    </row>
    <row r="566" ht="14.25" customHeight="1">
      <c r="A566" s="25"/>
      <c r="B566" s="16"/>
      <c r="C566" s="3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36"/>
      <c r="AK566" s="37"/>
      <c r="AL566" s="37"/>
      <c r="AM566" s="37"/>
      <c r="AN566" s="17"/>
      <c r="AO566" s="17"/>
    </row>
    <row r="567" ht="14.25" customHeight="1">
      <c r="A567" s="25"/>
      <c r="B567" s="16"/>
      <c r="C567" s="3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36"/>
      <c r="AK567" s="37"/>
      <c r="AL567" s="37"/>
      <c r="AM567" s="37"/>
      <c r="AN567" s="17"/>
      <c r="AO567" s="17"/>
    </row>
    <row r="568" ht="14.25" customHeight="1">
      <c r="A568" s="25"/>
      <c r="B568" s="16"/>
      <c r="C568" s="3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36"/>
      <c r="AK568" s="37"/>
      <c r="AL568" s="37"/>
      <c r="AM568" s="37"/>
      <c r="AN568" s="17"/>
      <c r="AO568" s="17"/>
    </row>
    <row r="569" ht="14.25" customHeight="1">
      <c r="A569" s="25"/>
      <c r="B569" s="16"/>
      <c r="C569" s="3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36"/>
      <c r="AK569" s="37"/>
      <c r="AL569" s="37"/>
      <c r="AM569" s="37"/>
      <c r="AN569" s="17"/>
      <c r="AO569" s="17"/>
    </row>
    <row r="570" ht="14.25" customHeight="1">
      <c r="A570" s="25"/>
      <c r="B570" s="16"/>
      <c r="C570" s="3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36"/>
      <c r="AK570" s="37"/>
      <c r="AL570" s="37"/>
      <c r="AM570" s="37"/>
      <c r="AN570" s="17"/>
      <c r="AO570" s="17"/>
    </row>
    <row r="571" ht="14.25" customHeight="1">
      <c r="A571" s="25"/>
      <c r="B571" s="16"/>
      <c r="C571" s="3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36"/>
      <c r="AK571" s="37"/>
      <c r="AL571" s="37"/>
      <c r="AM571" s="37"/>
      <c r="AN571" s="17"/>
      <c r="AO571" s="17"/>
    </row>
    <row r="572" ht="14.25" customHeight="1">
      <c r="A572" s="25"/>
      <c r="B572" s="16"/>
      <c r="C572" s="3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36"/>
      <c r="AK572" s="37"/>
      <c r="AL572" s="37"/>
      <c r="AM572" s="37"/>
      <c r="AN572" s="17"/>
      <c r="AO572" s="17"/>
    </row>
    <row r="573" ht="14.25" customHeight="1">
      <c r="A573" s="25"/>
      <c r="B573" s="16"/>
      <c r="C573" s="3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36"/>
      <c r="AK573" s="37"/>
      <c r="AL573" s="37"/>
      <c r="AM573" s="37"/>
      <c r="AN573" s="17"/>
      <c r="AO573" s="17"/>
    </row>
    <row r="574" ht="14.25" customHeight="1">
      <c r="A574" s="25"/>
      <c r="B574" s="16"/>
      <c r="C574" s="3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36"/>
      <c r="AK574" s="37"/>
      <c r="AL574" s="37"/>
      <c r="AM574" s="37"/>
      <c r="AN574" s="17"/>
      <c r="AO574" s="17"/>
    </row>
    <row r="575" ht="14.25" customHeight="1">
      <c r="A575" s="25"/>
      <c r="B575" s="16"/>
      <c r="C575" s="3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36"/>
      <c r="AK575" s="37"/>
      <c r="AL575" s="37"/>
      <c r="AM575" s="37"/>
      <c r="AN575" s="17"/>
      <c r="AO575" s="17"/>
    </row>
    <row r="576" ht="14.25" customHeight="1">
      <c r="A576" s="25"/>
      <c r="B576" s="16"/>
      <c r="C576" s="3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36"/>
      <c r="AK576" s="37"/>
      <c r="AL576" s="37"/>
      <c r="AM576" s="37"/>
      <c r="AN576" s="17"/>
      <c r="AO576" s="17"/>
    </row>
    <row r="577" ht="14.25" customHeight="1">
      <c r="A577" s="25"/>
      <c r="B577" s="16"/>
      <c r="C577" s="3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36"/>
      <c r="AK577" s="37"/>
      <c r="AL577" s="37"/>
      <c r="AM577" s="37"/>
      <c r="AN577" s="17"/>
      <c r="AO577" s="17"/>
    </row>
    <row r="578" ht="14.25" customHeight="1">
      <c r="A578" s="25"/>
      <c r="B578" s="16"/>
      <c r="C578" s="3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36"/>
      <c r="AK578" s="37"/>
      <c r="AL578" s="37"/>
      <c r="AM578" s="37"/>
      <c r="AN578" s="17"/>
      <c r="AO578" s="17"/>
    </row>
    <row r="579" ht="14.25" customHeight="1">
      <c r="A579" s="25"/>
      <c r="B579" s="16"/>
      <c r="C579" s="3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36"/>
      <c r="AK579" s="37"/>
      <c r="AL579" s="37"/>
      <c r="AM579" s="37"/>
      <c r="AN579" s="17"/>
      <c r="AO579" s="17"/>
    </row>
    <row r="580" ht="14.25" customHeight="1">
      <c r="A580" s="25"/>
      <c r="B580" s="16"/>
      <c r="C580" s="3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36"/>
      <c r="AK580" s="37"/>
      <c r="AL580" s="37"/>
      <c r="AM580" s="37"/>
      <c r="AN580" s="17"/>
      <c r="AO580" s="17"/>
    </row>
    <row r="581" ht="14.25" customHeight="1">
      <c r="A581" s="25"/>
      <c r="B581" s="16"/>
      <c r="C581" s="3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36"/>
      <c r="AK581" s="37"/>
      <c r="AL581" s="37"/>
      <c r="AM581" s="37"/>
      <c r="AN581" s="17"/>
      <c r="AO581" s="17"/>
    </row>
    <row r="582" ht="14.25" customHeight="1">
      <c r="A582" s="25"/>
      <c r="B582" s="16"/>
      <c r="C582" s="3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36"/>
      <c r="AK582" s="37"/>
      <c r="AL582" s="37"/>
      <c r="AM582" s="37"/>
      <c r="AN582" s="17"/>
      <c r="AO582" s="17"/>
    </row>
    <row r="583" ht="14.25" customHeight="1">
      <c r="A583" s="25"/>
      <c r="B583" s="16"/>
      <c r="C583" s="3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36"/>
      <c r="AK583" s="37"/>
      <c r="AL583" s="37"/>
      <c r="AM583" s="37"/>
      <c r="AN583" s="17"/>
      <c r="AO583" s="17"/>
    </row>
    <row r="584" ht="14.25" customHeight="1">
      <c r="A584" s="25"/>
      <c r="B584" s="16"/>
      <c r="C584" s="3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36"/>
      <c r="AK584" s="37"/>
      <c r="AL584" s="37"/>
      <c r="AM584" s="37"/>
      <c r="AN584" s="17"/>
      <c r="AO584" s="17"/>
    </row>
    <row r="585" ht="14.25" customHeight="1">
      <c r="A585" s="25"/>
      <c r="B585" s="16"/>
      <c r="C585" s="3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36"/>
      <c r="AK585" s="37"/>
      <c r="AL585" s="37"/>
      <c r="AM585" s="37"/>
      <c r="AN585" s="17"/>
      <c r="AO585" s="17"/>
    </row>
    <row r="586" ht="14.25" customHeight="1">
      <c r="A586" s="25"/>
      <c r="B586" s="16"/>
      <c r="C586" s="3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36"/>
      <c r="AK586" s="37"/>
      <c r="AL586" s="37"/>
      <c r="AM586" s="37"/>
      <c r="AN586" s="17"/>
      <c r="AO586" s="17"/>
    </row>
    <row r="587" ht="14.25" customHeight="1">
      <c r="A587" s="25"/>
      <c r="B587" s="16"/>
      <c r="C587" s="3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36"/>
      <c r="AK587" s="37"/>
      <c r="AL587" s="37"/>
      <c r="AM587" s="37"/>
      <c r="AN587" s="17"/>
      <c r="AO587" s="17"/>
    </row>
    <row r="588" ht="14.25" customHeight="1">
      <c r="A588" s="25"/>
      <c r="B588" s="16"/>
      <c r="C588" s="3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36"/>
      <c r="AK588" s="37"/>
      <c r="AL588" s="37"/>
      <c r="AM588" s="37"/>
      <c r="AN588" s="17"/>
      <c r="AO588" s="17"/>
    </row>
    <row r="589" ht="14.25" customHeight="1">
      <c r="A589" s="25"/>
      <c r="B589" s="16"/>
      <c r="C589" s="3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36"/>
      <c r="AK589" s="37"/>
      <c r="AL589" s="37"/>
      <c r="AM589" s="37"/>
      <c r="AN589" s="17"/>
      <c r="AO589" s="17"/>
    </row>
    <row r="590" ht="14.25" customHeight="1">
      <c r="A590" s="25"/>
      <c r="B590" s="16"/>
      <c r="C590" s="3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36"/>
      <c r="AK590" s="37"/>
      <c r="AL590" s="37"/>
      <c r="AM590" s="37"/>
      <c r="AN590" s="17"/>
      <c r="AO590" s="17"/>
    </row>
    <row r="591" ht="14.25" customHeight="1">
      <c r="A591" s="25"/>
      <c r="B591" s="16"/>
      <c r="C591" s="3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36"/>
      <c r="AK591" s="37"/>
      <c r="AL591" s="37"/>
      <c r="AM591" s="37"/>
      <c r="AN591" s="17"/>
      <c r="AO591" s="17"/>
    </row>
    <row r="592" ht="14.25" customHeight="1">
      <c r="A592" s="25"/>
      <c r="B592" s="16"/>
      <c r="C592" s="3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36"/>
      <c r="AK592" s="37"/>
      <c r="AL592" s="37"/>
      <c r="AM592" s="37"/>
      <c r="AN592" s="17"/>
      <c r="AO592" s="17"/>
    </row>
    <row r="593" ht="14.25" customHeight="1">
      <c r="A593" s="25"/>
      <c r="B593" s="16"/>
      <c r="C593" s="3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36"/>
      <c r="AK593" s="37"/>
      <c r="AL593" s="37"/>
      <c r="AM593" s="37"/>
      <c r="AN593" s="17"/>
      <c r="AO593" s="17"/>
    </row>
    <row r="594" ht="14.25" customHeight="1">
      <c r="A594" s="25"/>
      <c r="B594" s="16"/>
      <c r="C594" s="3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36"/>
      <c r="AK594" s="37"/>
      <c r="AL594" s="37"/>
      <c r="AM594" s="37"/>
      <c r="AN594" s="17"/>
      <c r="AO594" s="17"/>
    </row>
    <row r="595" ht="14.25" customHeight="1">
      <c r="A595" s="25"/>
      <c r="B595" s="16"/>
      <c r="C595" s="3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36"/>
      <c r="AK595" s="37"/>
      <c r="AL595" s="37"/>
      <c r="AM595" s="37"/>
      <c r="AN595" s="17"/>
      <c r="AO595" s="17"/>
    </row>
    <row r="596" ht="14.25" customHeight="1">
      <c r="A596" s="25"/>
      <c r="B596" s="16"/>
      <c r="C596" s="3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36"/>
      <c r="AK596" s="37"/>
      <c r="AL596" s="37"/>
      <c r="AM596" s="37"/>
      <c r="AN596" s="17"/>
      <c r="AO596" s="17"/>
    </row>
    <row r="597" ht="14.25" customHeight="1">
      <c r="A597" s="25"/>
      <c r="B597" s="16"/>
      <c r="C597" s="3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36"/>
      <c r="AK597" s="37"/>
      <c r="AL597" s="37"/>
      <c r="AM597" s="37"/>
      <c r="AN597" s="17"/>
      <c r="AO597" s="17"/>
    </row>
    <row r="598" ht="14.25" customHeight="1">
      <c r="A598" s="25"/>
      <c r="B598" s="16"/>
      <c r="C598" s="3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36"/>
      <c r="AK598" s="37"/>
      <c r="AL598" s="37"/>
      <c r="AM598" s="37"/>
      <c r="AN598" s="17"/>
      <c r="AO598" s="17"/>
    </row>
    <row r="599" ht="14.25" customHeight="1">
      <c r="A599" s="25"/>
      <c r="B599" s="16"/>
      <c r="C599" s="3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36"/>
      <c r="AK599" s="37"/>
      <c r="AL599" s="37"/>
      <c r="AM599" s="37"/>
      <c r="AN599" s="17"/>
      <c r="AO599" s="17"/>
    </row>
    <row r="600" ht="14.25" customHeight="1">
      <c r="A600" s="25"/>
      <c r="B600" s="16"/>
      <c r="C600" s="3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36"/>
      <c r="AK600" s="37"/>
      <c r="AL600" s="37"/>
      <c r="AM600" s="37"/>
      <c r="AN600" s="17"/>
      <c r="AO600" s="17"/>
    </row>
    <row r="601" ht="14.25" customHeight="1">
      <c r="A601" s="25"/>
      <c r="B601" s="16"/>
      <c r="C601" s="3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36"/>
      <c r="AK601" s="37"/>
      <c r="AL601" s="37"/>
      <c r="AM601" s="37"/>
      <c r="AN601" s="17"/>
      <c r="AO601" s="17"/>
    </row>
    <row r="602" ht="14.25" customHeight="1">
      <c r="A602" s="25"/>
      <c r="B602" s="16"/>
      <c r="C602" s="3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36"/>
      <c r="AK602" s="37"/>
      <c r="AL602" s="37"/>
      <c r="AM602" s="37"/>
      <c r="AN602" s="17"/>
      <c r="AO602" s="17"/>
    </row>
    <row r="603" ht="14.25" customHeight="1">
      <c r="A603" s="25"/>
      <c r="B603" s="16"/>
      <c r="C603" s="3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36"/>
      <c r="AK603" s="37"/>
      <c r="AL603" s="37"/>
      <c r="AM603" s="37"/>
      <c r="AN603" s="17"/>
      <c r="AO603" s="17"/>
    </row>
    <row r="604" ht="14.25" customHeight="1">
      <c r="A604" s="25"/>
      <c r="B604" s="16"/>
      <c r="C604" s="3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36"/>
      <c r="AK604" s="37"/>
      <c r="AL604" s="37"/>
      <c r="AM604" s="37"/>
      <c r="AN604" s="17"/>
      <c r="AO604" s="17"/>
    </row>
    <row r="605" ht="14.25" customHeight="1">
      <c r="A605" s="25"/>
      <c r="B605" s="16"/>
      <c r="C605" s="3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36"/>
      <c r="AK605" s="37"/>
      <c r="AL605" s="37"/>
      <c r="AM605" s="37"/>
      <c r="AN605" s="17"/>
      <c r="AO605" s="17"/>
    </row>
    <row r="606" ht="14.25" customHeight="1">
      <c r="A606" s="25"/>
      <c r="B606" s="16"/>
      <c r="C606" s="3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36"/>
      <c r="AK606" s="37"/>
      <c r="AL606" s="37"/>
      <c r="AM606" s="37"/>
      <c r="AN606" s="17"/>
      <c r="AO606" s="17"/>
    </row>
    <row r="607" ht="14.25" customHeight="1">
      <c r="A607" s="25"/>
      <c r="B607" s="16"/>
      <c r="C607" s="3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36"/>
      <c r="AK607" s="37"/>
      <c r="AL607" s="37"/>
      <c r="AM607" s="37"/>
      <c r="AN607" s="17"/>
      <c r="AO607" s="17"/>
    </row>
    <row r="608" ht="14.25" customHeight="1">
      <c r="A608" s="25"/>
      <c r="B608" s="16"/>
      <c r="C608" s="3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36"/>
      <c r="AK608" s="37"/>
      <c r="AL608" s="37"/>
      <c r="AM608" s="37"/>
      <c r="AN608" s="17"/>
      <c r="AO608" s="17"/>
    </row>
    <row r="609" ht="14.25" customHeight="1">
      <c r="A609" s="25"/>
      <c r="B609" s="16"/>
      <c r="C609" s="3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36"/>
      <c r="AK609" s="37"/>
      <c r="AL609" s="37"/>
      <c r="AM609" s="37"/>
      <c r="AN609" s="17"/>
      <c r="AO609" s="17"/>
    </row>
    <row r="610" ht="14.25" customHeight="1">
      <c r="A610" s="25"/>
      <c r="B610" s="16"/>
      <c r="C610" s="3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36"/>
      <c r="AK610" s="37"/>
      <c r="AL610" s="37"/>
      <c r="AM610" s="37"/>
      <c r="AN610" s="17"/>
      <c r="AO610" s="17"/>
    </row>
    <row r="611" ht="14.25" customHeight="1">
      <c r="A611" s="25"/>
      <c r="B611" s="16"/>
      <c r="C611" s="3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36"/>
      <c r="AK611" s="37"/>
      <c r="AL611" s="37"/>
      <c r="AM611" s="37"/>
      <c r="AN611" s="17"/>
      <c r="AO611" s="17"/>
    </row>
    <row r="612" ht="14.25" customHeight="1">
      <c r="A612" s="25"/>
      <c r="B612" s="16"/>
      <c r="C612" s="3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36"/>
      <c r="AK612" s="37"/>
      <c r="AL612" s="37"/>
      <c r="AM612" s="37"/>
      <c r="AN612" s="17"/>
      <c r="AO612" s="17"/>
    </row>
    <row r="613" ht="14.25" customHeight="1">
      <c r="A613" s="25"/>
      <c r="B613" s="16"/>
      <c r="C613" s="3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36"/>
      <c r="AK613" s="37"/>
      <c r="AL613" s="37"/>
      <c r="AM613" s="37"/>
      <c r="AN613" s="17"/>
      <c r="AO613" s="17"/>
    </row>
    <row r="614" ht="14.25" customHeight="1">
      <c r="A614" s="25"/>
      <c r="B614" s="16"/>
      <c r="C614" s="3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36"/>
      <c r="AK614" s="37"/>
      <c r="AL614" s="37"/>
      <c r="AM614" s="37"/>
      <c r="AN614" s="17"/>
      <c r="AO614" s="17"/>
    </row>
    <row r="615" ht="14.25" customHeight="1">
      <c r="A615" s="25"/>
      <c r="B615" s="16"/>
      <c r="C615" s="3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36"/>
      <c r="AK615" s="37"/>
      <c r="AL615" s="37"/>
      <c r="AM615" s="37"/>
      <c r="AN615" s="17"/>
      <c r="AO615" s="17"/>
    </row>
    <row r="616" ht="14.25" customHeight="1">
      <c r="A616" s="25"/>
      <c r="B616" s="16"/>
      <c r="C616" s="3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36"/>
      <c r="AK616" s="37"/>
      <c r="AL616" s="37"/>
      <c r="AM616" s="37"/>
      <c r="AN616" s="17"/>
      <c r="AO616" s="17"/>
    </row>
    <row r="617" ht="14.25" customHeight="1">
      <c r="A617" s="25"/>
      <c r="B617" s="16"/>
      <c r="C617" s="3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36"/>
      <c r="AK617" s="37"/>
      <c r="AL617" s="37"/>
      <c r="AM617" s="37"/>
      <c r="AN617" s="17"/>
      <c r="AO617" s="17"/>
    </row>
    <row r="618" ht="14.25" customHeight="1">
      <c r="A618" s="25"/>
      <c r="B618" s="16"/>
      <c r="C618" s="3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36"/>
      <c r="AK618" s="37"/>
      <c r="AL618" s="37"/>
      <c r="AM618" s="37"/>
      <c r="AN618" s="17"/>
      <c r="AO618" s="17"/>
    </row>
    <row r="619" ht="14.25" customHeight="1">
      <c r="A619" s="25"/>
      <c r="B619" s="16"/>
      <c r="C619" s="3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36"/>
      <c r="AK619" s="37"/>
      <c r="AL619" s="37"/>
      <c r="AM619" s="37"/>
      <c r="AN619" s="17"/>
      <c r="AO619" s="17"/>
    </row>
    <row r="620" ht="14.25" customHeight="1">
      <c r="A620" s="25"/>
      <c r="B620" s="16"/>
      <c r="C620" s="3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36"/>
      <c r="AK620" s="37"/>
      <c r="AL620" s="37"/>
      <c r="AM620" s="37"/>
      <c r="AN620" s="17"/>
      <c r="AO620" s="17"/>
    </row>
    <row r="621" ht="14.25" customHeight="1">
      <c r="A621" s="25"/>
      <c r="B621" s="16"/>
      <c r="C621" s="3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36"/>
      <c r="AK621" s="37"/>
      <c r="AL621" s="37"/>
      <c r="AM621" s="37"/>
      <c r="AN621" s="17"/>
      <c r="AO621" s="17"/>
    </row>
    <row r="622" ht="14.25" customHeight="1">
      <c r="A622" s="25"/>
      <c r="B622" s="16"/>
      <c r="C622" s="3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36"/>
      <c r="AK622" s="37"/>
      <c r="AL622" s="37"/>
      <c r="AM622" s="37"/>
      <c r="AN622" s="17"/>
      <c r="AO622" s="17"/>
    </row>
    <row r="623" ht="14.25" customHeight="1">
      <c r="A623" s="25"/>
      <c r="B623" s="16"/>
      <c r="C623" s="3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36"/>
      <c r="AK623" s="37"/>
      <c r="AL623" s="37"/>
      <c r="AM623" s="37"/>
      <c r="AN623" s="17"/>
      <c r="AO623" s="17"/>
    </row>
    <row r="624" ht="14.25" customHeight="1">
      <c r="A624" s="25"/>
      <c r="B624" s="16"/>
      <c r="C624" s="3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36"/>
      <c r="AK624" s="37"/>
      <c r="AL624" s="37"/>
      <c r="AM624" s="37"/>
      <c r="AN624" s="17"/>
      <c r="AO624" s="17"/>
    </row>
    <row r="625" ht="14.25" customHeight="1">
      <c r="A625" s="25"/>
      <c r="B625" s="16"/>
      <c r="C625" s="3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36"/>
      <c r="AK625" s="37"/>
      <c r="AL625" s="37"/>
      <c r="AM625" s="37"/>
      <c r="AN625" s="17"/>
      <c r="AO625" s="17"/>
    </row>
    <row r="626" ht="14.25" customHeight="1">
      <c r="A626" s="25"/>
      <c r="B626" s="16"/>
      <c r="C626" s="3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36"/>
      <c r="AK626" s="37"/>
      <c r="AL626" s="37"/>
      <c r="AM626" s="37"/>
      <c r="AN626" s="17"/>
      <c r="AO626" s="17"/>
    </row>
    <row r="627" ht="14.25" customHeight="1">
      <c r="A627" s="25"/>
      <c r="B627" s="16"/>
      <c r="C627" s="3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36"/>
      <c r="AK627" s="37"/>
      <c r="AL627" s="37"/>
      <c r="AM627" s="37"/>
      <c r="AN627" s="17"/>
      <c r="AO627" s="17"/>
    </row>
    <row r="628" ht="14.25" customHeight="1">
      <c r="A628" s="25"/>
      <c r="B628" s="16"/>
      <c r="C628" s="3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36"/>
      <c r="AK628" s="37"/>
      <c r="AL628" s="37"/>
      <c r="AM628" s="37"/>
      <c r="AN628" s="17"/>
      <c r="AO628" s="17"/>
    </row>
    <row r="629" ht="14.25" customHeight="1">
      <c r="A629" s="25"/>
      <c r="B629" s="16"/>
      <c r="C629" s="3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36"/>
      <c r="AK629" s="37"/>
      <c r="AL629" s="37"/>
      <c r="AM629" s="37"/>
      <c r="AN629" s="17"/>
      <c r="AO629" s="17"/>
    </row>
    <row r="630" ht="14.25" customHeight="1">
      <c r="A630" s="25"/>
      <c r="B630" s="16"/>
      <c r="C630" s="3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36"/>
      <c r="AK630" s="37"/>
      <c r="AL630" s="37"/>
      <c r="AM630" s="37"/>
      <c r="AN630" s="17"/>
      <c r="AO630" s="17"/>
    </row>
    <row r="631" ht="14.25" customHeight="1">
      <c r="A631" s="25"/>
      <c r="B631" s="16"/>
      <c r="C631" s="3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36"/>
      <c r="AK631" s="37"/>
      <c r="AL631" s="37"/>
      <c r="AM631" s="37"/>
      <c r="AN631" s="17"/>
      <c r="AO631" s="17"/>
    </row>
    <row r="632" ht="14.25" customHeight="1">
      <c r="A632" s="25"/>
      <c r="B632" s="16"/>
      <c r="C632" s="3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36"/>
      <c r="AK632" s="37"/>
      <c r="AL632" s="37"/>
      <c r="AM632" s="37"/>
      <c r="AN632" s="17"/>
      <c r="AO632" s="17"/>
    </row>
    <row r="633" ht="14.25" customHeight="1">
      <c r="A633" s="25"/>
      <c r="B633" s="16"/>
      <c r="C633" s="3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36"/>
      <c r="AK633" s="37"/>
      <c r="AL633" s="37"/>
      <c r="AM633" s="37"/>
      <c r="AN633" s="17"/>
      <c r="AO633" s="17"/>
    </row>
    <row r="634" ht="14.25" customHeight="1">
      <c r="A634" s="25"/>
      <c r="B634" s="16"/>
      <c r="C634" s="3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36"/>
      <c r="AK634" s="37"/>
      <c r="AL634" s="37"/>
      <c r="AM634" s="37"/>
      <c r="AN634" s="17"/>
      <c r="AO634" s="17"/>
    </row>
    <row r="635" ht="14.25" customHeight="1">
      <c r="A635" s="25"/>
      <c r="B635" s="16"/>
      <c r="C635" s="3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36"/>
      <c r="AK635" s="37"/>
      <c r="AL635" s="37"/>
      <c r="AM635" s="37"/>
      <c r="AN635" s="17"/>
      <c r="AO635" s="17"/>
    </row>
    <row r="636" ht="14.25" customHeight="1">
      <c r="A636" s="25"/>
      <c r="B636" s="16"/>
      <c r="C636" s="3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36"/>
      <c r="AK636" s="37"/>
      <c r="AL636" s="37"/>
      <c r="AM636" s="37"/>
      <c r="AN636" s="17"/>
      <c r="AO636" s="17"/>
    </row>
    <row r="637" ht="14.25" customHeight="1">
      <c r="A637" s="25"/>
      <c r="B637" s="16"/>
      <c r="C637" s="3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36"/>
      <c r="AK637" s="37"/>
      <c r="AL637" s="37"/>
      <c r="AM637" s="37"/>
      <c r="AN637" s="17"/>
      <c r="AO637" s="17"/>
    </row>
    <row r="638" ht="14.25" customHeight="1">
      <c r="A638" s="25"/>
      <c r="B638" s="16"/>
      <c r="C638" s="3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36"/>
      <c r="AK638" s="37"/>
      <c r="AL638" s="37"/>
      <c r="AM638" s="37"/>
      <c r="AN638" s="17"/>
      <c r="AO638" s="17"/>
    </row>
    <row r="639" ht="14.25" customHeight="1">
      <c r="A639" s="25"/>
      <c r="B639" s="16"/>
      <c r="C639" s="3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36"/>
      <c r="AK639" s="37"/>
      <c r="AL639" s="37"/>
      <c r="AM639" s="37"/>
      <c r="AN639" s="17"/>
      <c r="AO639" s="17"/>
    </row>
    <row r="640" ht="14.25" customHeight="1">
      <c r="A640" s="25"/>
      <c r="B640" s="16"/>
      <c r="C640" s="3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36"/>
      <c r="AK640" s="37"/>
      <c r="AL640" s="37"/>
      <c r="AM640" s="37"/>
      <c r="AN640" s="17"/>
      <c r="AO640" s="17"/>
    </row>
    <row r="641" ht="14.25" customHeight="1">
      <c r="A641" s="25"/>
      <c r="B641" s="16"/>
      <c r="C641" s="3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36"/>
      <c r="AK641" s="37"/>
      <c r="AL641" s="37"/>
      <c r="AM641" s="37"/>
      <c r="AN641" s="17"/>
      <c r="AO641" s="17"/>
    </row>
    <row r="642" ht="14.25" customHeight="1">
      <c r="A642" s="25"/>
      <c r="B642" s="16"/>
      <c r="C642" s="3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36"/>
      <c r="AK642" s="37"/>
      <c r="AL642" s="37"/>
      <c r="AM642" s="37"/>
      <c r="AN642" s="17"/>
      <c r="AO642" s="17"/>
    </row>
    <row r="643" ht="14.25" customHeight="1">
      <c r="A643" s="25"/>
      <c r="B643" s="16"/>
      <c r="C643" s="3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36"/>
      <c r="AK643" s="37"/>
      <c r="AL643" s="37"/>
      <c r="AM643" s="37"/>
      <c r="AN643" s="17"/>
      <c r="AO643" s="17"/>
    </row>
    <row r="644" ht="14.25" customHeight="1">
      <c r="A644" s="25"/>
      <c r="B644" s="16"/>
      <c r="C644" s="3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36"/>
      <c r="AK644" s="37"/>
      <c r="AL644" s="37"/>
      <c r="AM644" s="37"/>
      <c r="AN644" s="17"/>
      <c r="AO644" s="17"/>
    </row>
    <row r="645" ht="14.25" customHeight="1">
      <c r="A645" s="25"/>
      <c r="B645" s="16"/>
      <c r="C645" s="3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36"/>
      <c r="AK645" s="37"/>
      <c r="AL645" s="37"/>
      <c r="AM645" s="37"/>
      <c r="AN645" s="17"/>
      <c r="AO645" s="17"/>
    </row>
    <row r="646" ht="14.25" customHeight="1">
      <c r="A646" s="25"/>
      <c r="B646" s="16"/>
      <c r="C646" s="3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36"/>
      <c r="AK646" s="37"/>
      <c r="AL646" s="37"/>
      <c r="AM646" s="37"/>
      <c r="AN646" s="17"/>
      <c r="AO646" s="17"/>
    </row>
    <row r="647" ht="14.25" customHeight="1">
      <c r="A647" s="25"/>
      <c r="B647" s="16"/>
      <c r="C647" s="3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36"/>
      <c r="AK647" s="37"/>
      <c r="AL647" s="37"/>
      <c r="AM647" s="37"/>
      <c r="AN647" s="17"/>
      <c r="AO647" s="17"/>
    </row>
    <row r="648" ht="14.25" customHeight="1">
      <c r="A648" s="25"/>
      <c r="B648" s="16"/>
      <c r="C648" s="3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36"/>
      <c r="AK648" s="37"/>
      <c r="AL648" s="37"/>
      <c r="AM648" s="37"/>
      <c r="AN648" s="17"/>
      <c r="AO648" s="17"/>
    </row>
    <row r="649" ht="14.25" customHeight="1">
      <c r="A649" s="25"/>
      <c r="B649" s="16"/>
      <c r="C649" s="3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36"/>
      <c r="AK649" s="37"/>
      <c r="AL649" s="37"/>
      <c r="AM649" s="37"/>
      <c r="AN649" s="17"/>
      <c r="AO649" s="17"/>
    </row>
    <row r="650" ht="14.25" customHeight="1">
      <c r="A650" s="25"/>
      <c r="B650" s="16"/>
      <c r="C650" s="3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36"/>
      <c r="AK650" s="37"/>
      <c r="AL650" s="37"/>
      <c r="AM650" s="37"/>
      <c r="AN650" s="17"/>
      <c r="AO650" s="17"/>
    </row>
    <row r="651" ht="14.25" customHeight="1">
      <c r="A651" s="25"/>
      <c r="B651" s="16"/>
      <c r="C651" s="3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36"/>
      <c r="AK651" s="37"/>
      <c r="AL651" s="37"/>
      <c r="AM651" s="37"/>
      <c r="AN651" s="17"/>
      <c r="AO651" s="17"/>
    </row>
    <row r="652" ht="14.25" customHeight="1">
      <c r="A652" s="25"/>
      <c r="B652" s="16"/>
      <c r="C652" s="3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36"/>
      <c r="AK652" s="37"/>
      <c r="AL652" s="37"/>
      <c r="AM652" s="37"/>
      <c r="AN652" s="17"/>
      <c r="AO652" s="17"/>
    </row>
    <row r="653" ht="14.25" customHeight="1">
      <c r="A653" s="25"/>
      <c r="B653" s="16"/>
      <c r="C653" s="3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36"/>
      <c r="AK653" s="37"/>
      <c r="AL653" s="37"/>
      <c r="AM653" s="37"/>
      <c r="AN653" s="17"/>
      <c r="AO653" s="17"/>
    </row>
    <row r="654" ht="14.25" customHeight="1">
      <c r="A654" s="25"/>
      <c r="B654" s="16"/>
      <c r="C654" s="3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36"/>
      <c r="AK654" s="37"/>
      <c r="AL654" s="37"/>
      <c r="AM654" s="37"/>
      <c r="AN654" s="17"/>
      <c r="AO654" s="17"/>
    </row>
    <row r="655" ht="14.25" customHeight="1">
      <c r="A655" s="25"/>
      <c r="B655" s="16"/>
      <c r="C655" s="3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36"/>
      <c r="AK655" s="37"/>
      <c r="AL655" s="37"/>
      <c r="AM655" s="37"/>
      <c r="AN655" s="17"/>
      <c r="AO655" s="17"/>
    </row>
    <row r="656" ht="14.25" customHeight="1">
      <c r="A656" s="25"/>
      <c r="B656" s="16"/>
      <c r="C656" s="3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36"/>
      <c r="AK656" s="37"/>
      <c r="AL656" s="37"/>
      <c r="AM656" s="37"/>
      <c r="AN656" s="17"/>
      <c r="AO656" s="17"/>
    </row>
    <row r="657" ht="14.25" customHeight="1">
      <c r="A657" s="25"/>
      <c r="B657" s="16"/>
      <c r="C657" s="3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36"/>
      <c r="AK657" s="37"/>
      <c r="AL657" s="37"/>
      <c r="AM657" s="37"/>
      <c r="AN657" s="17"/>
      <c r="AO657" s="17"/>
    </row>
    <row r="658" ht="14.25" customHeight="1">
      <c r="A658" s="25"/>
      <c r="B658" s="16"/>
      <c r="C658" s="3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36"/>
      <c r="AK658" s="37"/>
      <c r="AL658" s="37"/>
      <c r="AM658" s="37"/>
      <c r="AN658" s="17"/>
      <c r="AO658" s="17"/>
    </row>
    <row r="659" ht="14.25" customHeight="1">
      <c r="A659" s="25"/>
      <c r="B659" s="16"/>
      <c r="C659" s="3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36"/>
      <c r="AK659" s="37"/>
      <c r="AL659" s="37"/>
      <c r="AM659" s="37"/>
      <c r="AN659" s="17"/>
      <c r="AO659" s="17"/>
    </row>
    <row r="660" ht="14.25" customHeight="1">
      <c r="A660" s="25"/>
      <c r="B660" s="16"/>
      <c r="C660" s="3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36"/>
      <c r="AK660" s="37"/>
      <c r="AL660" s="37"/>
      <c r="AM660" s="37"/>
      <c r="AN660" s="17"/>
      <c r="AO660" s="17"/>
    </row>
    <row r="661" ht="14.25" customHeight="1">
      <c r="A661" s="25"/>
      <c r="B661" s="16"/>
      <c r="C661" s="3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36"/>
      <c r="AK661" s="37"/>
      <c r="AL661" s="37"/>
      <c r="AM661" s="37"/>
      <c r="AN661" s="17"/>
      <c r="AO661" s="17"/>
    </row>
    <row r="662" ht="14.25" customHeight="1">
      <c r="A662" s="25"/>
      <c r="B662" s="16"/>
      <c r="C662" s="3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36"/>
      <c r="AK662" s="37"/>
      <c r="AL662" s="37"/>
      <c r="AM662" s="37"/>
      <c r="AN662" s="17"/>
      <c r="AO662" s="17"/>
    </row>
    <row r="663" ht="14.25" customHeight="1">
      <c r="A663" s="25"/>
      <c r="B663" s="16"/>
      <c r="C663" s="3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36"/>
      <c r="AK663" s="37"/>
      <c r="AL663" s="37"/>
      <c r="AM663" s="37"/>
      <c r="AN663" s="17"/>
      <c r="AO663" s="17"/>
    </row>
    <row r="664" ht="14.25" customHeight="1">
      <c r="A664" s="25"/>
      <c r="B664" s="16"/>
      <c r="C664" s="3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36"/>
      <c r="AK664" s="37"/>
      <c r="AL664" s="37"/>
      <c r="AM664" s="37"/>
      <c r="AN664" s="17"/>
      <c r="AO664" s="17"/>
    </row>
    <row r="665" ht="14.25" customHeight="1">
      <c r="A665" s="25"/>
      <c r="B665" s="16"/>
      <c r="C665" s="3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36"/>
      <c r="AK665" s="37"/>
      <c r="AL665" s="37"/>
      <c r="AM665" s="37"/>
      <c r="AN665" s="17"/>
      <c r="AO665" s="17"/>
    </row>
    <row r="666" ht="14.25" customHeight="1">
      <c r="A666" s="25"/>
      <c r="B666" s="16"/>
      <c r="C666" s="3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36"/>
      <c r="AK666" s="37"/>
      <c r="AL666" s="37"/>
      <c r="AM666" s="37"/>
      <c r="AN666" s="17"/>
      <c r="AO666" s="17"/>
    </row>
    <row r="667" ht="14.25" customHeight="1">
      <c r="A667" s="25"/>
      <c r="B667" s="16"/>
      <c r="C667" s="3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36"/>
      <c r="AK667" s="37"/>
      <c r="AL667" s="37"/>
      <c r="AM667" s="37"/>
      <c r="AN667" s="17"/>
      <c r="AO667" s="17"/>
    </row>
    <row r="668" ht="14.25" customHeight="1">
      <c r="A668" s="25"/>
      <c r="B668" s="16"/>
      <c r="C668" s="3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36"/>
      <c r="AK668" s="37"/>
      <c r="AL668" s="37"/>
      <c r="AM668" s="37"/>
      <c r="AN668" s="17"/>
      <c r="AO668" s="17"/>
    </row>
    <row r="669" ht="14.25" customHeight="1">
      <c r="A669" s="25"/>
      <c r="B669" s="16"/>
      <c r="C669" s="3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36"/>
      <c r="AK669" s="37"/>
      <c r="AL669" s="37"/>
      <c r="AM669" s="37"/>
      <c r="AN669" s="17"/>
      <c r="AO669" s="17"/>
    </row>
    <row r="670" ht="14.25" customHeight="1">
      <c r="A670" s="25"/>
      <c r="B670" s="16"/>
      <c r="C670" s="3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36"/>
      <c r="AK670" s="37"/>
      <c r="AL670" s="37"/>
      <c r="AM670" s="37"/>
      <c r="AN670" s="17"/>
      <c r="AO670" s="17"/>
    </row>
    <row r="671" ht="14.25" customHeight="1">
      <c r="A671" s="25"/>
      <c r="B671" s="16"/>
      <c r="C671" s="3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36"/>
      <c r="AK671" s="37"/>
      <c r="AL671" s="37"/>
      <c r="AM671" s="37"/>
      <c r="AN671" s="17"/>
      <c r="AO671" s="17"/>
    </row>
    <row r="672" ht="14.25" customHeight="1">
      <c r="A672" s="25"/>
      <c r="B672" s="16"/>
      <c r="C672" s="3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36"/>
      <c r="AK672" s="37"/>
      <c r="AL672" s="37"/>
      <c r="AM672" s="37"/>
      <c r="AN672" s="17"/>
      <c r="AO672" s="17"/>
    </row>
    <row r="673" ht="14.25" customHeight="1">
      <c r="A673" s="25"/>
      <c r="B673" s="16"/>
      <c r="C673" s="3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36"/>
      <c r="AK673" s="37"/>
      <c r="AL673" s="37"/>
      <c r="AM673" s="37"/>
      <c r="AN673" s="17"/>
      <c r="AO673" s="17"/>
    </row>
    <row r="674" ht="14.25" customHeight="1">
      <c r="A674" s="25"/>
      <c r="B674" s="16"/>
      <c r="C674" s="3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36"/>
      <c r="AK674" s="37"/>
      <c r="AL674" s="37"/>
      <c r="AM674" s="37"/>
      <c r="AN674" s="17"/>
      <c r="AO674" s="17"/>
    </row>
    <row r="675" ht="14.25" customHeight="1">
      <c r="A675" s="25"/>
      <c r="B675" s="16"/>
      <c r="C675" s="3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36"/>
      <c r="AK675" s="37"/>
      <c r="AL675" s="37"/>
      <c r="AM675" s="37"/>
      <c r="AN675" s="17"/>
      <c r="AO675" s="17"/>
    </row>
    <row r="676" ht="14.25" customHeight="1">
      <c r="A676" s="25"/>
      <c r="B676" s="16"/>
      <c r="C676" s="3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36"/>
      <c r="AK676" s="37"/>
      <c r="AL676" s="37"/>
      <c r="AM676" s="37"/>
      <c r="AN676" s="17"/>
      <c r="AO676" s="17"/>
    </row>
    <row r="677" ht="14.25" customHeight="1">
      <c r="A677" s="25"/>
      <c r="B677" s="16"/>
      <c r="C677" s="3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36"/>
      <c r="AK677" s="37"/>
      <c r="AL677" s="37"/>
      <c r="AM677" s="37"/>
      <c r="AN677" s="17"/>
      <c r="AO677" s="17"/>
    </row>
    <row r="678" ht="14.25" customHeight="1">
      <c r="A678" s="25"/>
      <c r="B678" s="16"/>
      <c r="C678" s="3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36"/>
      <c r="AK678" s="37"/>
      <c r="AL678" s="37"/>
      <c r="AM678" s="37"/>
      <c r="AN678" s="17"/>
      <c r="AO678" s="17"/>
    </row>
    <row r="679" ht="14.25" customHeight="1">
      <c r="A679" s="25"/>
      <c r="B679" s="16"/>
      <c r="C679" s="3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36"/>
      <c r="AK679" s="37"/>
      <c r="AL679" s="37"/>
      <c r="AM679" s="37"/>
      <c r="AN679" s="17"/>
      <c r="AO679" s="17"/>
    </row>
    <row r="680" ht="14.25" customHeight="1">
      <c r="A680" s="25"/>
      <c r="B680" s="16"/>
      <c r="C680" s="3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36"/>
      <c r="AK680" s="37"/>
      <c r="AL680" s="37"/>
      <c r="AM680" s="37"/>
      <c r="AN680" s="17"/>
      <c r="AO680" s="17"/>
    </row>
    <row r="681" ht="14.25" customHeight="1">
      <c r="A681" s="25"/>
      <c r="B681" s="16"/>
      <c r="C681" s="3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36"/>
      <c r="AK681" s="37"/>
      <c r="AL681" s="37"/>
      <c r="AM681" s="37"/>
      <c r="AN681" s="17"/>
      <c r="AO681" s="17"/>
    </row>
    <row r="682" ht="14.25" customHeight="1">
      <c r="A682" s="25"/>
      <c r="B682" s="16"/>
      <c r="C682" s="3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36"/>
      <c r="AK682" s="37"/>
      <c r="AL682" s="37"/>
      <c r="AM682" s="37"/>
      <c r="AN682" s="17"/>
      <c r="AO682" s="17"/>
    </row>
    <row r="683" ht="14.25" customHeight="1">
      <c r="A683" s="25"/>
      <c r="B683" s="16"/>
      <c r="C683" s="3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36"/>
      <c r="AK683" s="37"/>
      <c r="AL683" s="37"/>
      <c r="AM683" s="37"/>
      <c r="AN683" s="17"/>
      <c r="AO683" s="17"/>
    </row>
    <row r="684" ht="14.25" customHeight="1">
      <c r="A684" s="25"/>
      <c r="B684" s="16"/>
      <c r="C684" s="3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36"/>
      <c r="AK684" s="37"/>
      <c r="AL684" s="37"/>
      <c r="AM684" s="37"/>
      <c r="AN684" s="17"/>
      <c r="AO684" s="17"/>
    </row>
    <row r="685" ht="14.25" customHeight="1">
      <c r="A685" s="25"/>
      <c r="B685" s="16"/>
      <c r="C685" s="3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36"/>
      <c r="AK685" s="37"/>
      <c r="AL685" s="37"/>
      <c r="AM685" s="37"/>
      <c r="AN685" s="17"/>
      <c r="AO685" s="17"/>
    </row>
    <row r="686" ht="14.25" customHeight="1">
      <c r="A686" s="25"/>
      <c r="B686" s="16"/>
      <c r="C686" s="3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36"/>
      <c r="AK686" s="37"/>
      <c r="AL686" s="37"/>
      <c r="AM686" s="37"/>
      <c r="AN686" s="17"/>
      <c r="AO686" s="17"/>
    </row>
    <row r="687" ht="14.25" customHeight="1">
      <c r="A687" s="25"/>
      <c r="B687" s="16"/>
      <c r="C687" s="3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36"/>
      <c r="AK687" s="37"/>
      <c r="AL687" s="37"/>
      <c r="AM687" s="37"/>
      <c r="AN687" s="17"/>
      <c r="AO687" s="17"/>
    </row>
    <row r="688" ht="14.25" customHeight="1">
      <c r="A688" s="25"/>
      <c r="B688" s="16"/>
      <c r="C688" s="3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36"/>
      <c r="AK688" s="37"/>
      <c r="AL688" s="37"/>
      <c r="AM688" s="37"/>
      <c r="AN688" s="17"/>
      <c r="AO688" s="17"/>
    </row>
    <row r="689" ht="14.25" customHeight="1">
      <c r="A689" s="25"/>
      <c r="B689" s="16"/>
      <c r="C689" s="3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36"/>
      <c r="AK689" s="37"/>
      <c r="AL689" s="37"/>
      <c r="AM689" s="37"/>
      <c r="AN689" s="17"/>
      <c r="AO689" s="17"/>
    </row>
    <row r="690" ht="14.25" customHeight="1">
      <c r="A690" s="25"/>
      <c r="B690" s="16"/>
      <c r="C690" s="3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36"/>
      <c r="AK690" s="37"/>
      <c r="AL690" s="37"/>
      <c r="AM690" s="37"/>
      <c r="AN690" s="17"/>
      <c r="AO690" s="17"/>
    </row>
    <row r="691" ht="14.25" customHeight="1">
      <c r="A691" s="25"/>
      <c r="B691" s="16"/>
      <c r="C691" s="3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36"/>
      <c r="AK691" s="37"/>
      <c r="AL691" s="37"/>
      <c r="AM691" s="37"/>
      <c r="AN691" s="17"/>
      <c r="AO691" s="17"/>
    </row>
    <row r="692" ht="14.25" customHeight="1">
      <c r="A692" s="25"/>
      <c r="B692" s="16"/>
      <c r="C692" s="3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36"/>
      <c r="AK692" s="37"/>
      <c r="AL692" s="37"/>
      <c r="AM692" s="37"/>
      <c r="AN692" s="17"/>
      <c r="AO692" s="17"/>
    </row>
    <row r="693" ht="14.25" customHeight="1">
      <c r="A693" s="25"/>
      <c r="B693" s="16"/>
      <c r="C693" s="3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36"/>
      <c r="AK693" s="37"/>
      <c r="AL693" s="37"/>
      <c r="AM693" s="37"/>
      <c r="AN693" s="17"/>
      <c r="AO693" s="17"/>
    </row>
    <row r="694" ht="14.25" customHeight="1">
      <c r="A694" s="25"/>
      <c r="B694" s="16"/>
      <c r="C694" s="3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36"/>
      <c r="AK694" s="37"/>
      <c r="AL694" s="37"/>
      <c r="AM694" s="37"/>
      <c r="AN694" s="17"/>
      <c r="AO694" s="17"/>
    </row>
    <row r="695" ht="14.25" customHeight="1">
      <c r="A695" s="25"/>
      <c r="B695" s="16"/>
      <c r="C695" s="3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36"/>
      <c r="AK695" s="37"/>
      <c r="AL695" s="37"/>
      <c r="AM695" s="37"/>
      <c r="AN695" s="17"/>
      <c r="AO695" s="17"/>
    </row>
    <row r="696" ht="14.25" customHeight="1">
      <c r="A696" s="25"/>
      <c r="B696" s="16"/>
      <c r="C696" s="3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36"/>
      <c r="AK696" s="37"/>
      <c r="AL696" s="37"/>
      <c r="AM696" s="37"/>
      <c r="AN696" s="17"/>
      <c r="AO696" s="17"/>
    </row>
    <row r="697" ht="14.25" customHeight="1">
      <c r="A697" s="25"/>
      <c r="B697" s="16"/>
      <c r="C697" s="3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36"/>
      <c r="AK697" s="37"/>
      <c r="AL697" s="37"/>
      <c r="AM697" s="37"/>
      <c r="AN697" s="17"/>
      <c r="AO697" s="17"/>
    </row>
    <row r="698" ht="14.25" customHeight="1">
      <c r="A698" s="25"/>
      <c r="B698" s="16"/>
      <c r="C698" s="3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36"/>
      <c r="AK698" s="37"/>
      <c r="AL698" s="37"/>
      <c r="AM698" s="37"/>
      <c r="AN698" s="17"/>
      <c r="AO698" s="17"/>
    </row>
    <row r="699" ht="14.25" customHeight="1">
      <c r="A699" s="25"/>
      <c r="B699" s="16"/>
      <c r="C699" s="3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36"/>
      <c r="AK699" s="37"/>
      <c r="AL699" s="37"/>
      <c r="AM699" s="37"/>
      <c r="AN699" s="17"/>
      <c r="AO699" s="17"/>
    </row>
    <row r="700" ht="14.25" customHeight="1">
      <c r="A700" s="25"/>
      <c r="B700" s="16"/>
      <c r="C700" s="3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36"/>
      <c r="AK700" s="37"/>
      <c r="AL700" s="37"/>
      <c r="AM700" s="37"/>
      <c r="AN700" s="17"/>
      <c r="AO700" s="17"/>
    </row>
    <row r="701" ht="14.25" customHeight="1">
      <c r="A701" s="25"/>
      <c r="B701" s="16"/>
      <c r="C701" s="3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36"/>
      <c r="AK701" s="37"/>
      <c r="AL701" s="37"/>
      <c r="AM701" s="37"/>
      <c r="AN701" s="17"/>
      <c r="AO701" s="17"/>
    </row>
    <row r="702" ht="14.25" customHeight="1">
      <c r="A702" s="25"/>
      <c r="B702" s="16"/>
      <c r="C702" s="3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36"/>
      <c r="AK702" s="37"/>
      <c r="AL702" s="37"/>
      <c r="AM702" s="37"/>
      <c r="AN702" s="17"/>
      <c r="AO702" s="17"/>
    </row>
    <row r="703" ht="14.25" customHeight="1">
      <c r="A703" s="25"/>
      <c r="B703" s="16"/>
      <c r="C703" s="3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36"/>
      <c r="AK703" s="37"/>
      <c r="AL703" s="37"/>
      <c r="AM703" s="37"/>
      <c r="AN703" s="17"/>
      <c r="AO703" s="17"/>
    </row>
    <row r="704" ht="14.25" customHeight="1">
      <c r="A704" s="25"/>
      <c r="B704" s="16"/>
      <c r="C704" s="3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36"/>
      <c r="AK704" s="37"/>
      <c r="AL704" s="37"/>
      <c r="AM704" s="37"/>
      <c r="AN704" s="17"/>
      <c r="AO704" s="17"/>
    </row>
    <row r="705" ht="14.25" customHeight="1">
      <c r="A705" s="25"/>
      <c r="B705" s="16"/>
      <c r="C705" s="3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36"/>
      <c r="AK705" s="37"/>
      <c r="AL705" s="37"/>
      <c r="AM705" s="37"/>
      <c r="AN705" s="17"/>
      <c r="AO705" s="17"/>
    </row>
    <row r="706" ht="14.25" customHeight="1">
      <c r="A706" s="25"/>
      <c r="B706" s="16"/>
      <c r="C706" s="3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36"/>
      <c r="AK706" s="37"/>
      <c r="AL706" s="37"/>
      <c r="AM706" s="37"/>
      <c r="AN706" s="17"/>
      <c r="AO706" s="17"/>
    </row>
    <row r="707" ht="14.25" customHeight="1">
      <c r="A707" s="25"/>
      <c r="B707" s="16"/>
      <c r="C707" s="3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36"/>
      <c r="AK707" s="37"/>
      <c r="AL707" s="37"/>
      <c r="AM707" s="37"/>
      <c r="AN707" s="17"/>
      <c r="AO707" s="17"/>
    </row>
    <row r="708" ht="14.25" customHeight="1">
      <c r="A708" s="25"/>
      <c r="B708" s="16"/>
      <c r="C708" s="3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36"/>
      <c r="AK708" s="37"/>
      <c r="AL708" s="37"/>
      <c r="AM708" s="37"/>
      <c r="AN708" s="17"/>
      <c r="AO708" s="17"/>
    </row>
    <row r="709" ht="14.25" customHeight="1">
      <c r="A709" s="25"/>
      <c r="B709" s="16"/>
      <c r="C709" s="3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36"/>
      <c r="AK709" s="37"/>
      <c r="AL709" s="37"/>
      <c r="AM709" s="37"/>
      <c r="AN709" s="17"/>
      <c r="AO709" s="17"/>
    </row>
    <row r="710" ht="14.25" customHeight="1">
      <c r="A710" s="25"/>
      <c r="B710" s="16"/>
      <c r="C710" s="3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36"/>
      <c r="AK710" s="37"/>
      <c r="AL710" s="37"/>
      <c r="AM710" s="37"/>
      <c r="AN710" s="17"/>
      <c r="AO710" s="17"/>
    </row>
    <row r="711" ht="14.25" customHeight="1">
      <c r="A711" s="25"/>
      <c r="B711" s="16"/>
      <c r="C711" s="3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36"/>
      <c r="AK711" s="37"/>
      <c r="AL711" s="37"/>
      <c r="AM711" s="37"/>
      <c r="AN711" s="17"/>
      <c r="AO711" s="17"/>
    </row>
    <row r="712" ht="14.25" customHeight="1">
      <c r="A712" s="25"/>
      <c r="B712" s="16"/>
      <c r="C712" s="3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36"/>
      <c r="AK712" s="37"/>
      <c r="AL712" s="37"/>
      <c r="AM712" s="37"/>
      <c r="AN712" s="17"/>
      <c r="AO712" s="17"/>
    </row>
    <row r="713" ht="14.25" customHeight="1">
      <c r="A713" s="25"/>
      <c r="B713" s="16"/>
      <c r="C713" s="3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36"/>
      <c r="AK713" s="37"/>
      <c r="AL713" s="37"/>
      <c r="AM713" s="37"/>
      <c r="AN713" s="17"/>
      <c r="AO713" s="17"/>
    </row>
    <row r="714" ht="14.25" customHeight="1">
      <c r="A714" s="25"/>
      <c r="B714" s="16"/>
      <c r="C714" s="3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36"/>
      <c r="AK714" s="37"/>
      <c r="AL714" s="37"/>
      <c r="AM714" s="37"/>
      <c r="AN714" s="17"/>
      <c r="AO714" s="17"/>
    </row>
    <row r="715" ht="14.25" customHeight="1">
      <c r="A715" s="25"/>
      <c r="B715" s="16"/>
      <c r="C715" s="3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36"/>
      <c r="AK715" s="37"/>
      <c r="AL715" s="37"/>
      <c r="AM715" s="37"/>
      <c r="AN715" s="17"/>
      <c r="AO715" s="17"/>
    </row>
    <row r="716" ht="14.25" customHeight="1">
      <c r="A716" s="25"/>
      <c r="B716" s="16"/>
      <c r="C716" s="3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36"/>
      <c r="AK716" s="37"/>
      <c r="AL716" s="37"/>
      <c r="AM716" s="37"/>
      <c r="AN716" s="17"/>
      <c r="AO716" s="17"/>
    </row>
    <row r="717" ht="14.25" customHeight="1">
      <c r="A717" s="25"/>
      <c r="B717" s="16"/>
      <c r="C717" s="3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36"/>
      <c r="AK717" s="37"/>
      <c r="AL717" s="37"/>
      <c r="AM717" s="37"/>
      <c r="AN717" s="17"/>
      <c r="AO717" s="17"/>
    </row>
    <row r="718" ht="14.25" customHeight="1">
      <c r="A718" s="25"/>
      <c r="B718" s="16"/>
      <c r="C718" s="3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36"/>
      <c r="AK718" s="37"/>
      <c r="AL718" s="37"/>
      <c r="AM718" s="37"/>
      <c r="AN718" s="17"/>
      <c r="AO718" s="17"/>
    </row>
    <row r="719" ht="14.25" customHeight="1">
      <c r="A719" s="25"/>
      <c r="B719" s="16"/>
      <c r="C719" s="3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36"/>
      <c r="AK719" s="37"/>
      <c r="AL719" s="37"/>
      <c r="AM719" s="37"/>
      <c r="AN719" s="17"/>
      <c r="AO719" s="17"/>
    </row>
    <row r="720" ht="14.25" customHeight="1">
      <c r="A720" s="25"/>
      <c r="B720" s="16"/>
      <c r="C720" s="3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36"/>
      <c r="AK720" s="37"/>
      <c r="AL720" s="37"/>
      <c r="AM720" s="37"/>
      <c r="AN720" s="17"/>
      <c r="AO720" s="17"/>
    </row>
    <row r="721" ht="14.25" customHeight="1">
      <c r="A721" s="25"/>
      <c r="B721" s="16"/>
      <c r="C721" s="3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36"/>
      <c r="AK721" s="37"/>
      <c r="AL721" s="37"/>
      <c r="AM721" s="37"/>
      <c r="AN721" s="17"/>
      <c r="AO721" s="17"/>
    </row>
    <row r="722" ht="14.25" customHeight="1">
      <c r="A722" s="25"/>
      <c r="B722" s="16"/>
      <c r="C722" s="3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36"/>
      <c r="AK722" s="37"/>
      <c r="AL722" s="37"/>
      <c r="AM722" s="37"/>
      <c r="AN722" s="17"/>
      <c r="AO722" s="17"/>
    </row>
    <row r="723" ht="14.25" customHeight="1">
      <c r="A723" s="25"/>
      <c r="B723" s="16"/>
      <c r="C723" s="3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36"/>
      <c r="AK723" s="37"/>
      <c r="AL723" s="37"/>
      <c r="AM723" s="37"/>
      <c r="AN723" s="17"/>
      <c r="AO723" s="17"/>
    </row>
    <row r="724" ht="14.25" customHeight="1">
      <c r="A724" s="25"/>
      <c r="B724" s="16"/>
      <c r="C724" s="3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36"/>
      <c r="AK724" s="37"/>
      <c r="AL724" s="37"/>
      <c r="AM724" s="37"/>
      <c r="AN724" s="17"/>
      <c r="AO724" s="17"/>
    </row>
    <row r="725" ht="14.25" customHeight="1">
      <c r="A725" s="25"/>
      <c r="B725" s="16"/>
      <c r="C725" s="3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36"/>
      <c r="AK725" s="37"/>
      <c r="AL725" s="37"/>
      <c r="AM725" s="37"/>
      <c r="AN725" s="17"/>
      <c r="AO725" s="17"/>
    </row>
    <row r="726" ht="14.25" customHeight="1">
      <c r="A726" s="25"/>
      <c r="B726" s="16"/>
      <c r="C726" s="3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36"/>
      <c r="AK726" s="37"/>
      <c r="AL726" s="37"/>
      <c r="AM726" s="37"/>
      <c r="AN726" s="17"/>
      <c r="AO726" s="17"/>
    </row>
    <row r="727" ht="14.25" customHeight="1">
      <c r="A727" s="25"/>
      <c r="B727" s="16"/>
      <c r="C727" s="3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36"/>
      <c r="AK727" s="37"/>
      <c r="AL727" s="37"/>
      <c r="AM727" s="37"/>
      <c r="AN727" s="17"/>
      <c r="AO727" s="17"/>
    </row>
    <row r="728" ht="14.25" customHeight="1">
      <c r="A728" s="25"/>
      <c r="B728" s="16"/>
      <c r="C728" s="3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36"/>
      <c r="AK728" s="37"/>
      <c r="AL728" s="37"/>
      <c r="AM728" s="37"/>
      <c r="AN728" s="17"/>
      <c r="AO728" s="17"/>
    </row>
    <row r="729" ht="14.25" customHeight="1">
      <c r="A729" s="25"/>
      <c r="B729" s="16"/>
      <c r="C729" s="3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36"/>
      <c r="AK729" s="37"/>
      <c r="AL729" s="37"/>
      <c r="AM729" s="37"/>
      <c r="AN729" s="17"/>
      <c r="AO729" s="17"/>
    </row>
    <row r="730" ht="14.25" customHeight="1">
      <c r="A730" s="25"/>
      <c r="B730" s="16"/>
      <c r="C730" s="3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36"/>
      <c r="AK730" s="37"/>
      <c r="AL730" s="37"/>
      <c r="AM730" s="37"/>
      <c r="AN730" s="17"/>
      <c r="AO730" s="17"/>
    </row>
    <row r="731" ht="14.25" customHeight="1">
      <c r="A731" s="25"/>
      <c r="B731" s="16"/>
      <c r="C731" s="3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36"/>
      <c r="AK731" s="37"/>
      <c r="AL731" s="37"/>
      <c r="AM731" s="37"/>
      <c r="AN731" s="17"/>
      <c r="AO731" s="17"/>
    </row>
    <row r="732" ht="14.25" customHeight="1">
      <c r="A732" s="25"/>
      <c r="B732" s="16"/>
      <c r="C732" s="3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36"/>
      <c r="AK732" s="37"/>
      <c r="AL732" s="37"/>
      <c r="AM732" s="37"/>
      <c r="AN732" s="17"/>
      <c r="AO732" s="17"/>
    </row>
    <row r="733" ht="14.25" customHeight="1">
      <c r="A733" s="25"/>
      <c r="B733" s="16"/>
      <c r="C733" s="3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36"/>
      <c r="AK733" s="37"/>
      <c r="AL733" s="37"/>
      <c r="AM733" s="37"/>
      <c r="AN733" s="17"/>
      <c r="AO733" s="17"/>
    </row>
    <row r="734" ht="14.25" customHeight="1">
      <c r="A734" s="25"/>
      <c r="B734" s="16"/>
      <c r="C734" s="3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36"/>
      <c r="AK734" s="37"/>
      <c r="AL734" s="37"/>
      <c r="AM734" s="37"/>
      <c r="AN734" s="17"/>
      <c r="AO734" s="17"/>
    </row>
    <row r="735" ht="14.25" customHeight="1">
      <c r="A735" s="25"/>
      <c r="B735" s="16"/>
      <c r="C735" s="3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36"/>
      <c r="AK735" s="37"/>
      <c r="AL735" s="37"/>
      <c r="AM735" s="37"/>
      <c r="AN735" s="17"/>
      <c r="AO735" s="17"/>
    </row>
    <row r="736" ht="14.25" customHeight="1">
      <c r="A736" s="25"/>
      <c r="B736" s="16"/>
      <c r="C736" s="3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36"/>
      <c r="AK736" s="37"/>
      <c r="AL736" s="37"/>
      <c r="AM736" s="37"/>
      <c r="AN736" s="17"/>
      <c r="AO736" s="17"/>
    </row>
    <row r="737" ht="14.25" customHeight="1">
      <c r="A737" s="25"/>
      <c r="B737" s="16"/>
      <c r="C737" s="3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36"/>
      <c r="AK737" s="37"/>
      <c r="AL737" s="37"/>
      <c r="AM737" s="37"/>
      <c r="AN737" s="17"/>
      <c r="AO737" s="17"/>
    </row>
    <row r="738" ht="14.25" customHeight="1">
      <c r="A738" s="25"/>
      <c r="B738" s="16"/>
      <c r="C738" s="3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36"/>
      <c r="AK738" s="37"/>
      <c r="AL738" s="37"/>
      <c r="AM738" s="37"/>
      <c r="AN738" s="17"/>
      <c r="AO738" s="17"/>
    </row>
    <row r="739" ht="14.25" customHeight="1">
      <c r="A739" s="25"/>
      <c r="B739" s="16"/>
      <c r="C739" s="3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36"/>
      <c r="AK739" s="37"/>
      <c r="AL739" s="37"/>
      <c r="AM739" s="37"/>
      <c r="AN739" s="17"/>
      <c r="AO739" s="17"/>
    </row>
    <row r="740" ht="14.25" customHeight="1">
      <c r="A740" s="25"/>
      <c r="B740" s="16"/>
      <c r="C740" s="3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36"/>
      <c r="AK740" s="37"/>
      <c r="AL740" s="37"/>
      <c r="AM740" s="37"/>
      <c r="AN740" s="17"/>
      <c r="AO740" s="17"/>
    </row>
    <row r="741" ht="14.25" customHeight="1">
      <c r="A741" s="25"/>
      <c r="B741" s="16"/>
      <c r="C741" s="3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36"/>
      <c r="AK741" s="37"/>
      <c r="AL741" s="37"/>
      <c r="AM741" s="37"/>
      <c r="AN741" s="17"/>
      <c r="AO741" s="17"/>
    </row>
    <row r="742" ht="14.25" customHeight="1">
      <c r="A742" s="25"/>
      <c r="B742" s="16"/>
      <c r="C742" s="3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36"/>
      <c r="AK742" s="37"/>
      <c r="AL742" s="37"/>
      <c r="AM742" s="37"/>
      <c r="AN742" s="17"/>
      <c r="AO742" s="17"/>
    </row>
    <row r="743" ht="14.25" customHeight="1">
      <c r="A743" s="25"/>
      <c r="B743" s="16"/>
      <c r="C743" s="3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36"/>
      <c r="AK743" s="37"/>
      <c r="AL743" s="37"/>
      <c r="AM743" s="37"/>
      <c r="AN743" s="17"/>
      <c r="AO743" s="17"/>
    </row>
    <row r="744" ht="14.25" customHeight="1">
      <c r="A744" s="25"/>
      <c r="B744" s="16"/>
      <c r="C744" s="3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36"/>
      <c r="AK744" s="37"/>
      <c r="AL744" s="37"/>
      <c r="AM744" s="37"/>
      <c r="AN744" s="17"/>
      <c r="AO744" s="17"/>
    </row>
    <row r="745" ht="14.25" customHeight="1">
      <c r="A745" s="25"/>
      <c r="B745" s="16"/>
      <c r="C745" s="3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36"/>
      <c r="AK745" s="37"/>
      <c r="AL745" s="37"/>
      <c r="AM745" s="37"/>
      <c r="AN745" s="17"/>
      <c r="AO745" s="17"/>
    </row>
    <row r="746" ht="14.25" customHeight="1">
      <c r="A746" s="25"/>
      <c r="B746" s="16"/>
      <c r="C746" s="3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36"/>
      <c r="AK746" s="37"/>
      <c r="AL746" s="37"/>
      <c r="AM746" s="37"/>
      <c r="AN746" s="17"/>
      <c r="AO746" s="17"/>
    </row>
    <row r="747" ht="14.25" customHeight="1">
      <c r="A747" s="25"/>
      <c r="B747" s="16"/>
      <c r="C747" s="3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36"/>
      <c r="AK747" s="37"/>
      <c r="AL747" s="37"/>
      <c r="AM747" s="37"/>
      <c r="AN747" s="17"/>
      <c r="AO747" s="17"/>
    </row>
    <row r="748" ht="14.25" customHeight="1">
      <c r="A748" s="25"/>
      <c r="B748" s="16"/>
      <c r="C748" s="3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36"/>
      <c r="AK748" s="37"/>
      <c r="AL748" s="37"/>
      <c r="AM748" s="37"/>
      <c r="AN748" s="17"/>
      <c r="AO748" s="17"/>
    </row>
    <row r="749" ht="14.25" customHeight="1">
      <c r="A749" s="25"/>
      <c r="B749" s="16"/>
      <c r="C749" s="3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36"/>
      <c r="AK749" s="37"/>
      <c r="AL749" s="37"/>
      <c r="AM749" s="37"/>
      <c r="AN749" s="17"/>
      <c r="AO749" s="17"/>
    </row>
    <row r="750" ht="14.25" customHeight="1">
      <c r="A750" s="25"/>
      <c r="B750" s="16"/>
      <c r="C750" s="3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36"/>
      <c r="AK750" s="37"/>
      <c r="AL750" s="37"/>
      <c r="AM750" s="37"/>
      <c r="AN750" s="17"/>
      <c r="AO750" s="17"/>
    </row>
    <row r="751" ht="14.25" customHeight="1">
      <c r="A751" s="25"/>
      <c r="B751" s="16"/>
      <c r="C751" s="3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36"/>
      <c r="AK751" s="37"/>
      <c r="AL751" s="37"/>
      <c r="AM751" s="37"/>
      <c r="AN751" s="17"/>
      <c r="AO751" s="17"/>
    </row>
    <row r="752" ht="14.25" customHeight="1">
      <c r="A752" s="25"/>
      <c r="B752" s="16"/>
      <c r="C752" s="3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36"/>
      <c r="AK752" s="37"/>
      <c r="AL752" s="37"/>
      <c r="AM752" s="37"/>
      <c r="AN752" s="17"/>
      <c r="AO752" s="17"/>
    </row>
    <row r="753" ht="14.25" customHeight="1">
      <c r="A753" s="25"/>
      <c r="B753" s="16"/>
      <c r="C753" s="3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36"/>
      <c r="AK753" s="37"/>
      <c r="AL753" s="37"/>
      <c r="AM753" s="37"/>
      <c r="AN753" s="17"/>
      <c r="AO753" s="17"/>
    </row>
    <row r="754" ht="14.25" customHeight="1">
      <c r="A754" s="25"/>
      <c r="B754" s="16"/>
      <c r="C754" s="3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36"/>
      <c r="AK754" s="37"/>
      <c r="AL754" s="37"/>
      <c r="AM754" s="37"/>
      <c r="AN754" s="17"/>
      <c r="AO754" s="17"/>
    </row>
    <row r="755" ht="14.25" customHeight="1">
      <c r="A755" s="25"/>
      <c r="B755" s="16"/>
      <c r="C755" s="3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36"/>
      <c r="AK755" s="37"/>
      <c r="AL755" s="37"/>
      <c r="AM755" s="37"/>
      <c r="AN755" s="17"/>
      <c r="AO755" s="17"/>
    </row>
    <row r="756" ht="14.25" customHeight="1">
      <c r="A756" s="25"/>
      <c r="B756" s="16"/>
      <c r="C756" s="3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36"/>
      <c r="AK756" s="37"/>
      <c r="AL756" s="37"/>
      <c r="AM756" s="37"/>
      <c r="AN756" s="17"/>
      <c r="AO756" s="17"/>
    </row>
    <row r="757" ht="14.25" customHeight="1">
      <c r="A757" s="25"/>
      <c r="B757" s="16"/>
      <c r="C757" s="3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36"/>
      <c r="AK757" s="37"/>
      <c r="AL757" s="37"/>
      <c r="AM757" s="37"/>
      <c r="AN757" s="17"/>
      <c r="AO757" s="17"/>
    </row>
    <row r="758" ht="14.25" customHeight="1">
      <c r="A758" s="25"/>
      <c r="B758" s="16"/>
      <c r="C758" s="3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36"/>
      <c r="AK758" s="37"/>
      <c r="AL758" s="37"/>
      <c r="AM758" s="37"/>
      <c r="AN758" s="17"/>
      <c r="AO758" s="17"/>
    </row>
    <row r="759" ht="14.25" customHeight="1">
      <c r="A759" s="25"/>
      <c r="B759" s="16"/>
      <c r="C759" s="3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36"/>
      <c r="AK759" s="37"/>
      <c r="AL759" s="37"/>
      <c r="AM759" s="37"/>
      <c r="AN759" s="17"/>
      <c r="AO759" s="17"/>
    </row>
    <row r="760" ht="14.25" customHeight="1">
      <c r="A760" s="25"/>
      <c r="B760" s="16"/>
      <c r="C760" s="3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36"/>
      <c r="AK760" s="37"/>
      <c r="AL760" s="37"/>
      <c r="AM760" s="37"/>
      <c r="AN760" s="17"/>
      <c r="AO760" s="17"/>
    </row>
    <row r="761" ht="14.25" customHeight="1">
      <c r="A761" s="25"/>
      <c r="B761" s="16"/>
      <c r="C761" s="3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36"/>
      <c r="AK761" s="37"/>
      <c r="AL761" s="37"/>
      <c r="AM761" s="37"/>
      <c r="AN761" s="17"/>
      <c r="AO761" s="17"/>
    </row>
    <row r="762" ht="14.25" customHeight="1">
      <c r="A762" s="25"/>
      <c r="B762" s="16"/>
      <c r="C762" s="3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36"/>
      <c r="AK762" s="37"/>
      <c r="AL762" s="37"/>
      <c r="AM762" s="37"/>
      <c r="AN762" s="17"/>
      <c r="AO762" s="17"/>
    </row>
    <row r="763" ht="14.25" customHeight="1">
      <c r="A763" s="25"/>
      <c r="B763" s="16"/>
      <c r="C763" s="3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36"/>
      <c r="AK763" s="37"/>
      <c r="AL763" s="37"/>
      <c r="AM763" s="37"/>
      <c r="AN763" s="17"/>
      <c r="AO763" s="17"/>
    </row>
    <row r="764" ht="14.25" customHeight="1">
      <c r="A764" s="25"/>
      <c r="B764" s="16"/>
      <c r="C764" s="3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36"/>
      <c r="AK764" s="37"/>
      <c r="AL764" s="37"/>
      <c r="AM764" s="37"/>
      <c r="AN764" s="17"/>
      <c r="AO764" s="17"/>
    </row>
    <row r="765" ht="14.25" customHeight="1">
      <c r="A765" s="25"/>
      <c r="B765" s="16"/>
      <c r="C765" s="3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36"/>
      <c r="AK765" s="37"/>
      <c r="AL765" s="37"/>
      <c r="AM765" s="37"/>
      <c r="AN765" s="17"/>
      <c r="AO765" s="17"/>
    </row>
    <row r="766" ht="14.25" customHeight="1">
      <c r="A766" s="25"/>
      <c r="B766" s="16"/>
      <c r="C766" s="3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36"/>
      <c r="AK766" s="37"/>
      <c r="AL766" s="37"/>
      <c r="AM766" s="37"/>
      <c r="AN766" s="17"/>
      <c r="AO766" s="17"/>
    </row>
    <row r="767" ht="14.25" customHeight="1">
      <c r="A767" s="25"/>
      <c r="B767" s="16"/>
      <c r="C767" s="3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36"/>
      <c r="AK767" s="37"/>
      <c r="AL767" s="37"/>
      <c r="AM767" s="37"/>
      <c r="AN767" s="17"/>
      <c r="AO767" s="17"/>
    </row>
    <row r="768" ht="14.25" customHeight="1">
      <c r="A768" s="25"/>
      <c r="B768" s="16"/>
      <c r="C768" s="3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36"/>
      <c r="AK768" s="37"/>
      <c r="AL768" s="37"/>
      <c r="AM768" s="37"/>
      <c r="AN768" s="17"/>
      <c r="AO768" s="17"/>
    </row>
    <row r="769" ht="14.25" customHeight="1">
      <c r="A769" s="25"/>
      <c r="B769" s="16"/>
      <c r="C769" s="3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36"/>
      <c r="AK769" s="37"/>
      <c r="AL769" s="37"/>
      <c r="AM769" s="37"/>
      <c r="AN769" s="17"/>
      <c r="AO769" s="17"/>
    </row>
    <row r="770" ht="14.25" customHeight="1">
      <c r="A770" s="25"/>
      <c r="B770" s="16"/>
      <c r="C770" s="3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36"/>
      <c r="AK770" s="37"/>
      <c r="AL770" s="37"/>
      <c r="AM770" s="37"/>
      <c r="AN770" s="17"/>
      <c r="AO770" s="17"/>
    </row>
    <row r="771" ht="14.25" customHeight="1">
      <c r="A771" s="25"/>
      <c r="B771" s="16"/>
      <c r="C771" s="3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36"/>
      <c r="AK771" s="37"/>
      <c r="AL771" s="37"/>
      <c r="AM771" s="37"/>
      <c r="AN771" s="17"/>
      <c r="AO771" s="17"/>
    </row>
    <row r="772" ht="14.25" customHeight="1">
      <c r="A772" s="25"/>
      <c r="B772" s="16"/>
      <c r="C772" s="3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36"/>
      <c r="AK772" s="37"/>
      <c r="AL772" s="37"/>
      <c r="AM772" s="37"/>
      <c r="AN772" s="17"/>
      <c r="AO772" s="17"/>
    </row>
    <row r="773" ht="14.25" customHeight="1">
      <c r="A773" s="25"/>
      <c r="B773" s="16"/>
      <c r="C773" s="3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36"/>
      <c r="AK773" s="37"/>
      <c r="AL773" s="37"/>
      <c r="AM773" s="37"/>
      <c r="AN773" s="17"/>
      <c r="AO773" s="17"/>
    </row>
    <row r="774" ht="14.25" customHeight="1">
      <c r="A774" s="25"/>
      <c r="B774" s="16"/>
      <c r="C774" s="3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36"/>
      <c r="AK774" s="37"/>
      <c r="AL774" s="37"/>
      <c r="AM774" s="37"/>
      <c r="AN774" s="17"/>
      <c r="AO774" s="17"/>
    </row>
    <row r="775" ht="14.25" customHeight="1">
      <c r="A775" s="25"/>
      <c r="B775" s="16"/>
      <c r="C775" s="3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36"/>
      <c r="AK775" s="37"/>
      <c r="AL775" s="37"/>
      <c r="AM775" s="37"/>
      <c r="AN775" s="17"/>
      <c r="AO775" s="17"/>
    </row>
    <row r="776" ht="14.25" customHeight="1">
      <c r="A776" s="25"/>
      <c r="B776" s="16"/>
      <c r="C776" s="3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36"/>
      <c r="AK776" s="37"/>
      <c r="AL776" s="37"/>
      <c r="AM776" s="37"/>
      <c r="AN776" s="17"/>
      <c r="AO776" s="17"/>
    </row>
    <row r="777" ht="14.25" customHeight="1">
      <c r="A777" s="25"/>
      <c r="B777" s="16"/>
      <c r="C777" s="3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36"/>
      <c r="AK777" s="37"/>
      <c r="AL777" s="37"/>
      <c r="AM777" s="37"/>
      <c r="AN777" s="17"/>
      <c r="AO777" s="17"/>
    </row>
    <row r="778" ht="14.25" customHeight="1">
      <c r="A778" s="25"/>
      <c r="B778" s="16"/>
      <c r="C778" s="3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36"/>
      <c r="AK778" s="37"/>
      <c r="AL778" s="37"/>
      <c r="AM778" s="37"/>
      <c r="AN778" s="17"/>
      <c r="AO778" s="17"/>
    </row>
    <row r="779" ht="14.25" customHeight="1">
      <c r="A779" s="25"/>
      <c r="B779" s="16"/>
      <c r="C779" s="3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36"/>
      <c r="AK779" s="37"/>
      <c r="AL779" s="37"/>
      <c r="AM779" s="37"/>
      <c r="AN779" s="17"/>
      <c r="AO779" s="17"/>
    </row>
    <row r="780" ht="14.25" customHeight="1">
      <c r="A780" s="25"/>
      <c r="B780" s="16"/>
      <c r="C780" s="3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36"/>
      <c r="AK780" s="37"/>
      <c r="AL780" s="37"/>
      <c r="AM780" s="37"/>
      <c r="AN780" s="17"/>
      <c r="AO780" s="17"/>
    </row>
    <row r="781" ht="14.25" customHeight="1">
      <c r="A781" s="25"/>
      <c r="B781" s="16"/>
      <c r="C781" s="3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36"/>
      <c r="AK781" s="37"/>
      <c r="AL781" s="37"/>
      <c r="AM781" s="37"/>
      <c r="AN781" s="17"/>
      <c r="AO781" s="17"/>
    </row>
    <row r="782" ht="14.25" customHeight="1">
      <c r="A782" s="25"/>
      <c r="B782" s="16"/>
      <c r="C782" s="3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36"/>
      <c r="AK782" s="37"/>
      <c r="AL782" s="37"/>
      <c r="AM782" s="37"/>
      <c r="AN782" s="17"/>
      <c r="AO782" s="17"/>
    </row>
    <row r="783" ht="14.25" customHeight="1">
      <c r="A783" s="25"/>
      <c r="B783" s="16"/>
      <c r="C783" s="3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36"/>
      <c r="AK783" s="37"/>
      <c r="AL783" s="37"/>
      <c r="AM783" s="37"/>
      <c r="AN783" s="17"/>
      <c r="AO783" s="17"/>
    </row>
    <row r="784" ht="14.25" customHeight="1">
      <c r="A784" s="25"/>
      <c r="B784" s="16"/>
      <c r="C784" s="3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36"/>
      <c r="AK784" s="37"/>
      <c r="AL784" s="37"/>
      <c r="AM784" s="37"/>
      <c r="AN784" s="17"/>
      <c r="AO784" s="17"/>
    </row>
    <row r="785" ht="14.25" customHeight="1">
      <c r="A785" s="25"/>
      <c r="B785" s="16"/>
      <c r="C785" s="3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36"/>
      <c r="AK785" s="37"/>
      <c r="AL785" s="37"/>
      <c r="AM785" s="37"/>
      <c r="AN785" s="17"/>
      <c r="AO785" s="17"/>
    </row>
    <row r="786" ht="14.25" customHeight="1">
      <c r="A786" s="25"/>
      <c r="B786" s="16"/>
      <c r="C786" s="3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36"/>
      <c r="AK786" s="37"/>
      <c r="AL786" s="37"/>
      <c r="AM786" s="37"/>
      <c r="AN786" s="17"/>
      <c r="AO786" s="17"/>
    </row>
    <row r="787" ht="14.25" customHeight="1">
      <c r="A787" s="25"/>
      <c r="B787" s="16"/>
      <c r="C787" s="3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36"/>
      <c r="AK787" s="37"/>
      <c r="AL787" s="37"/>
      <c r="AM787" s="37"/>
      <c r="AN787" s="17"/>
      <c r="AO787" s="17"/>
    </row>
    <row r="788" ht="14.25" customHeight="1">
      <c r="A788" s="25"/>
      <c r="B788" s="16"/>
      <c r="C788" s="3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36"/>
      <c r="AK788" s="37"/>
      <c r="AL788" s="37"/>
      <c r="AM788" s="37"/>
      <c r="AN788" s="17"/>
      <c r="AO788" s="17"/>
    </row>
    <row r="789" ht="14.25" customHeight="1">
      <c r="A789" s="25"/>
      <c r="B789" s="16"/>
      <c r="C789" s="3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36"/>
      <c r="AK789" s="37"/>
      <c r="AL789" s="37"/>
      <c r="AM789" s="37"/>
      <c r="AN789" s="17"/>
      <c r="AO789" s="17"/>
    </row>
    <row r="790" ht="14.25" customHeight="1">
      <c r="A790" s="25"/>
      <c r="B790" s="16"/>
      <c r="C790" s="3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36"/>
      <c r="AK790" s="37"/>
      <c r="AL790" s="37"/>
      <c r="AM790" s="37"/>
      <c r="AN790" s="17"/>
      <c r="AO790" s="17"/>
    </row>
    <row r="791" ht="14.25" customHeight="1">
      <c r="A791" s="25"/>
      <c r="B791" s="16"/>
      <c r="C791" s="3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36"/>
      <c r="AK791" s="37"/>
      <c r="AL791" s="37"/>
      <c r="AM791" s="37"/>
      <c r="AN791" s="17"/>
      <c r="AO791" s="17"/>
    </row>
    <row r="792" ht="14.25" customHeight="1">
      <c r="A792" s="25"/>
      <c r="B792" s="16"/>
      <c r="C792" s="3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36"/>
      <c r="AK792" s="37"/>
      <c r="AL792" s="37"/>
      <c r="AM792" s="37"/>
      <c r="AN792" s="17"/>
      <c r="AO792" s="17"/>
    </row>
    <row r="793" ht="14.25" customHeight="1">
      <c r="A793" s="25"/>
      <c r="B793" s="16"/>
      <c r="C793" s="3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36"/>
      <c r="AK793" s="37"/>
      <c r="AL793" s="37"/>
      <c r="AM793" s="37"/>
      <c r="AN793" s="17"/>
      <c r="AO793" s="17"/>
    </row>
    <row r="794" ht="14.25" customHeight="1">
      <c r="A794" s="25"/>
      <c r="B794" s="16"/>
      <c r="C794" s="3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36"/>
      <c r="AK794" s="37"/>
      <c r="AL794" s="37"/>
      <c r="AM794" s="37"/>
      <c r="AN794" s="17"/>
      <c r="AO794" s="17"/>
    </row>
    <row r="795" ht="14.25" customHeight="1">
      <c r="A795" s="25"/>
      <c r="B795" s="16"/>
      <c r="C795" s="3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36"/>
      <c r="AK795" s="37"/>
      <c r="AL795" s="37"/>
      <c r="AM795" s="37"/>
      <c r="AN795" s="17"/>
      <c r="AO795" s="17"/>
    </row>
    <row r="796" ht="14.25" customHeight="1">
      <c r="A796" s="25"/>
      <c r="B796" s="16"/>
      <c r="C796" s="3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36"/>
      <c r="AK796" s="37"/>
      <c r="AL796" s="37"/>
      <c r="AM796" s="37"/>
      <c r="AN796" s="17"/>
      <c r="AO796" s="17"/>
    </row>
    <row r="797" ht="14.25" customHeight="1">
      <c r="A797" s="25"/>
      <c r="B797" s="16"/>
      <c r="C797" s="3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36"/>
      <c r="AK797" s="37"/>
      <c r="AL797" s="37"/>
      <c r="AM797" s="37"/>
      <c r="AN797" s="17"/>
      <c r="AO797" s="17"/>
    </row>
    <row r="798" ht="14.25" customHeight="1">
      <c r="A798" s="25"/>
      <c r="B798" s="16"/>
      <c r="C798" s="3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36"/>
      <c r="AK798" s="37"/>
      <c r="AL798" s="37"/>
      <c r="AM798" s="37"/>
      <c r="AN798" s="17"/>
      <c r="AO798" s="17"/>
    </row>
    <row r="799" ht="14.25" customHeight="1">
      <c r="A799" s="25"/>
      <c r="B799" s="16"/>
      <c r="C799" s="3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36"/>
      <c r="AK799" s="37"/>
      <c r="AL799" s="37"/>
      <c r="AM799" s="37"/>
      <c r="AN799" s="17"/>
      <c r="AO799" s="17"/>
    </row>
    <row r="800" ht="14.25" customHeight="1">
      <c r="A800" s="25"/>
      <c r="B800" s="16"/>
      <c r="C800" s="3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36"/>
      <c r="AK800" s="37"/>
      <c r="AL800" s="37"/>
      <c r="AM800" s="37"/>
      <c r="AN800" s="17"/>
      <c r="AO800" s="17"/>
    </row>
    <row r="801" ht="14.25" customHeight="1">
      <c r="A801" s="25"/>
      <c r="B801" s="16"/>
      <c r="C801" s="3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36"/>
      <c r="AK801" s="37"/>
      <c r="AL801" s="37"/>
      <c r="AM801" s="37"/>
      <c r="AN801" s="17"/>
      <c r="AO801" s="17"/>
    </row>
    <row r="802" ht="14.25" customHeight="1">
      <c r="A802" s="25"/>
      <c r="B802" s="16"/>
      <c r="C802" s="3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36"/>
      <c r="AK802" s="37"/>
      <c r="AL802" s="37"/>
      <c r="AM802" s="37"/>
      <c r="AN802" s="17"/>
      <c r="AO802" s="17"/>
    </row>
    <row r="803" ht="14.25" customHeight="1">
      <c r="A803" s="25"/>
      <c r="B803" s="16"/>
      <c r="C803" s="3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36"/>
      <c r="AK803" s="37"/>
      <c r="AL803" s="37"/>
      <c r="AM803" s="37"/>
      <c r="AN803" s="17"/>
      <c r="AO803" s="17"/>
    </row>
    <row r="804" ht="14.25" customHeight="1">
      <c r="A804" s="25"/>
      <c r="B804" s="16"/>
      <c r="C804" s="3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36"/>
      <c r="AK804" s="37"/>
      <c r="AL804" s="37"/>
      <c r="AM804" s="37"/>
      <c r="AN804" s="17"/>
      <c r="AO804" s="17"/>
    </row>
    <row r="805" ht="14.25" customHeight="1">
      <c r="A805" s="25"/>
      <c r="B805" s="16"/>
      <c r="C805" s="3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36"/>
      <c r="AK805" s="37"/>
      <c r="AL805" s="37"/>
      <c r="AM805" s="37"/>
      <c r="AN805" s="17"/>
      <c r="AO805" s="17"/>
    </row>
    <row r="806" ht="14.25" customHeight="1">
      <c r="A806" s="25"/>
      <c r="B806" s="16"/>
      <c r="C806" s="3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36"/>
      <c r="AK806" s="37"/>
      <c r="AL806" s="37"/>
      <c r="AM806" s="37"/>
      <c r="AN806" s="17"/>
      <c r="AO806" s="17"/>
    </row>
    <row r="807" ht="14.25" customHeight="1">
      <c r="A807" s="25"/>
      <c r="B807" s="16"/>
      <c r="C807" s="3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36"/>
      <c r="AK807" s="37"/>
      <c r="AL807" s="37"/>
      <c r="AM807" s="37"/>
      <c r="AN807" s="17"/>
      <c r="AO807" s="17"/>
    </row>
    <row r="808" ht="14.25" customHeight="1">
      <c r="A808" s="25"/>
      <c r="B808" s="16"/>
      <c r="C808" s="3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36"/>
      <c r="AK808" s="37"/>
      <c r="AL808" s="37"/>
      <c r="AM808" s="37"/>
      <c r="AN808" s="17"/>
      <c r="AO808" s="17"/>
    </row>
    <row r="809" ht="14.25" customHeight="1">
      <c r="A809" s="25"/>
      <c r="B809" s="16"/>
      <c r="C809" s="3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36"/>
      <c r="AK809" s="37"/>
      <c r="AL809" s="37"/>
      <c r="AM809" s="37"/>
      <c r="AN809" s="17"/>
      <c r="AO809" s="17"/>
    </row>
    <row r="810" ht="14.25" customHeight="1">
      <c r="A810" s="25"/>
      <c r="B810" s="16"/>
      <c r="C810" s="3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36"/>
      <c r="AK810" s="37"/>
      <c r="AL810" s="37"/>
      <c r="AM810" s="37"/>
      <c r="AN810" s="17"/>
      <c r="AO810" s="17"/>
    </row>
    <row r="811" ht="14.25" customHeight="1">
      <c r="A811" s="25"/>
      <c r="B811" s="16"/>
      <c r="C811" s="3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36"/>
      <c r="AK811" s="37"/>
      <c r="AL811" s="37"/>
      <c r="AM811" s="37"/>
      <c r="AN811" s="17"/>
      <c r="AO811" s="17"/>
    </row>
    <row r="812" ht="14.25" customHeight="1">
      <c r="A812" s="25"/>
      <c r="B812" s="16"/>
      <c r="C812" s="3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36"/>
      <c r="AK812" s="37"/>
      <c r="AL812" s="37"/>
      <c r="AM812" s="37"/>
      <c r="AN812" s="17"/>
      <c r="AO812" s="17"/>
    </row>
    <row r="813" ht="14.25" customHeight="1">
      <c r="A813" s="25"/>
      <c r="B813" s="16"/>
      <c r="C813" s="3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36"/>
      <c r="AK813" s="37"/>
      <c r="AL813" s="37"/>
      <c r="AM813" s="37"/>
      <c r="AN813" s="17"/>
      <c r="AO813" s="17"/>
    </row>
    <row r="814" ht="14.25" customHeight="1">
      <c r="A814" s="25"/>
      <c r="B814" s="16"/>
      <c r="C814" s="3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36"/>
      <c r="AK814" s="37"/>
      <c r="AL814" s="37"/>
      <c r="AM814" s="37"/>
      <c r="AN814" s="17"/>
      <c r="AO814" s="17"/>
    </row>
    <row r="815" ht="14.25" customHeight="1">
      <c r="A815" s="25"/>
      <c r="B815" s="16"/>
      <c r="C815" s="3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36"/>
      <c r="AK815" s="37"/>
      <c r="AL815" s="37"/>
      <c r="AM815" s="37"/>
      <c r="AN815" s="17"/>
      <c r="AO815" s="17"/>
    </row>
    <row r="816" ht="14.25" customHeight="1">
      <c r="A816" s="25"/>
      <c r="B816" s="16"/>
      <c r="C816" s="3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36"/>
      <c r="AK816" s="37"/>
      <c r="AL816" s="37"/>
      <c r="AM816" s="37"/>
      <c r="AN816" s="17"/>
      <c r="AO816" s="17"/>
    </row>
    <row r="817" ht="14.25" customHeight="1">
      <c r="A817" s="25"/>
      <c r="B817" s="16"/>
      <c r="C817" s="3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36"/>
      <c r="AK817" s="37"/>
      <c r="AL817" s="37"/>
      <c r="AM817" s="37"/>
      <c r="AN817" s="17"/>
      <c r="AO817" s="17"/>
    </row>
    <row r="818" ht="14.25" customHeight="1">
      <c r="A818" s="25"/>
      <c r="B818" s="16"/>
      <c r="C818" s="3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36"/>
      <c r="AK818" s="37"/>
      <c r="AL818" s="37"/>
      <c r="AM818" s="37"/>
      <c r="AN818" s="17"/>
      <c r="AO818" s="17"/>
    </row>
    <row r="819" ht="14.25" customHeight="1">
      <c r="A819" s="25"/>
      <c r="B819" s="16"/>
      <c r="C819" s="3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36"/>
      <c r="AK819" s="37"/>
      <c r="AL819" s="37"/>
      <c r="AM819" s="37"/>
      <c r="AN819" s="17"/>
      <c r="AO819" s="17"/>
    </row>
    <row r="820" ht="14.25" customHeight="1">
      <c r="A820" s="25"/>
      <c r="B820" s="16"/>
      <c r="C820" s="3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36"/>
      <c r="AK820" s="37"/>
      <c r="AL820" s="37"/>
      <c r="AM820" s="37"/>
      <c r="AN820" s="17"/>
      <c r="AO820" s="17"/>
    </row>
    <row r="821" ht="14.25" customHeight="1">
      <c r="A821" s="25"/>
      <c r="B821" s="16"/>
      <c r="C821" s="3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36"/>
      <c r="AK821" s="37"/>
      <c r="AL821" s="37"/>
      <c r="AM821" s="37"/>
      <c r="AN821" s="17"/>
      <c r="AO821" s="17"/>
    </row>
    <row r="822" ht="14.25" customHeight="1">
      <c r="A822" s="25"/>
      <c r="B822" s="16"/>
      <c r="C822" s="3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36"/>
      <c r="AK822" s="37"/>
      <c r="AL822" s="37"/>
      <c r="AM822" s="37"/>
      <c r="AN822" s="17"/>
      <c r="AO822" s="17"/>
    </row>
    <row r="823" ht="14.25" customHeight="1">
      <c r="A823" s="25"/>
      <c r="B823" s="16"/>
      <c r="C823" s="3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36"/>
      <c r="AK823" s="37"/>
      <c r="AL823" s="37"/>
      <c r="AM823" s="37"/>
      <c r="AN823" s="17"/>
      <c r="AO823" s="17"/>
    </row>
    <row r="824" ht="14.25" customHeight="1">
      <c r="A824" s="25"/>
      <c r="B824" s="16"/>
      <c r="C824" s="3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36"/>
      <c r="AK824" s="37"/>
      <c r="AL824" s="37"/>
      <c r="AM824" s="37"/>
      <c r="AN824" s="17"/>
      <c r="AO824" s="17"/>
    </row>
    <row r="825" ht="14.25" customHeight="1">
      <c r="A825" s="25"/>
      <c r="B825" s="16"/>
      <c r="C825" s="3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36"/>
      <c r="AK825" s="37"/>
      <c r="AL825" s="37"/>
      <c r="AM825" s="37"/>
      <c r="AN825" s="17"/>
      <c r="AO825" s="17"/>
    </row>
    <row r="826" ht="14.25" customHeight="1">
      <c r="A826" s="25"/>
      <c r="B826" s="16"/>
      <c r="C826" s="3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36"/>
      <c r="AK826" s="37"/>
      <c r="AL826" s="37"/>
      <c r="AM826" s="37"/>
      <c r="AN826" s="17"/>
      <c r="AO826" s="17"/>
    </row>
    <row r="827" ht="14.25" customHeight="1">
      <c r="A827" s="25"/>
      <c r="B827" s="16"/>
      <c r="C827" s="3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36"/>
      <c r="AK827" s="37"/>
      <c r="AL827" s="37"/>
      <c r="AM827" s="37"/>
      <c r="AN827" s="17"/>
      <c r="AO827" s="17"/>
    </row>
    <row r="828" ht="14.25" customHeight="1">
      <c r="A828" s="25"/>
      <c r="B828" s="16"/>
      <c r="C828" s="3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36"/>
      <c r="AK828" s="37"/>
      <c r="AL828" s="37"/>
      <c r="AM828" s="37"/>
      <c r="AN828" s="17"/>
      <c r="AO828" s="17"/>
    </row>
    <row r="829" ht="14.25" customHeight="1">
      <c r="A829" s="25"/>
      <c r="B829" s="16"/>
      <c r="C829" s="3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36"/>
      <c r="AK829" s="37"/>
      <c r="AL829" s="37"/>
      <c r="AM829" s="37"/>
      <c r="AN829" s="17"/>
      <c r="AO829" s="17"/>
    </row>
    <row r="830" ht="14.25" customHeight="1">
      <c r="A830" s="25"/>
      <c r="B830" s="16"/>
      <c r="C830" s="3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36"/>
      <c r="AK830" s="37"/>
      <c r="AL830" s="37"/>
      <c r="AM830" s="37"/>
      <c r="AN830" s="17"/>
      <c r="AO830" s="17"/>
    </row>
    <row r="831" ht="14.25" customHeight="1">
      <c r="A831" s="25"/>
      <c r="B831" s="16"/>
      <c r="C831" s="3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36"/>
      <c r="AK831" s="37"/>
      <c r="AL831" s="37"/>
      <c r="AM831" s="37"/>
      <c r="AN831" s="17"/>
      <c r="AO831" s="17"/>
    </row>
    <row r="832" ht="14.25" customHeight="1">
      <c r="A832" s="25"/>
      <c r="B832" s="16"/>
      <c r="C832" s="3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36"/>
      <c r="AK832" s="37"/>
      <c r="AL832" s="37"/>
      <c r="AM832" s="37"/>
      <c r="AN832" s="17"/>
      <c r="AO832" s="17"/>
    </row>
    <row r="833" ht="14.25" customHeight="1">
      <c r="A833" s="25"/>
      <c r="B833" s="16"/>
      <c r="C833" s="3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36"/>
      <c r="AK833" s="37"/>
      <c r="AL833" s="37"/>
      <c r="AM833" s="37"/>
      <c r="AN833" s="17"/>
      <c r="AO833" s="17"/>
    </row>
    <row r="834" ht="14.25" customHeight="1">
      <c r="A834" s="25"/>
      <c r="B834" s="16"/>
      <c r="C834" s="3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36"/>
      <c r="AK834" s="37"/>
      <c r="AL834" s="37"/>
      <c r="AM834" s="37"/>
      <c r="AN834" s="17"/>
      <c r="AO834" s="17"/>
    </row>
    <row r="835" ht="14.25" customHeight="1">
      <c r="A835" s="25"/>
      <c r="B835" s="16"/>
      <c r="C835" s="3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36"/>
      <c r="AK835" s="37"/>
      <c r="AL835" s="37"/>
      <c r="AM835" s="37"/>
      <c r="AN835" s="17"/>
      <c r="AO835" s="17"/>
    </row>
    <row r="836" ht="14.25" customHeight="1">
      <c r="A836" s="25"/>
      <c r="B836" s="16"/>
      <c r="C836" s="3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36"/>
      <c r="AK836" s="37"/>
      <c r="AL836" s="37"/>
      <c r="AM836" s="37"/>
      <c r="AN836" s="17"/>
      <c r="AO836" s="17"/>
    </row>
    <row r="837" ht="14.25" customHeight="1">
      <c r="A837" s="25"/>
      <c r="B837" s="16"/>
      <c r="C837" s="3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36"/>
      <c r="AK837" s="37"/>
      <c r="AL837" s="37"/>
      <c r="AM837" s="37"/>
      <c r="AN837" s="17"/>
      <c r="AO837" s="17"/>
    </row>
    <row r="838" ht="14.25" customHeight="1">
      <c r="A838" s="25"/>
      <c r="B838" s="16"/>
      <c r="C838" s="3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36"/>
      <c r="AK838" s="37"/>
      <c r="AL838" s="37"/>
      <c r="AM838" s="37"/>
      <c r="AN838" s="17"/>
      <c r="AO838" s="17"/>
    </row>
    <row r="839" ht="14.25" customHeight="1">
      <c r="A839" s="25"/>
      <c r="B839" s="16"/>
      <c r="C839" s="3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36"/>
      <c r="AK839" s="37"/>
      <c r="AL839" s="37"/>
      <c r="AM839" s="37"/>
      <c r="AN839" s="17"/>
      <c r="AO839" s="17"/>
    </row>
    <row r="840" ht="14.25" customHeight="1">
      <c r="A840" s="25"/>
      <c r="B840" s="16"/>
      <c r="C840" s="3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36"/>
      <c r="AK840" s="37"/>
      <c r="AL840" s="37"/>
      <c r="AM840" s="37"/>
      <c r="AN840" s="17"/>
      <c r="AO840" s="17"/>
    </row>
    <row r="841" ht="14.25" customHeight="1">
      <c r="A841" s="25"/>
      <c r="B841" s="16"/>
      <c r="C841" s="3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36"/>
      <c r="AK841" s="37"/>
      <c r="AL841" s="37"/>
      <c r="AM841" s="37"/>
      <c r="AN841" s="17"/>
      <c r="AO841" s="17"/>
    </row>
    <row r="842" ht="14.25" customHeight="1">
      <c r="A842" s="25"/>
      <c r="B842" s="16"/>
      <c r="C842" s="3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36"/>
      <c r="AK842" s="37"/>
      <c r="AL842" s="37"/>
      <c r="AM842" s="37"/>
      <c r="AN842" s="17"/>
      <c r="AO842" s="17"/>
    </row>
    <row r="843" ht="14.25" customHeight="1">
      <c r="A843" s="25"/>
      <c r="B843" s="16"/>
      <c r="C843" s="3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36"/>
      <c r="AK843" s="37"/>
      <c r="AL843" s="37"/>
      <c r="AM843" s="37"/>
      <c r="AN843" s="17"/>
      <c r="AO843" s="17"/>
    </row>
    <row r="844" ht="14.25" customHeight="1">
      <c r="A844" s="25"/>
      <c r="B844" s="16"/>
      <c r="C844" s="3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36"/>
      <c r="AK844" s="37"/>
      <c r="AL844" s="37"/>
      <c r="AM844" s="37"/>
      <c r="AN844" s="17"/>
      <c r="AO844" s="17"/>
    </row>
    <row r="845" ht="14.25" customHeight="1">
      <c r="A845" s="25"/>
      <c r="B845" s="16"/>
      <c r="C845" s="3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36"/>
      <c r="AK845" s="37"/>
      <c r="AL845" s="37"/>
      <c r="AM845" s="37"/>
      <c r="AN845" s="17"/>
      <c r="AO845" s="17"/>
    </row>
    <row r="846" ht="14.25" customHeight="1">
      <c r="A846" s="25"/>
      <c r="B846" s="16"/>
      <c r="C846" s="3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36"/>
      <c r="AK846" s="37"/>
      <c r="AL846" s="37"/>
      <c r="AM846" s="37"/>
      <c r="AN846" s="17"/>
      <c r="AO846" s="17"/>
    </row>
    <row r="847" ht="14.25" customHeight="1">
      <c r="A847" s="25"/>
      <c r="B847" s="16"/>
      <c r="C847" s="3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36"/>
      <c r="AK847" s="37"/>
      <c r="AL847" s="37"/>
      <c r="AM847" s="37"/>
      <c r="AN847" s="17"/>
      <c r="AO847" s="17"/>
    </row>
    <row r="848" ht="14.25" customHeight="1">
      <c r="A848" s="25"/>
      <c r="B848" s="16"/>
      <c r="C848" s="3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36"/>
      <c r="AK848" s="37"/>
      <c r="AL848" s="37"/>
      <c r="AM848" s="37"/>
      <c r="AN848" s="17"/>
      <c r="AO848" s="17"/>
    </row>
    <row r="849" ht="14.25" customHeight="1">
      <c r="A849" s="25"/>
      <c r="B849" s="16"/>
      <c r="C849" s="3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36"/>
      <c r="AK849" s="37"/>
      <c r="AL849" s="37"/>
      <c r="AM849" s="37"/>
      <c r="AN849" s="17"/>
      <c r="AO849" s="17"/>
    </row>
    <row r="850" ht="14.25" customHeight="1">
      <c r="A850" s="25"/>
      <c r="B850" s="16"/>
      <c r="C850" s="3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36"/>
      <c r="AK850" s="37"/>
      <c r="AL850" s="37"/>
      <c r="AM850" s="37"/>
      <c r="AN850" s="17"/>
      <c r="AO850" s="17"/>
    </row>
    <row r="851" ht="14.25" customHeight="1">
      <c r="A851" s="25"/>
      <c r="B851" s="16"/>
      <c r="C851" s="3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36"/>
      <c r="AK851" s="37"/>
      <c r="AL851" s="37"/>
      <c r="AM851" s="37"/>
      <c r="AN851" s="17"/>
      <c r="AO851" s="17"/>
    </row>
    <row r="852" ht="14.25" customHeight="1">
      <c r="A852" s="25"/>
      <c r="B852" s="16"/>
      <c r="C852" s="3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36"/>
      <c r="AK852" s="37"/>
      <c r="AL852" s="37"/>
      <c r="AM852" s="37"/>
      <c r="AN852" s="17"/>
      <c r="AO852" s="17"/>
    </row>
    <row r="853" ht="14.25" customHeight="1">
      <c r="A853" s="25"/>
      <c r="B853" s="16"/>
      <c r="C853" s="3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36"/>
      <c r="AK853" s="37"/>
      <c r="AL853" s="37"/>
      <c r="AM853" s="37"/>
      <c r="AN853" s="17"/>
      <c r="AO853" s="17"/>
    </row>
    <row r="854" ht="14.25" customHeight="1">
      <c r="A854" s="25"/>
      <c r="B854" s="16"/>
      <c r="C854" s="3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36"/>
      <c r="AK854" s="37"/>
      <c r="AL854" s="37"/>
      <c r="AM854" s="37"/>
      <c r="AN854" s="17"/>
      <c r="AO854" s="17"/>
    </row>
    <row r="855" ht="14.25" customHeight="1">
      <c r="A855" s="25"/>
      <c r="B855" s="16"/>
      <c r="C855" s="3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36"/>
      <c r="AK855" s="37"/>
      <c r="AL855" s="37"/>
      <c r="AM855" s="37"/>
      <c r="AN855" s="17"/>
      <c r="AO855" s="17"/>
    </row>
    <row r="856" ht="14.25" customHeight="1">
      <c r="A856" s="25"/>
      <c r="B856" s="16"/>
      <c r="C856" s="3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36"/>
      <c r="AK856" s="37"/>
      <c r="AL856" s="37"/>
      <c r="AM856" s="37"/>
      <c r="AN856" s="17"/>
      <c r="AO856" s="17"/>
    </row>
    <row r="857" ht="14.25" customHeight="1">
      <c r="A857" s="25"/>
      <c r="B857" s="16"/>
      <c r="C857" s="3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36"/>
      <c r="AK857" s="37"/>
      <c r="AL857" s="37"/>
      <c r="AM857" s="37"/>
      <c r="AN857" s="17"/>
      <c r="AO857" s="17"/>
    </row>
    <row r="858" ht="14.25" customHeight="1">
      <c r="A858" s="25"/>
      <c r="B858" s="16"/>
      <c r="C858" s="3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36"/>
      <c r="AK858" s="37"/>
      <c r="AL858" s="37"/>
      <c r="AM858" s="37"/>
      <c r="AN858" s="17"/>
      <c r="AO858" s="17"/>
    </row>
    <row r="859" ht="14.25" customHeight="1">
      <c r="A859" s="25"/>
      <c r="B859" s="16"/>
      <c r="C859" s="3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36"/>
      <c r="AK859" s="37"/>
      <c r="AL859" s="37"/>
      <c r="AM859" s="37"/>
      <c r="AN859" s="17"/>
      <c r="AO859" s="17"/>
    </row>
    <row r="860" ht="14.25" customHeight="1">
      <c r="A860" s="25"/>
      <c r="B860" s="16"/>
      <c r="C860" s="3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36"/>
      <c r="AK860" s="37"/>
      <c r="AL860" s="37"/>
      <c r="AM860" s="37"/>
      <c r="AN860" s="17"/>
      <c r="AO860" s="17"/>
    </row>
    <row r="861" ht="14.25" customHeight="1">
      <c r="A861" s="25"/>
      <c r="B861" s="16"/>
      <c r="C861" s="3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36"/>
      <c r="AK861" s="37"/>
      <c r="AL861" s="37"/>
      <c r="AM861" s="37"/>
      <c r="AN861" s="17"/>
      <c r="AO861" s="17"/>
    </row>
    <row r="862" ht="14.25" customHeight="1">
      <c r="A862" s="25"/>
      <c r="B862" s="16"/>
      <c r="C862" s="3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36"/>
      <c r="AK862" s="37"/>
      <c r="AL862" s="37"/>
      <c r="AM862" s="37"/>
      <c r="AN862" s="17"/>
      <c r="AO862" s="17"/>
    </row>
    <row r="863" ht="14.25" customHeight="1">
      <c r="A863" s="25"/>
      <c r="B863" s="16"/>
      <c r="C863" s="3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36"/>
      <c r="AK863" s="37"/>
      <c r="AL863" s="37"/>
      <c r="AM863" s="37"/>
      <c r="AN863" s="17"/>
      <c r="AO863" s="17"/>
    </row>
    <row r="864" ht="14.25" customHeight="1">
      <c r="A864" s="25"/>
      <c r="B864" s="16"/>
      <c r="C864" s="3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36"/>
      <c r="AK864" s="37"/>
      <c r="AL864" s="37"/>
      <c r="AM864" s="37"/>
      <c r="AN864" s="17"/>
      <c r="AO864" s="17"/>
    </row>
    <row r="865" ht="14.25" customHeight="1">
      <c r="A865" s="25"/>
      <c r="B865" s="16"/>
      <c r="C865" s="3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36"/>
      <c r="AK865" s="37"/>
      <c r="AL865" s="37"/>
      <c r="AM865" s="37"/>
      <c r="AN865" s="17"/>
      <c r="AO865" s="17"/>
    </row>
    <row r="866" ht="14.25" customHeight="1">
      <c r="A866" s="25"/>
      <c r="B866" s="16"/>
      <c r="C866" s="3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36"/>
      <c r="AK866" s="37"/>
      <c r="AL866" s="37"/>
      <c r="AM866" s="37"/>
      <c r="AN866" s="17"/>
      <c r="AO866" s="17"/>
    </row>
    <row r="867" ht="14.25" customHeight="1">
      <c r="A867" s="25"/>
      <c r="B867" s="16"/>
      <c r="C867" s="3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36"/>
      <c r="AK867" s="37"/>
      <c r="AL867" s="37"/>
      <c r="AM867" s="37"/>
      <c r="AN867" s="17"/>
      <c r="AO867" s="17"/>
    </row>
    <row r="868" ht="14.25" customHeight="1">
      <c r="A868" s="25"/>
      <c r="B868" s="16"/>
      <c r="C868" s="3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36"/>
      <c r="AK868" s="37"/>
      <c r="AL868" s="37"/>
      <c r="AM868" s="37"/>
      <c r="AN868" s="17"/>
      <c r="AO868" s="17"/>
    </row>
    <row r="869" ht="14.25" customHeight="1">
      <c r="A869" s="25"/>
      <c r="B869" s="16"/>
      <c r="C869" s="3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36"/>
      <c r="AK869" s="37"/>
      <c r="AL869" s="37"/>
      <c r="AM869" s="37"/>
      <c r="AN869" s="17"/>
      <c r="AO869" s="17"/>
    </row>
    <row r="870" ht="14.25" customHeight="1">
      <c r="A870" s="25"/>
      <c r="B870" s="16"/>
      <c r="C870" s="3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36"/>
      <c r="AK870" s="37"/>
      <c r="AL870" s="37"/>
      <c r="AM870" s="37"/>
      <c r="AN870" s="17"/>
      <c r="AO870" s="17"/>
    </row>
    <row r="871" ht="14.25" customHeight="1">
      <c r="A871" s="25"/>
      <c r="B871" s="16"/>
      <c r="C871" s="3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36"/>
      <c r="AK871" s="37"/>
      <c r="AL871" s="37"/>
      <c r="AM871" s="37"/>
      <c r="AN871" s="17"/>
      <c r="AO871" s="17"/>
    </row>
    <row r="872" ht="14.25" customHeight="1">
      <c r="A872" s="25"/>
      <c r="B872" s="16"/>
      <c r="C872" s="3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36"/>
      <c r="AK872" s="37"/>
      <c r="AL872" s="37"/>
      <c r="AM872" s="37"/>
      <c r="AN872" s="17"/>
      <c r="AO872" s="17"/>
    </row>
    <row r="873" ht="14.25" customHeight="1">
      <c r="A873" s="25"/>
      <c r="B873" s="16"/>
      <c r="C873" s="3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36"/>
      <c r="AK873" s="37"/>
      <c r="AL873" s="37"/>
      <c r="AM873" s="37"/>
      <c r="AN873" s="17"/>
      <c r="AO873" s="17"/>
    </row>
    <row r="874" ht="14.25" customHeight="1">
      <c r="A874" s="25"/>
      <c r="B874" s="16"/>
      <c r="C874" s="3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36"/>
      <c r="AK874" s="37"/>
      <c r="AL874" s="37"/>
      <c r="AM874" s="37"/>
      <c r="AN874" s="17"/>
      <c r="AO874" s="17"/>
    </row>
    <row r="875" ht="14.25" customHeight="1">
      <c r="A875" s="25"/>
      <c r="B875" s="16"/>
      <c r="C875" s="3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36"/>
      <c r="AK875" s="37"/>
      <c r="AL875" s="37"/>
      <c r="AM875" s="37"/>
      <c r="AN875" s="17"/>
      <c r="AO875" s="17"/>
    </row>
    <row r="876" ht="14.25" customHeight="1">
      <c r="A876" s="25"/>
      <c r="B876" s="16"/>
      <c r="C876" s="3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36"/>
      <c r="AK876" s="37"/>
      <c r="AL876" s="37"/>
      <c r="AM876" s="37"/>
      <c r="AN876" s="17"/>
      <c r="AO876" s="17"/>
    </row>
    <row r="877" ht="14.25" customHeight="1">
      <c r="A877" s="25"/>
      <c r="B877" s="16"/>
      <c r="C877" s="3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36"/>
      <c r="AK877" s="37"/>
      <c r="AL877" s="37"/>
      <c r="AM877" s="37"/>
      <c r="AN877" s="17"/>
      <c r="AO877" s="17"/>
    </row>
    <row r="878" ht="14.25" customHeight="1">
      <c r="A878" s="25"/>
      <c r="B878" s="16"/>
      <c r="C878" s="3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36"/>
      <c r="AK878" s="37"/>
      <c r="AL878" s="37"/>
      <c r="AM878" s="37"/>
      <c r="AN878" s="17"/>
      <c r="AO878" s="17"/>
    </row>
    <row r="879" ht="14.25" customHeight="1">
      <c r="A879" s="25"/>
      <c r="B879" s="16"/>
      <c r="C879" s="3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36"/>
      <c r="AK879" s="37"/>
      <c r="AL879" s="37"/>
      <c r="AM879" s="37"/>
      <c r="AN879" s="17"/>
      <c r="AO879" s="17"/>
    </row>
    <row r="880" ht="14.25" customHeight="1">
      <c r="A880" s="25"/>
      <c r="B880" s="16"/>
      <c r="C880" s="3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36"/>
      <c r="AK880" s="37"/>
      <c r="AL880" s="37"/>
      <c r="AM880" s="37"/>
      <c r="AN880" s="17"/>
      <c r="AO880" s="17"/>
    </row>
    <row r="881" ht="14.25" customHeight="1">
      <c r="A881" s="25"/>
      <c r="B881" s="16"/>
      <c r="C881" s="3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36"/>
      <c r="AK881" s="37"/>
      <c r="AL881" s="37"/>
      <c r="AM881" s="37"/>
      <c r="AN881" s="17"/>
      <c r="AO881" s="17"/>
    </row>
    <row r="882" ht="14.25" customHeight="1">
      <c r="A882" s="25"/>
      <c r="B882" s="16"/>
      <c r="C882" s="3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36"/>
      <c r="AK882" s="37"/>
      <c r="AL882" s="37"/>
      <c r="AM882" s="37"/>
      <c r="AN882" s="17"/>
      <c r="AO882" s="17"/>
    </row>
    <row r="883" ht="14.25" customHeight="1">
      <c r="A883" s="25"/>
      <c r="B883" s="16"/>
      <c r="C883" s="3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36"/>
      <c r="AK883" s="37"/>
      <c r="AL883" s="37"/>
      <c r="AM883" s="37"/>
      <c r="AN883" s="17"/>
      <c r="AO883" s="17"/>
    </row>
    <row r="884" ht="14.25" customHeight="1">
      <c r="A884" s="25"/>
      <c r="B884" s="16"/>
      <c r="C884" s="3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36"/>
      <c r="AK884" s="37"/>
      <c r="AL884" s="37"/>
      <c r="AM884" s="37"/>
      <c r="AN884" s="17"/>
      <c r="AO884" s="17"/>
    </row>
    <row r="885" ht="14.25" customHeight="1">
      <c r="A885" s="25"/>
      <c r="B885" s="16"/>
      <c r="C885" s="3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36"/>
      <c r="AK885" s="37"/>
      <c r="AL885" s="37"/>
      <c r="AM885" s="37"/>
      <c r="AN885" s="17"/>
      <c r="AO885" s="17"/>
    </row>
    <row r="886" ht="14.25" customHeight="1">
      <c r="A886" s="25"/>
      <c r="B886" s="16"/>
      <c r="C886" s="3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36"/>
      <c r="AK886" s="37"/>
      <c r="AL886" s="37"/>
      <c r="AM886" s="37"/>
      <c r="AN886" s="17"/>
      <c r="AO886" s="17"/>
    </row>
    <row r="887" ht="14.25" customHeight="1">
      <c r="A887" s="25"/>
      <c r="B887" s="16"/>
      <c r="C887" s="3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36"/>
      <c r="AK887" s="37"/>
      <c r="AL887" s="37"/>
      <c r="AM887" s="37"/>
      <c r="AN887" s="17"/>
      <c r="AO887" s="17"/>
    </row>
    <row r="888" ht="14.25" customHeight="1">
      <c r="A888" s="25"/>
      <c r="B888" s="16"/>
      <c r="C888" s="3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36"/>
      <c r="AK888" s="37"/>
      <c r="AL888" s="37"/>
      <c r="AM888" s="37"/>
      <c r="AN888" s="17"/>
      <c r="AO888" s="17"/>
    </row>
    <row r="889" ht="14.25" customHeight="1">
      <c r="A889" s="25"/>
      <c r="B889" s="16"/>
      <c r="C889" s="3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36"/>
      <c r="AK889" s="37"/>
      <c r="AL889" s="37"/>
      <c r="AM889" s="37"/>
      <c r="AN889" s="17"/>
      <c r="AO889" s="17"/>
    </row>
    <row r="890" ht="14.25" customHeight="1">
      <c r="A890" s="25"/>
      <c r="B890" s="16"/>
      <c r="C890" s="3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36"/>
      <c r="AK890" s="37"/>
      <c r="AL890" s="37"/>
      <c r="AM890" s="37"/>
      <c r="AN890" s="17"/>
      <c r="AO890" s="17"/>
    </row>
    <row r="891" ht="14.25" customHeight="1">
      <c r="A891" s="25"/>
      <c r="B891" s="16"/>
      <c r="C891" s="3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36"/>
      <c r="AK891" s="37"/>
      <c r="AL891" s="37"/>
      <c r="AM891" s="37"/>
      <c r="AN891" s="17"/>
      <c r="AO891" s="17"/>
    </row>
    <row r="892" ht="14.25" customHeight="1">
      <c r="A892" s="25"/>
      <c r="B892" s="16"/>
      <c r="C892" s="3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36"/>
      <c r="AK892" s="37"/>
      <c r="AL892" s="37"/>
      <c r="AM892" s="37"/>
      <c r="AN892" s="17"/>
      <c r="AO892" s="17"/>
    </row>
    <row r="893" ht="14.25" customHeight="1">
      <c r="A893" s="25"/>
      <c r="B893" s="16"/>
      <c r="C893" s="3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36"/>
      <c r="AK893" s="37"/>
      <c r="AL893" s="37"/>
      <c r="AM893" s="37"/>
      <c r="AN893" s="17"/>
      <c r="AO893" s="17"/>
    </row>
    <row r="894" ht="14.25" customHeight="1">
      <c r="A894" s="25"/>
      <c r="B894" s="16"/>
      <c r="C894" s="3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36"/>
      <c r="AK894" s="37"/>
      <c r="AL894" s="37"/>
      <c r="AM894" s="37"/>
      <c r="AN894" s="17"/>
      <c r="AO894" s="17"/>
    </row>
    <row r="895" ht="14.25" customHeight="1">
      <c r="A895" s="25"/>
      <c r="B895" s="16"/>
      <c r="C895" s="3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36"/>
      <c r="AK895" s="37"/>
      <c r="AL895" s="37"/>
      <c r="AM895" s="37"/>
      <c r="AN895" s="17"/>
      <c r="AO895" s="17"/>
    </row>
    <row r="896" ht="14.25" customHeight="1">
      <c r="A896" s="25"/>
      <c r="B896" s="16"/>
      <c r="C896" s="3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36"/>
      <c r="AK896" s="37"/>
      <c r="AL896" s="37"/>
      <c r="AM896" s="37"/>
      <c r="AN896" s="17"/>
      <c r="AO896" s="17"/>
    </row>
    <row r="897" ht="14.25" customHeight="1">
      <c r="A897" s="25"/>
      <c r="B897" s="16"/>
      <c r="C897" s="3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36"/>
      <c r="AK897" s="37"/>
      <c r="AL897" s="37"/>
      <c r="AM897" s="37"/>
      <c r="AN897" s="17"/>
      <c r="AO897" s="17"/>
    </row>
    <row r="898" ht="14.25" customHeight="1">
      <c r="A898" s="25"/>
      <c r="B898" s="16"/>
      <c r="C898" s="3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36"/>
      <c r="AK898" s="37"/>
      <c r="AL898" s="37"/>
      <c r="AM898" s="37"/>
      <c r="AN898" s="17"/>
      <c r="AO898" s="17"/>
    </row>
    <row r="899" ht="14.25" customHeight="1">
      <c r="A899" s="25"/>
      <c r="B899" s="16"/>
      <c r="C899" s="3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36"/>
      <c r="AK899" s="37"/>
      <c r="AL899" s="37"/>
      <c r="AM899" s="37"/>
      <c r="AN899" s="17"/>
      <c r="AO899" s="17"/>
    </row>
    <row r="900" ht="14.25" customHeight="1">
      <c r="A900" s="25"/>
      <c r="B900" s="16"/>
      <c r="C900" s="3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36"/>
      <c r="AK900" s="37"/>
      <c r="AL900" s="37"/>
      <c r="AM900" s="37"/>
      <c r="AN900" s="17"/>
      <c r="AO900" s="17"/>
    </row>
    <row r="901" ht="14.25" customHeight="1">
      <c r="A901" s="25"/>
      <c r="B901" s="16"/>
      <c r="C901" s="3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36"/>
      <c r="AK901" s="37"/>
      <c r="AL901" s="37"/>
      <c r="AM901" s="37"/>
      <c r="AN901" s="17"/>
      <c r="AO901" s="17"/>
    </row>
    <row r="902" ht="14.25" customHeight="1">
      <c r="A902" s="25"/>
      <c r="B902" s="16"/>
      <c r="C902" s="3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36"/>
      <c r="AK902" s="37"/>
      <c r="AL902" s="37"/>
      <c r="AM902" s="37"/>
      <c r="AN902" s="17"/>
      <c r="AO902" s="17"/>
    </row>
    <row r="903" ht="14.25" customHeight="1">
      <c r="A903" s="25"/>
      <c r="B903" s="16"/>
      <c r="C903" s="3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36"/>
      <c r="AK903" s="37"/>
      <c r="AL903" s="37"/>
      <c r="AM903" s="37"/>
      <c r="AN903" s="17"/>
      <c r="AO903" s="17"/>
    </row>
    <row r="904" ht="14.25" customHeight="1">
      <c r="A904" s="25"/>
      <c r="B904" s="16"/>
      <c r="C904" s="3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36"/>
      <c r="AK904" s="37"/>
      <c r="AL904" s="37"/>
      <c r="AM904" s="37"/>
      <c r="AN904" s="17"/>
      <c r="AO904" s="17"/>
    </row>
    <row r="905" ht="14.25" customHeight="1">
      <c r="A905" s="25"/>
      <c r="B905" s="16"/>
      <c r="C905" s="3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36"/>
      <c r="AK905" s="37"/>
      <c r="AL905" s="37"/>
      <c r="AM905" s="37"/>
      <c r="AN905" s="17"/>
      <c r="AO905" s="17"/>
    </row>
    <row r="906" ht="14.25" customHeight="1">
      <c r="A906" s="25"/>
      <c r="B906" s="16"/>
      <c r="C906" s="3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36"/>
      <c r="AK906" s="37"/>
      <c r="AL906" s="37"/>
      <c r="AM906" s="37"/>
      <c r="AN906" s="17"/>
      <c r="AO906" s="17"/>
    </row>
    <row r="907" ht="14.25" customHeight="1">
      <c r="A907" s="25"/>
      <c r="B907" s="16"/>
      <c r="C907" s="3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36"/>
      <c r="AK907" s="37"/>
      <c r="AL907" s="37"/>
      <c r="AM907" s="37"/>
      <c r="AN907" s="17"/>
      <c r="AO907" s="17"/>
    </row>
    <row r="908" ht="14.25" customHeight="1">
      <c r="A908" s="25"/>
      <c r="B908" s="16"/>
      <c r="C908" s="3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36"/>
      <c r="AK908" s="37"/>
      <c r="AL908" s="37"/>
      <c r="AM908" s="37"/>
      <c r="AN908" s="17"/>
      <c r="AO908" s="17"/>
    </row>
    <row r="909" ht="14.25" customHeight="1">
      <c r="A909" s="25"/>
      <c r="B909" s="16"/>
      <c r="C909" s="3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36"/>
      <c r="AK909" s="37"/>
      <c r="AL909" s="37"/>
      <c r="AM909" s="37"/>
      <c r="AN909" s="17"/>
      <c r="AO909" s="17"/>
    </row>
    <row r="910" ht="14.25" customHeight="1">
      <c r="A910" s="25"/>
      <c r="B910" s="16"/>
      <c r="C910" s="3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36"/>
      <c r="AK910" s="37"/>
      <c r="AL910" s="37"/>
      <c r="AM910" s="37"/>
      <c r="AN910" s="17"/>
      <c r="AO910" s="17"/>
    </row>
    <row r="911" ht="14.25" customHeight="1">
      <c r="A911" s="25"/>
      <c r="B911" s="16"/>
      <c r="C911" s="3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36"/>
      <c r="AK911" s="37"/>
      <c r="AL911" s="37"/>
      <c r="AM911" s="37"/>
      <c r="AN911" s="17"/>
      <c r="AO911" s="17"/>
    </row>
    <row r="912" ht="14.25" customHeight="1">
      <c r="A912" s="25"/>
      <c r="B912" s="16"/>
      <c r="C912" s="3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36"/>
      <c r="AK912" s="37"/>
      <c r="AL912" s="37"/>
      <c r="AM912" s="37"/>
      <c r="AN912" s="17"/>
      <c r="AO912" s="17"/>
    </row>
    <row r="913" ht="14.25" customHeight="1">
      <c r="A913" s="25"/>
      <c r="B913" s="16"/>
      <c r="C913" s="3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36"/>
      <c r="AK913" s="37"/>
      <c r="AL913" s="37"/>
      <c r="AM913" s="37"/>
      <c r="AN913" s="17"/>
      <c r="AO913" s="17"/>
    </row>
    <row r="914" ht="14.25" customHeight="1">
      <c r="A914" s="25"/>
      <c r="B914" s="16"/>
      <c r="C914" s="3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36"/>
      <c r="AK914" s="37"/>
      <c r="AL914" s="37"/>
      <c r="AM914" s="37"/>
      <c r="AN914" s="17"/>
      <c r="AO914" s="17"/>
    </row>
    <row r="915" ht="14.25" customHeight="1">
      <c r="A915" s="25"/>
      <c r="B915" s="16"/>
      <c r="C915" s="3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36"/>
      <c r="AK915" s="37"/>
      <c r="AL915" s="37"/>
      <c r="AM915" s="37"/>
      <c r="AN915" s="17"/>
      <c r="AO915" s="17"/>
    </row>
    <row r="916" ht="14.25" customHeight="1">
      <c r="A916" s="25"/>
      <c r="B916" s="16"/>
      <c r="C916" s="3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36"/>
      <c r="AK916" s="37"/>
      <c r="AL916" s="37"/>
      <c r="AM916" s="37"/>
      <c r="AN916" s="17"/>
      <c r="AO916" s="17"/>
    </row>
    <row r="917" ht="14.25" customHeight="1">
      <c r="A917" s="25"/>
      <c r="B917" s="16"/>
      <c r="C917" s="3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36"/>
      <c r="AK917" s="37"/>
      <c r="AL917" s="37"/>
      <c r="AM917" s="37"/>
      <c r="AN917" s="17"/>
      <c r="AO917" s="17"/>
    </row>
    <row r="918" ht="14.25" customHeight="1">
      <c r="A918" s="25"/>
      <c r="B918" s="16"/>
      <c r="C918" s="3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36"/>
      <c r="AK918" s="37"/>
      <c r="AL918" s="37"/>
      <c r="AM918" s="37"/>
      <c r="AN918" s="17"/>
      <c r="AO918" s="17"/>
    </row>
    <row r="919" ht="14.25" customHeight="1">
      <c r="A919" s="25"/>
      <c r="B919" s="16"/>
      <c r="C919" s="3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36"/>
      <c r="AK919" s="37"/>
      <c r="AL919" s="37"/>
      <c r="AM919" s="37"/>
      <c r="AN919" s="17"/>
      <c r="AO919" s="17"/>
    </row>
    <row r="920" ht="14.25" customHeight="1">
      <c r="A920" s="25"/>
      <c r="B920" s="16"/>
      <c r="C920" s="3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36"/>
      <c r="AK920" s="37"/>
      <c r="AL920" s="37"/>
      <c r="AM920" s="37"/>
      <c r="AN920" s="17"/>
      <c r="AO920" s="17"/>
    </row>
    <row r="921" ht="14.25" customHeight="1">
      <c r="A921" s="25"/>
      <c r="B921" s="16"/>
      <c r="C921" s="3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36"/>
      <c r="AK921" s="37"/>
      <c r="AL921" s="37"/>
      <c r="AM921" s="37"/>
      <c r="AN921" s="17"/>
      <c r="AO921" s="17"/>
    </row>
    <row r="922" ht="14.25" customHeight="1">
      <c r="A922" s="25"/>
      <c r="B922" s="16"/>
      <c r="C922" s="3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36"/>
      <c r="AK922" s="37"/>
      <c r="AL922" s="37"/>
      <c r="AM922" s="37"/>
      <c r="AN922" s="17"/>
      <c r="AO922" s="17"/>
    </row>
    <row r="923" ht="14.25" customHeight="1">
      <c r="A923" s="25"/>
      <c r="B923" s="16"/>
      <c r="C923" s="3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36"/>
      <c r="AK923" s="37"/>
      <c r="AL923" s="37"/>
      <c r="AM923" s="37"/>
      <c r="AN923" s="17"/>
      <c r="AO923" s="17"/>
    </row>
    <row r="924" ht="14.25" customHeight="1">
      <c r="A924" s="25"/>
      <c r="B924" s="16"/>
      <c r="C924" s="3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36"/>
      <c r="AK924" s="37"/>
      <c r="AL924" s="37"/>
      <c r="AM924" s="37"/>
      <c r="AN924" s="17"/>
      <c r="AO924" s="17"/>
    </row>
    <row r="925" ht="14.25" customHeight="1">
      <c r="A925" s="25"/>
      <c r="B925" s="16"/>
      <c r="C925" s="3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36"/>
      <c r="AK925" s="37"/>
      <c r="AL925" s="37"/>
      <c r="AM925" s="37"/>
      <c r="AN925" s="17"/>
      <c r="AO925" s="17"/>
    </row>
    <row r="926" ht="14.25" customHeight="1">
      <c r="A926" s="25"/>
      <c r="B926" s="16"/>
      <c r="C926" s="3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36"/>
      <c r="AK926" s="37"/>
      <c r="AL926" s="37"/>
      <c r="AM926" s="37"/>
      <c r="AN926" s="17"/>
      <c r="AO926" s="17"/>
    </row>
    <row r="927" ht="14.25" customHeight="1">
      <c r="A927" s="25"/>
      <c r="B927" s="16"/>
      <c r="C927" s="3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36"/>
      <c r="AK927" s="37"/>
      <c r="AL927" s="37"/>
      <c r="AM927" s="37"/>
      <c r="AN927" s="17"/>
      <c r="AO927" s="17"/>
    </row>
    <row r="928" ht="14.25" customHeight="1">
      <c r="A928" s="25"/>
      <c r="B928" s="16"/>
      <c r="C928" s="3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36"/>
      <c r="AK928" s="37"/>
      <c r="AL928" s="37"/>
      <c r="AM928" s="37"/>
      <c r="AN928" s="17"/>
      <c r="AO928" s="17"/>
    </row>
    <row r="929" ht="14.25" customHeight="1">
      <c r="A929" s="25"/>
      <c r="B929" s="16"/>
      <c r="C929" s="3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36"/>
      <c r="AK929" s="37"/>
      <c r="AL929" s="37"/>
      <c r="AM929" s="37"/>
      <c r="AN929" s="17"/>
      <c r="AO929" s="17"/>
    </row>
    <row r="930" ht="14.25" customHeight="1">
      <c r="A930" s="25"/>
      <c r="B930" s="16"/>
      <c r="C930" s="3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36"/>
      <c r="AK930" s="37"/>
      <c r="AL930" s="37"/>
      <c r="AM930" s="37"/>
      <c r="AN930" s="17"/>
      <c r="AO930" s="17"/>
    </row>
    <row r="931" ht="14.25" customHeight="1">
      <c r="A931" s="25"/>
      <c r="B931" s="16"/>
      <c r="C931" s="3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36"/>
      <c r="AK931" s="37"/>
      <c r="AL931" s="37"/>
      <c r="AM931" s="37"/>
      <c r="AN931" s="17"/>
      <c r="AO931" s="17"/>
    </row>
    <row r="932" ht="14.25" customHeight="1">
      <c r="A932" s="25"/>
      <c r="B932" s="16"/>
      <c r="C932" s="3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36"/>
      <c r="AK932" s="37"/>
      <c r="AL932" s="37"/>
      <c r="AM932" s="37"/>
      <c r="AN932" s="17"/>
      <c r="AO932" s="17"/>
    </row>
    <row r="933" ht="14.25" customHeight="1">
      <c r="A933" s="25"/>
      <c r="B933" s="16"/>
      <c r="C933" s="3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36"/>
      <c r="AK933" s="37"/>
      <c r="AL933" s="37"/>
      <c r="AM933" s="37"/>
      <c r="AN933" s="17"/>
      <c r="AO933" s="17"/>
    </row>
    <row r="934" ht="14.25" customHeight="1">
      <c r="A934" s="25"/>
      <c r="B934" s="16"/>
      <c r="C934" s="3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36"/>
      <c r="AK934" s="37"/>
      <c r="AL934" s="37"/>
      <c r="AM934" s="37"/>
      <c r="AN934" s="17"/>
      <c r="AO934" s="17"/>
    </row>
    <row r="935" ht="14.25" customHeight="1">
      <c r="A935" s="25"/>
      <c r="B935" s="16"/>
      <c r="C935" s="3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36"/>
      <c r="AK935" s="37"/>
      <c r="AL935" s="37"/>
      <c r="AM935" s="37"/>
      <c r="AN935" s="17"/>
      <c r="AO935" s="17"/>
    </row>
    <row r="936" ht="14.25" customHeight="1">
      <c r="A936" s="25"/>
      <c r="B936" s="16"/>
      <c r="C936" s="3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36"/>
      <c r="AK936" s="37"/>
      <c r="AL936" s="37"/>
      <c r="AM936" s="37"/>
      <c r="AN936" s="17"/>
      <c r="AO936" s="17"/>
    </row>
    <row r="937" ht="14.25" customHeight="1">
      <c r="A937" s="25"/>
      <c r="B937" s="16"/>
      <c r="C937" s="3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36"/>
      <c r="AK937" s="37"/>
      <c r="AL937" s="37"/>
      <c r="AM937" s="37"/>
      <c r="AN937" s="17"/>
      <c r="AO937" s="17"/>
    </row>
    <row r="938" ht="14.25" customHeight="1">
      <c r="A938" s="25"/>
      <c r="B938" s="16"/>
      <c r="C938" s="3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36"/>
      <c r="AK938" s="37"/>
      <c r="AL938" s="37"/>
      <c r="AM938" s="37"/>
      <c r="AN938" s="17"/>
      <c r="AO938" s="17"/>
    </row>
    <row r="939" ht="14.25" customHeight="1">
      <c r="A939" s="25"/>
      <c r="B939" s="16"/>
      <c r="C939" s="3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36"/>
      <c r="AK939" s="37"/>
      <c r="AL939" s="37"/>
      <c r="AM939" s="37"/>
      <c r="AN939" s="17"/>
      <c r="AO939" s="17"/>
    </row>
    <row r="940" ht="14.25" customHeight="1">
      <c r="A940" s="25"/>
      <c r="B940" s="16"/>
      <c r="C940" s="3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36"/>
      <c r="AK940" s="37"/>
      <c r="AL940" s="37"/>
      <c r="AM940" s="37"/>
      <c r="AN940" s="17"/>
      <c r="AO940" s="17"/>
    </row>
    <row r="941" ht="14.25" customHeight="1">
      <c r="A941" s="25"/>
      <c r="B941" s="16"/>
      <c r="C941" s="3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36"/>
      <c r="AK941" s="37"/>
      <c r="AL941" s="37"/>
      <c r="AM941" s="37"/>
      <c r="AN941" s="17"/>
      <c r="AO941" s="17"/>
    </row>
    <row r="942" ht="14.25" customHeight="1">
      <c r="A942" s="25"/>
      <c r="B942" s="16"/>
      <c r="C942" s="3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36"/>
      <c r="AK942" s="37"/>
      <c r="AL942" s="37"/>
      <c r="AM942" s="37"/>
      <c r="AN942" s="17"/>
      <c r="AO942" s="17"/>
    </row>
    <row r="943" ht="14.25" customHeight="1">
      <c r="A943" s="25"/>
      <c r="B943" s="16"/>
      <c r="C943" s="3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36"/>
      <c r="AK943" s="37"/>
      <c r="AL943" s="37"/>
      <c r="AM943" s="37"/>
      <c r="AN943" s="17"/>
      <c r="AO943" s="17"/>
    </row>
    <row r="944" ht="14.25" customHeight="1">
      <c r="A944" s="25"/>
      <c r="B944" s="16"/>
      <c r="C944" s="3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36"/>
      <c r="AK944" s="37"/>
      <c r="AL944" s="37"/>
      <c r="AM944" s="37"/>
      <c r="AN944" s="17"/>
      <c r="AO944" s="17"/>
    </row>
    <row r="945" ht="14.25" customHeight="1">
      <c r="A945" s="25"/>
      <c r="B945" s="16"/>
      <c r="C945" s="3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36"/>
      <c r="AK945" s="37"/>
      <c r="AL945" s="37"/>
      <c r="AM945" s="37"/>
      <c r="AN945" s="17"/>
      <c r="AO945" s="17"/>
    </row>
    <row r="946" ht="14.25" customHeight="1">
      <c r="A946" s="25"/>
      <c r="B946" s="16"/>
      <c r="C946" s="3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36"/>
      <c r="AK946" s="37"/>
      <c r="AL946" s="37"/>
      <c r="AM946" s="37"/>
      <c r="AN946" s="17"/>
      <c r="AO946" s="17"/>
    </row>
    <row r="947" ht="14.25" customHeight="1">
      <c r="A947" s="25"/>
      <c r="B947" s="16"/>
      <c r="C947" s="3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36"/>
      <c r="AK947" s="37"/>
      <c r="AL947" s="37"/>
      <c r="AM947" s="37"/>
      <c r="AN947" s="17"/>
      <c r="AO947" s="17"/>
    </row>
    <row r="948" ht="14.25" customHeight="1">
      <c r="A948" s="25"/>
      <c r="B948" s="16"/>
      <c r="C948" s="3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36"/>
      <c r="AK948" s="37"/>
      <c r="AL948" s="37"/>
      <c r="AM948" s="37"/>
      <c r="AN948" s="17"/>
      <c r="AO948" s="17"/>
    </row>
    <row r="949" ht="14.25" customHeight="1">
      <c r="A949" s="25"/>
      <c r="B949" s="16"/>
      <c r="C949" s="3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36"/>
      <c r="AK949" s="37"/>
      <c r="AL949" s="37"/>
      <c r="AM949" s="37"/>
      <c r="AN949" s="17"/>
      <c r="AO949" s="17"/>
    </row>
    <row r="950" ht="14.25" customHeight="1">
      <c r="A950" s="25"/>
      <c r="B950" s="16"/>
      <c r="C950" s="3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36"/>
      <c r="AK950" s="37"/>
      <c r="AL950" s="37"/>
      <c r="AM950" s="37"/>
      <c r="AN950" s="17"/>
      <c r="AO950" s="17"/>
    </row>
    <row r="951" ht="14.25" customHeight="1">
      <c r="A951" s="25"/>
      <c r="B951" s="16"/>
      <c r="C951" s="3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36"/>
      <c r="AK951" s="37"/>
      <c r="AL951" s="37"/>
      <c r="AM951" s="37"/>
      <c r="AN951" s="17"/>
      <c r="AO951" s="17"/>
    </row>
    <row r="952" ht="14.25" customHeight="1">
      <c r="A952" s="25"/>
      <c r="B952" s="16"/>
      <c r="C952" s="3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36"/>
      <c r="AK952" s="37"/>
      <c r="AL952" s="37"/>
      <c r="AM952" s="37"/>
      <c r="AN952" s="17"/>
      <c r="AO952" s="17"/>
    </row>
    <row r="953" ht="14.25" customHeight="1">
      <c r="A953" s="25"/>
      <c r="B953" s="16"/>
      <c r="C953" s="3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36"/>
      <c r="AK953" s="37"/>
      <c r="AL953" s="37"/>
      <c r="AM953" s="37"/>
      <c r="AN953" s="17"/>
      <c r="AO953" s="17"/>
    </row>
    <row r="954" ht="14.25" customHeight="1">
      <c r="A954" s="25"/>
      <c r="B954" s="16"/>
      <c r="C954" s="3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36"/>
      <c r="AK954" s="37"/>
      <c r="AL954" s="37"/>
      <c r="AM954" s="37"/>
      <c r="AN954" s="17"/>
      <c r="AO954" s="17"/>
    </row>
    <row r="955" ht="14.25" customHeight="1">
      <c r="A955" s="25"/>
      <c r="B955" s="16"/>
      <c r="C955" s="3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36"/>
      <c r="AK955" s="37"/>
      <c r="AL955" s="37"/>
      <c r="AM955" s="37"/>
      <c r="AN955" s="17"/>
      <c r="AO955" s="17"/>
    </row>
    <row r="956" ht="14.25" customHeight="1">
      <c r="A956" s="25"/>
      <c r="B956" s="16"/>
      <c r="C956" s="3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36"/>
      <c r="AK956" s="37"/>
      <c r="AL956" s="37"/>
      <c r="AM956" s="37"/>
      <c r="AN956" s="17"/>
      <c r="AO956" s="17"/>
    </row>
    <row r="957" ht="14.25" customHeight="1">
      <c r="A957" s="25"/>
      <c r="B957" s="16"/>
      <c r="C957" s="3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36"/>
      <c r="AK957" s="37"/>
      <c r="AL957" s="37"/>
      <c r="AM957" s="37"/>
      <c r="AN957" s="17"/>
      <c r="AO957" s="17"/>
    </row>
    <row r="958" ht="14.25" customHeight="1">
      <c r="A958" s="25"/>
      <c r="B958" s="16"/>
      <c r="C958" s="3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36"/>
      <c r="AK958" s="37"/>
      <c r="AL958" s="37"/>
      <c r="AM958" s="37"/>
      <c r="AN958" s="17"/>
      <c r="AO958" s="17"/>
    </row>
    <row r="959" ht="14.25" customHeight="1">
      <c r="A959" s="25"/>
      <c r="B959" s="16"/>
      <c r="C959" s="3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36"/>
      <c r="AK959" s="37"/>
      <c r="AL959" s="37"/>
      <c r="AM959" s="37"/>
      <c r="AN959" s="17"/>
      <c r="AO959" s="17"/>
    </row>
    <row r="960" ht="14.25" customHeight="1">
      <c r="A960" s="25"/>
      <c r="B960" s="16"/>
      <c r="C960" s="3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36"/>
      <c r="AK960" s="37"/>
      <c r="AL960" s="37"/>
      <c r="AM960" s="37"/>
      <c r="AN960" s="17"/>
      <c r="AO960" s="17"/>
    </row>
    <row r="961" ht="14.25" customHeight="1">
      <c r="A961" s="25"/>
      <c r="B961" s="16"/>
      <c r="C961" s="3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36"/>
      <c r="AK961" s="37"/>
      <c r="AL961" s="37"/>
      <c r="AM961" s="37"/>
      <c r="AN961" s="17"/>
      <c r="AO961" s="17"/>
    </row>
    <row r="962" ht="14.25" customHeight="1">
      <c r="A962" s="25"/>
      <c r="B962" s="16"/>
      <c r="C962" s="3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36"/>
      <c r="AK962" s="37"/>
      <c r="AL962" s="37"/>
      <c r="AM962" s="37"/>
      <c r="AN962" s="17"/>
      <c r="AO962" s="17"/>
    </row>
    <row r="963" ht="14.25" customHeight="1">
      <c r="A963" s="25"/>
      <c r="B963" s="16"/>
      <c r="C963" s="3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36"/>
      <c r="AK963" s="37"/>
      <c r="AL963" s="37"/>
      <c r="AM963" s="37"/>
      <c r="AN963" s="17"/>
      <c r="AO963" s="17"/>
    </row>
    <row r="964" ht="14.25" customHeight="1">
      <c r="A964" s="25"/>
      <c r="B964" s="16"/>
      <c r="C964" s="3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36"/>
      <c r="AK964" s="37"/>
      <c r="AL964" s="37"/>
      <c r="AM964" s="37"/>
      <c r="AN964" s="17"/>
      <c r="AO964" s="17"/>
    </row>
    <row r="965" ht="14.25" customHeight="1">
      <c r="A965" s="25"/>
      <c r="B965" s="16"/>
      <c r="C965" s="3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36"/>
      <c r="AK965" s="37"/>
      <c r="AL965" s="37"/>
      <c r="AM965" s="37"/>
      <c r="AN965" s="17"/>
      <c r="AO965" s="17"/>
    </row>
    <row r="966" ht="14.25" customHeight="1">
      <c r="A966" s="25"/>
      <c r="B966" s="16"/>
      <c r="C966" s="3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36"/>
      <c r="AK966" s="37"/>
      <c r="AL966" s="37"/>
      <c r="AM966" s="37"/>
      <c r="AN966" s="17"/>
      <c r="AO966" s="17"/>
    </row>
    <row r="967" ht="14.25" customHeight="1">
      <c r="A967" s="25"/>
      <c r="B967" s="16"/>
      <c r="C967" s="3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36"/>
      <c r="AK967" s="37"/>
      <c r="AL967" s="37"/>
      <c r="AM967" s="37"/>
      <c r="AN967" s="17"/>
      <c r="AO967" s="17"/>
    </row>
    <row r="968" ht="14.25" customHeight="1">
      <c r="A968" s="25"/>
      <c r="B968" s="16"/>
      <c r="C968" s="3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36"/>
      <c r="AK968" s="37"/>
      <c r="AL968" s="37"/>
      <c r="AM968" s="37"/>
      <c r="AN968" s="17"/>
      <c r="AO968" s="17"/>
    </row>
    <row r="969" ht="14.25" customHeight="1">
      <c r="A969" s="25"/>
      <c r="B969" s="16"/>
      <c r="C969" s="3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36"/>
      <c r="AK969" s="37"/>
      <c r="AL969" s="37"/>
      <c r="AM969" s="37"/>
      <c r="AN969" s="17"/>
      <c r="AO969" s="17"/>
    </row>
    <row r="970" ht="14.25" customHeight="1">
      <c r="A970" s="25"/>
      <c r="B970" s="16"/>
      <c r="C970" s="3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36"/>
      <c r="AK970" s="37"/>
      <c r="AL970" s="37"/>
      <c r="AM970" s="37"/>
      <c r="AN970" s="17"/>
      <c r="AO970" s="17"/>
    </row>
    <row r="971" ht="14.25" customHeight="1">
      <c r="A971" s="25"/>
      <c r="B971" s="16"/>
      <c r="C971" s="3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36"/>
      <c r="AK971" s="37"/>
      <c r="AL971" s="37"/>
      <c r="AM971" s="37"/>
      <c r="AN971" s="17"/>
      <c r="AO971" s="17"/>
    </row>
    <row r="972" ht="14.25" customHeight="1">
      <c r="A972" s="25"/>
      <c r="B972" s="16"/>
      <c r="C972" s="3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36"/>
      <c r="AK972" s="37"/>
      <c r="AL972" s="37"/>
      <c r="AM972" s="37"/>
      <c r="AN972" s="17"/>
      <c r="AO972" s="17"/>
    </row>
    <row r="973" ht="14.25" customHeight="1">
      <c r="A973" s="25"/>
      <c r="B973" s="16"/>
      <c r="C973" s="3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36"/>
      <c r="AK973" s="37"/>
      <c r="AL973" s="37"/>
      <c r="AM973" s="37"/>
      <c r="AN973" s="17"/>
      <c r="AO973" s="17"/>
    </row>
    <row r="974" ht="14.25" customHeight="1">
      <c r="A974" s="25"/>
      <c r="B974" s="16"/>
      <c r="C974" s="3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36"/>
      <c r="AK974" s="37"/>
      <c r="AL974" s="37"/>
      <c r="AM974" s="37"/>
      <c r="AN974" s="17"/>
      <c r="AO974" s="17"/>
    </row>
    <row r="975" ht="14.25" customHeight="1">
      <c r="A975" s="25"/>
      <c r="B975" s="16"/>
      <c r="C975" s="3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36"/>
      <c r="AK975" s="37"/>
      <c r="AL975" s="37"/>
      <c r="AM975" s="37"/>
      <c r="AN975" s="17"/>
      <c r="AO975" s="17"/>
    </row>
    <row r="976" ht="14.25" customHeight="1">
      <c r="A976" s="25"/>
      <c r="B976" s="16"/>
      <c r="C976" s="3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36"/>
      <c r="AK976" s="37"/>
      <c r="AL976" s="37"/>
      <c r="AM976" s="37"/>
      <c r="AN976" s="17"/>
      <c r="AO976" s="17"/>
    </row>
    <row r="977" ht="14.25" customHeight="1">
      <c r="A977" s="25"/>
      <c r="B977" s="16"/>
      <c r="C977" s="3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36"/>
      <c r="AK977" s="37"/>
      <c r="AL977" s="37"/>
      <c r="AM977" s="37"/>
      <c r="AN977" s="17"/>
      <c r="AO977" s="17"/>
    </row>
    <row r="978" ht="14.25" customHeight="1">
      <c r="A978" s="25"/>
      <c r="B978" s="16"/>
      <c r="C978" s="3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36"/>
      <c r="AK978" s="37"/>
      <c r="AL978" s="37"/>
      <c r="AM978" s="37"/>
      <c r="AN978" s="17"/>
      <c r="AO978" s="17"/>
    </row>
    <row r="979" ht="14.25" customHeight="1">
      <c r="A979" s="25"/>
      <c r="B979" s="16"/>
      <c r="C979" s="3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36"/>
      <c r="AK979" s="37"/>
      <c r="AL979" s="37"/>
      <c r="AM979" s="37"/>
      <c r="AN979" s="17"/>
      <c r="AO979" s="17"/>
    </row>
    <row r="980" ht="14.25" customHeight="1">
      <c r="A980" s="25"/>
      <c r="B980" s="16"/>
      <c r="C980" s="3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36"/>
      <c r="AK980" s="37"/>
      <c r="AL980" s="37"/>
      <c r="AM980" s="37"/>
      <c r="AN980" s="17"/>
      <c r="AO980" s="17"/>
    </row>
    <row r="981" ht="14.25" customHeight="1">
      <c r="A981" s="25"/>
      <c r="B981" s="16"/>
      <c r="C981" s="3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36"/>
      <c r="AK981" s="37"/>
      <c r="AL981" s="37"/>
      <c r="AM981" s="37"/>
      <c r="AN981" s="17"/>
      <c r="AO981" s="17"/>
    </row>
    <row r="982" ht="14.25" customHeight="1">
      <c r="A982" s="25"/>
      <c r="B982" s="16"/>
      <c r="C982" s="3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36"/>
      <c r="AK982" s="37"/>
      <c r="AL982" s="37"/>
      <c r="AM982" s="37"/>
      <c r="AN982" s="17"/>
      <c r="AO982" s="17"/>
    </row>
    <row r="983" ht="14.25" customHeight="1">
      <c r="A983" s="25"/>
      <c r="B983" s="16"/>
      <c r="C983" s="3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36"/>
      <c r="AK983" s="37"/>
      <c r="AL983" s="37"/>
      <c r="AM983" s="37"/>
      <c r="AN983" s="17"/>
      <c r="AO983" s="17"/>
    </row>
    <row r="984" ht="14.25" customHeight="1">
      <c r="A984" s="25"/>
      <c r="B984" s="16"/>
      <c r="C984" s="3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36"/>
      <c r="AK984" s="37"/>
      <c r="AL984" s="37"/>
      <c r="AM984" s="37"/>
      <c r="AN984" s="17"/>
      <c r="AO984" s="17"/>
    </row>
    <row r="985" ht="14.25" customHeight="1">
      <c r="A985" s="25"/>
      <c r="B985" s="16"/>
      <c r="C985" s="3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36"/>
      <c r="AK985" s="37"/>
      <c r="AL985" s="37"/>
      <c r="AM985" s="37"/>
      <c r="AN985" s="17"/>
      <c r="AO985" s="17"/>
    </row>
    <row r="986" ht="14.25" customHeight="1">
      <c r="A986" s="25"/>
      <c r="B986" s="16"/>
      <c r="C986" s="3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36"/>
      <c r="AK986" s="37"/>
      <c r="AL986" s="37"/>
      <c r="AM986" s="37"/>
      <c r="AN986" s="17"/>
      <c r="AO986" s="17"/>
    </row>
    <row r="987" ht="14.25" customHeight="1">
      <c r="A987" s="25"/>
      <c r="B987" s="16"/>
      <c r="C987" s="3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36"/>
      <c r="AK987" s="37"/>
      <c r="AL987" s="37"/>
      <c r="AM987" s="37"/>
      <c r="AN987" s="17"/>
      <c r="AO987" s="17"/>
    </row>
    <row r="988" ht="14.25" customHeight="1">
      <c r="A988" s="25"/>
      <c r="B988" s="16"/>
      <c r="C988" s="3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36"/>
      <c r="AK988" s="37"/>
      <c r="AL988" s="37"/>
      <c r="AM988" s="37"/>
      <c r="AN988" s="17"/>
      <c r="AO988" s="17"/>
    </row>
    <row r="989" ht="14.25" customHeight="1">
      <c r="A989" s="25"/>
      <c r="B989" s="16"/>
      <c r="C989" s="3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36"/>
      <c r="AK989" s="37"/>
      <c r="AL989" s="37"/>
      <c r="AM989" s="37"/>
      <c r="AN989" s="17"/>
      <c r="AO989" s="17"/>
    </row>
    <row r="990" ht="14.25" customHeight="1">
      <c r="A990" s="25"/>
      <c r="B990" s="16"/>
      <c r="C990" s="3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36"/>
      <c r="AK990" s="37"/>
      <c r="AL990" s="37"/>
      <c r="AM990" s="37"/>
      <c r="AN990" s="17"/>
      <c r="AO990" s="17"/>
    </row>
    <row r="991" ht="14.25" customHeight="1">
      <c r="A991" s="25"/>
      <c r="B991" s="16"/>
      <c r="C991" s="3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36"/>
      <c r="AK991" s="37"/>
      <c r="AL991" s="37"/>
      <c r="AM991" s="37"/>
      <c r="AN991" s="17"/>
      <c r="AO991" s="17"/>
    </row>
    <row r="992" ht="14.25" customHeight="1">
      <c r="A992" s="25"/>
      <c r="B992" s="16"/>
      <c r="C992" s="3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36"/>
      <c r="AK992" s="37"/>
      <c r="AL992" s="37"/>
      <c r="AM992" s="37"/>
      <c r="AN992" s="17"/>
      <c r="AO992" s="17"/>
    </row>
    <row r="993" ht="14.25" customHeight="1">
      <c r="A993" s="25"/>
      <c r="B993" s="16"/>
      <c r="C993" s="3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36"/>
      <c r="AK993" s="37"/>
      <c r="AL993" s="37"/>
      <c r="AM993" s="37"/>
      <c r="AN993" s="17"/>
      <c r="AO993" s="17"/>
    </row>
    <row r="994" ht="14.25" customHeight="1">
      <c r="A994" s="25"/>
      <c r="B994" s="16"/>
      <c r="C994" s="3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36"/>
      <c r="AK994" s="37"/>
      <c r="AL994" s="37"/>
      <c r="AM994" s="37"/>
      <c r="AN994" s="17"/>
      <c r="AO994" s="17"/>
    </row>
    <row r="995" ht="14.25" customHeight="1">
      <c r="A995" s="25"/>
      <c r="B995" s="16"/>
      <c r="C995" s="3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36"/>
      <c r="AK995" s="37"/>
      <c r="AL995" s="37"/>
      <c r="AM995" s="37"/>
      <c r="AN995" s="17"/>
      <c r="AO995" s="17"/>
    </row>
    <row r="996" ht="14.25" customHeight="1">
      <c r="A996" s="25"/>
      <c r="B996" s="16"/>
      <c r="C996" s="3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36"/>
      <c r="AK996" s="37"/>
      <c r="AL996" s="37"/>
      <c r="AM996" s="37"/>
      <c r="AN996" s="17"/>
      <c r="AO996" s="17"/>
    </row>
    <row r="997" ht="14.25" customHeight="1">
      <c r="A997" s="25"/>
      <c r="B997" s="16"/>
      <c r="C997" s="3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36"/>
      <c r="AK997" s="37"/>
      <c r="AL997" s="37"/>
      <c r="AM997" s="37"/>
      <c r="AN997" s="17"/>
      <c r="AO997" s="17"/>
    </row>
    <row r="998" ht="14.25" customHeight="1">
      <c r="A998" s="25"/>
      <c r="B998" s="16"/>
      <c r="C998" s="3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36"/>
      <c r="AK998" s="37"/>
      <c r="AL998" s="37"/>
      <c r="AM998" s="37"/>
      <c r="AN998" s="17"/>
      <c r="AO998" s="17"/>
    </row>
    <row r="999" ht="14.25" customHeight="1">
      <c r="A999" s="25"/>
      <c r="B999" s="16"/>
      <c r="C999" s="3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36"/>
      <c r="AK999" s="37"/>
      <c r="AL999" s="37"/>
      <c r="AM999" s="37"/>
      <c r="AN999" s="17"/>
      <c r="AO999" s="17"/>
    </row>
    <row r="1000" ht="14.25" customHeight="1">
      <c r="A1000" s="25"/>
      <c r="B1000" s="16"/>
      <c r="C1000" s="3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36"/>
      <c r="AK1000" s="37"/>
      <c r="AL1000" s="37"/>
      <c r="AM1000" s="37"/>
      <c r="AN1000" s="17"/>
      <c r="AO1000" s="17"/>
    </row>
    <row r="1001" ht="14.25" customHeight="1">
      <c r="A1001" s="25"/>
      <c r="B1001" s="16"/>
      <c r="C1001" s="3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36"/>
      <c r="AK1001" s="37"/>
      <c r="AL1001" s="37"/>
      <c r="AM1001" s="37"/>
      <c r="AN1001" s="17"/>
      <c r="AO1001" s="17"/>
    </row>
    <row r="1002" ht="14.25" customHeight="1">
      <c r="A1002" s="25"/>
      <c r="B1002" s="16"/>
      <c r="C1002" s="3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36"/>
      <c r="AK1002" s="37"/>
      <c r="AL1002" s="37"/>
      <c r="AM1002" s="37"/>
      <c r="AN1002" s="17"/>
      <c r="AO1002" s="17"/>
    </row>
    <row r="1003" ht="14.25" customHeight="1">
      <c r="A1003" s="25"/>
      <c r="B1003" s="16"/>
      <c r="C1003" s="3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36"/>
      <c r="AK1003" s="37"/>
      <c r="AL1003" s="37"/>
      <c r="AM1003" s="37"/>
      <c r="AN1003" s="17"/>
      <c r="AO1003" s="17"/>
    </row>
    <row r="1004" ht="14.25" customHeight="1">
      <c r="A1004" s="25"/>
      <c r="B1004" s="16"/>
      <c r="C1004" s="3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36"/>
      <c r="AK1004" s="37"/>
      <c r="AL1004" s="37"/>
      <c r="AM1004" s="37"/>
      <c r="AN1004" s="17"/>
      <c r="AO1004" s="17"/>
    </row>
    <row r="1005" ht="14.25" customHeight="1">
      <c r="A1005" s="25"/>
      <c r="B1005" s="16"/>
      <c r="C1005" s="3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36"/>
      <c r="AK1005" s="37"/>
      <c r="AL1005" s="37"/>
      <c r="AM1005" s="37"/>
      <c r="AN1005" s="17"/>
      <c r="AO1005" s="17"/>
    </row>
    <row r="1006" ht="14.25" customHeight="1">
      <c r="A1006" s="25"/>
      <c r="B1006" s="16"/>
      <c r="C1006" s="3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36"/>
      <c r="AK1006" s="37"/>
      <c r="AL1006" s="37"/>
      <c r="AM1006" s="37"/>
      <c r="AN1006" s="17"/>
      <c r="AO1006" s="17"/>
    </row>
    <row r="1007" ht="14.25" customHeight="1">
      <c r="A1007" s="25"/>
      <c r="B1007" s="16"/>
      <c r="C1007" s="3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36"/>
      <c r="AK1007" s="37"/>
      <c r="AL1007" s="37"/>
      <c r="AM1007" s="37"/>
      <c r="AN1007" s="17"/>
      <c r="AO1007" s="17"/>
    </row>
    <row r="1008" ht="14.25" customHeight="1">
      <c r="A1008" s="25"/>
      <c r="B1008" s="16"/>
      <c r="C1008" s="3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36"/>
      <c r="AK1008" s="37"/>
      <c r="AL1008" s="37"/>
      <c r="AM1008" s="37"/>
      <c r="AN1008" s="17"/>
      <c r="AO1008" s="17"/>
    </row>
    <row r="1009" ht="14.25" customHeight="1">
      <c r="A1009" s="25"/>
      <c r="B1009" s="16"/>
      <c r="C1009" s="3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36"/>
      <c r="AK1009" s="37"/>
      <c r="AL1009" s="37"/>
      <c r="AM1009" s="37"/>
      <c r="AN1009" s="17"/>
      <c r="AO1009" s="17"/>
    </row>
    <row r="1010" ht="14.25" customHeight="1">
      <c r="A1010" s="25"/>
      <c r="B1010" s="16"/>
      <c r="C1010" s="3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36"/>
      <c r="AK1010" s="37"/>
      <c r="AL1010" s="37"/>
      <c r="AM1010" s="37"/>
      <c r="AN1010" s="17"/>
      <c r="AO1010" s="17"/>
    </row>
    <row r="1011" ht="14.25" customHeight="1">
      <c r="A1011" s="25"/>
      <c r="B1011" s="16"/>
      <c r="C1011" s="3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36"/>
      <c r="AK1011" s="37"/>
      <c r="AL1011" s="37"/>
      <c r="AM1011" s="37"/>
      <c r="AN1011" s="17"/>
      <c r="AO1011" s="17"/>
    </row>
    <row r="1012" ht="14.25" customHeight="1">
      <c r="A1012" s="25"/>
      <c r="B1012" s="16"/>
      <c r="C1012" s="3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36"/>
      <c r="AK1012" s="37"/>
      <c r="AL1012" s="37"/>
      <c r="AM1012" s="37"/>
      <c r="AN1012" s="17"/>
      <c r="AO1012" s="17"/>
    </row>
    <row r="1013" ht="14.25" customHeight="1">
      <c r="A1013" s="25"/>
      <c r="B1013" s="16"/>
      <c r="C1013" s="3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36"/>
      <c r="AK1013" s="37"/>
      <c r="AL1013" s="37"/>
      <c r="AM1013" s="37"/>
      <c r="AN1013" s="17"/>
      <c r="AO1013" s="17"/>
    </row>
    <row r="1014" ht="14.25" customHeight="1">
      <c r="A1014" s="25"/>
      <c r="B1014" s="16"/>
      <c r="C1014" s="3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36"/>
      <c r="AK1014" s="37"/>
      <c r="AL1014" s="37"/>
      <c r="AM1014" s="37"/>
      <c r="AN1014" s="17"/>
      <c r="AO1014" s="17"/>
    </row>
    <row r="1015" ht="14.25" customHeight="1">
      <c r="A1015" s="25"/>
      <c r="B1015" s="16"/>
      <c r="C1015" s="3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36"/>
      <c r="AK1015" s="37"/>
      <c r="AL1015" s="37"/>
      <c r="AM1015" s="37"/>
      <c r="AN1015" s="17"/>
      <c r="AO1015" s="17"/>
    </row>
    <row r="1016" ht="14.25" customHeight="1">
      <c r="A1016" s="25"/>
      <c r="B1016" s="16"/>
      <c r="C1016" s="3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36"/>
      <c r="AK1016" s="37"/>
      <c r="AL1016" s="37"/>
      <c r="AM1016" s="37"/>
      <c r="AN1016" s="17"/>
      <c r="AO1016" s="17"/>
    </row>
    <row r="1017" ht="14.25" customHeight="1">
      <c r="A1017" s="25"/>
      <c r="B1017" s="16"/>
      <c r="C1017" s="3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36"/>
      <c r="AK1017" s="37"/>
      <c r="AL1017" s="37"/>
      <c r="AM1017" s="37"/>
      <c r="AN1017" s="17"/>
      <c r="AO1017" s="17"/>
    </row>
    <row r="1018" ht="14.25" customHeight="1">
      <c r="A1018" s="25"/>
      <c r="B1018" s="16"/>
      <c r="C1018" s="3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36"/>
      <c r="AK1018" s="37"/>
      <c r="AL1018" s="37"/>
      <c r="AM1018" s="37"/>
      <c r="AN1018" s="17"/>
      <c r="AO1018" s="17"/>
    </row>
    <row r="1019" ht="14.25" customHeight="1">
      <c r="A1019" s="25"/>
      <c r="B1019" s="16"/>
      <c r="C1019" s="3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36"/>
      <c r="AK1019" s="37"/>
      <c r="AL1019" s="37"/>
      <c r="AM1019" s="37"/>
      <c r="AN1019" s="17"/>
      <c r="AO1019" s="17"/>
    </row>
    <row r="1020" ht="14.25" customHeight="1">
      <c r="A1020" s="25"/>
      <c r="B1020" s="16"/>
      <c r="C1020" s="3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36"/>
      <c r="AK1020" s="37"/>
      <c r="AL1020" s="37"/>
      <c r="AM1020" s="37"/>
      <c r="AN1020" s="17"/>
      <c r="AO1020" s="17"/>
    </row>
    <row r="1021" ht="14.25" customHeight="1">
      <c r="A1021" s="25"/>
      <c r="B1021" s="16"/>
      <c r="C1021" s="3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36"/>
      <c r="AK1021" s="37"/>
      <c r="AL1021" s="37"/>
      <c r="AM1021" s="37"/>
      <c r="AN1021" s="17"/>
      <c r="AO1021" s="17"/>
    </row>
    <row r="1022" ht="14.25" customHeight="1">
      <c r="A1022" s="25"/>
      <c r="B1022" s="16"/>
      <c r="C1022" s="3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36"/>
      <c r="AK1022" s="37"/>
      <c r="AL1022" s="37"/>
      <c r="AM1022" s="37"/>
      <c r="AN1022" s="17"/>
      <c r="AO1022" s="17"/>
    </row>
    <row r="1023" ht="14.25" customHeight="1">
      <c r="A1023" s="25"/>
      <c r="B1023" s="16"/>
      <c r="C1023" s="3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36"/>
      <c r="AK1023" s="37"/>
      <c r="AL1023" s="37"/>
      <c r="AM1023" s="37"/>
      <c r="AN1023" s="17"/>
      <c r="AO1023" s="17"/>
    </row>
    <row r="1024" ht="14.25" customHeight="1">
      <c r="A1024" s="25"/>
      <c r="B1024" s="16"/>
      <c r="C1024" s="3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36"/>
      <c r="AK1024" s="37"/>
      <c r="AL1024" s="37"/>
      <c r="AM1024" s="37"/>
      <c r="AN1024" s="17"/>
      <c r="AO1024" s="17"/>
    </row>
    <row r="1025" ht="14.25" customHeight="1">
      <c r="A1025" s="25"/>
      <c r="B1025" s="16"/>
      <c r="C1025" s="3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36"/>
      <c r="AK1025" s="37"/>
      <c r="AL1025" s="37"/>
      <c r="AM1025" s="37"/>
      <c r="AN1025" s="17"/>
      <c r="AO1025" s="17"/>
    </row>
    <row r="1026" ht="14.25" customHeight="1">
      <c r="A1026" s="25"/>
      <c r="B1026" s="16"/>
      <c r="C1026" s="3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36"/>
      <c r="AK1026" s="37"/>
      <c r="AL1026" s="37"/>
      <c r="AM1026" s="37"/>
      <c r="AN1026" s="17"/>
      <c r="AO1026" s="17"/>
    </row>
    <row r="1027" ht="14.25" customHeight="1">
      <c r="A1027" s="25"/>
      <c r="B1027" s="16"/>
      <c r="C1027" s="3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36"/>
      <c r="AK1027" s="37"/>
      <c r="AL1027" s="37"/>
      <c r="AM1027" s="37"/>
      <c r="AN1027" s="17"/>
      <c r="AO1027" s="17"/>
    </row>
    <row r="1028" ht="14.25" customHeight="1">
      <c r="A1028" s="25"/>
      <c r="B1028" s="16"/>
      <c r="C1028" s="3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36"/>
      <c r="AK1028" s="37"/>
      <c r="AL1028" s="37"/>
      <c r="AM1028" s="37"/>
      <c r="AN1028" s="17"/>
      <c r="AO1028" s="17"/>
    </row>
    <row r="1029" ht="14.25" customHeight="1">
      <c r="A1029" s="25"/>
      <c r="B1029" s="16"/>
      <c r="C1029" s="3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36"/>
      <c r="AK1029" s="37"/>
      <c r="AL1029" s="37"/>
      <c r="AM1029" s="37"/>
      <c r="AN1029" s="17"/>
      <c r="AO1029" s="17"/>
    </row>
    <row r="1030" ht="14.25" customHeight="1">
      <c r="A1030" s="25"/>
      <c r="B1030" s="16"/>
      <c r="C1030" s="3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36"/>
      <c r="AK1030" s="37"/>
      <c r="AL1030" s="37"/>
      <c r="AM1030" s="37"/>
      <c r="AN1030" s="17"/>
      <c r="AO1030" s="17"/>
    </row>
    <row r="1031" ht="14.25" customHeight="1">
      <c r="A1031" s="25"/>
      <c r="B1031" s="16"/>
      <c r="C1031" s="3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36"/>
      <c r="AK1031" s="37"/>
      <c r="AL1031" s="37"/>
      <c r="AM1031" s="37"/>
      <c r="AN1031" s="17"/>
      <c r="AO1031" s="17"/>
    </row>
    <row r="1032" ht="14.25" customHeight="1">
      <c r="A1032" s="25"/>
      <c r="B1032" s="16"/>
      <c r="C1032" s="3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36"/>
      <c r="AK1032" s="37"/>
      <c r="AL1032" s="37"/>
      <c r="AM1032" s="37"/>
      <c r="AN1032" s="17"/>
      <c r="AO1032" s="17"/>
    </row>
    <row r="1033" ht="14.25" customHeight="1">
      <c r="A1033" s="25"/>
      <c r="B1033" s="16"/>
      <c r="C1033" s="3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36"/>
      <c r="AK1033" s="37"/>
      <c r="AL1033" s="37"/>
      <c r="AM1033" s="37"/>
      <c r="AN1033" s="17"/>
      <c r="AO1033" s="17"/>
    </row>
    <row r="1034" ht="14.25" customHeight="1">
      <c r="A1034" s="25"/>
      <c r="B1034" s="16"/>
      <c r="C1034" s="3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36"/>
      <c r="AK1034" s="37"/>
      <c r="AL1034" s="37"/>
      <c r="AM1034" s="37"/>
      <c r="AN1034" s="17"/>
      <c r="AO1034" s="17"/>
    </row>
    <row r="1035" ht="14.25" customHeight="1">
      <c r="A1035" s="25"/>
      <c r="B1035" s="16"/>
      <c r="C1035" s="3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36"/>
      <c r="AK1035" s="37"/>
      <c r="AL1035" s="37"/>
      <c r="AM1035" s="37"/>
      <c r="AN1035" s="17"/>
      <c r="AO1035" s="17"/>
    </row>
    <row r="1036" ht="14.25" customHeight="1">
      <c r="A1036" s="25"/>
      <c r="B1036" s="16"/>
      <c r="C1036" s="3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36"/>
      <c r="AK1036" s="37"/>
      <c r="AL1036" s="37"/>
      <c r="AM1036" s="37"/>
      <c r="AN1036" s="17"/>
      <c r="AO1036" s="17"/>
    </row>
    <row r="1037" ht="14.25" customHeight="1">
      <c r="A1037" s="25"/>
      <c r="B1037" s="16"/>
      <c r="C1037" s="3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36"/>
      <c r="AK1037" s="37"/>
      <c r="AL1037" s="37"/>
      <c r="AM1037" s="37"/>
      <c r="AN1037" s="17"/>
      <c r="AO1037" s="17"/>
    </row>
    <row r="1038" ht="14.25" customHeight="1">
      <c r="A1038" s="25"/>
      <c r="B1038" s="16"/>
      <c r="C1038" s="3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36"/>
      <c r="AK1038" s="37"/>
      <c r="AL1038" s="37"/>
      <c r="AM1038" s="37"/>
      <c r="AN1038" s="17"/>
      <c r="AO1038" s="17"/>
    </row>
    <row r="1039" ht="14.25" customHeight="1">
      <c r="A1039" s="25"/>
      <c r="B1039" s="16"/>
      <c r="C1039" s="3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36"/>
      <c r="AK1039" s="37"/>
      <c r="AL1039" s="37"/>
      <c r="AM1039" s="37"/>
      <c r="AN1039" s="17"/>
      <c r="AO1039" s="17"/>
    </row>
    <row r="1040" ht="14.25" customHeight="1">
      <c r="A1040" s="25"/>
      <c r="B1040" s="16"/>
      <c r="C1040" s="3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36"/>
      <c r="AK1040" s="37"/>
      <c r="AL1040" s="37"/>
      <c r="AM1040" s="37"/>
      <c r="AN1040" s="17"/>
      <c r="AO1040" s="17"/>
    </row>
    <row r="1041" ht="14.25" customHeight="1">
      <c r="A1041" s="25"/>
      <c r="B1041" s="16"/>
      <c r="C1041" s="3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36"/>
      <c r="AK1041" s="37"/>
      <c r="AL1041" s="37"/>
      <c r="AM1041" s="37"/>
      <c r="AN1041" s="17"/>
      <c r="AO1041" s="17"/>
    </row>
    <row r="1042" ht="14.25" customHeight="1">
      <c r="A1042" s="25"/>
      <c r="B1042" s="16"/>
      <c r="C1042" s="3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36"/>
      <c r="AK1042" s="37"/>
      <c r="AL1042" s="37"/>
      <c r="AM1042" s="37"/>
      <c r="AN1042" s="17"/>
      <c r="AO1042" s="17"/>
    </row>
    <row r="1043" ht="14.25" customHeight="1">
      <c r="A1043" s="25"/>
      <c r="B1043" s="16"/>
      <c r="C1043" s="3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36"/>
      <c r="AK1043" s="37"/>
      <c r="AL1043" s="37"/>
      <c r="AM1043" s="37"/>
      <c r="AN1043" s="17"/>
      <c r="AO1043" s="17"/>
    </row>
    <row r="1044" ht="14.25" customHeight="1">
      <c r="A1044" s="25"/>
      <c r="B1044" s="16"/>
      <c r="C1044" s="3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36"/>
      <c r="AK1044" s="37"/>
      <c r="AL1044" s="37"/>
      <c r="AM1044" s="37"/>
      <c r="AN1044" s="17"/>
      <c r="AO1044" s="17"/>
    </row>
    <row r="1045" ht="14.25" customHeight="1">
      <c r="A1045" s="25"/>
      <c r="B1045" s="16"/>
      <c r="C1045" s="3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36"/>
      <c r="AK1045" s="37"/>
      <c r="AL1045" s="37"/>
      <c r="AM1045" s="37"/>
      <c r="AN1045" s="17"/>
      <c r="AO1045" s="17"/>
    </row>
    <row r="1046" ht="14.25" customHeight="1">
      <c r="A1046" s="25"/>
      <c r="B1046" s="16"/>
      <c r="C1046" s="3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36"/>
      <c r="AK1046" s="37"/>
      <c r="AL1046" s="37"/>
      <c r="AM1046" s="37"/>
      <c r="AN1046" s="17"/>
      <c r="AO1046" s="17"/>
    </row>
    <row r="1047" ht="14.25" customHeight="1">
      <c r="A1047" s="25"/>
      <c r="B1047" s="16"/>
      <c r="C1047" s="3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36"/>
      <c r="AK1047" s="37"/>
      <c r="AL1047" s="37"/>
      <c r="AM1047" s="37"/>
      <c r="AN1047" s="17"/>
      <c r="AO1047" s="17"/>
    </row>
    <row r="1048" ht="14.25" customHeight="1">
      <c r="A1048" s="25"/>
      <c r="B1048" s="16"/>
      <c r="C1048" s="3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36"/>
      <c r="AK1048" s="37"/>
      <c r="AL1048" s="37"/>
      <c r="AM1048" s="37"/>
      <c r="AN1048" s="17"/>
      <c r="AO1048" s="17"/>
    </row>
    <row r="1049" ht="14.25" customHeight="1">
      <c r="A1049" s="25"/>
      <c r="B1049" s="16"/>
      <c r="C1049" s="3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36"/>
      <c r="AK1049" s="37"/>
      <c r="AL1049" s="37"/>
      <c r="AM1049" s="37"/>
      <c r="AN1049" s="17"/>
      <c r="AO1049" s="17"/>
    </row>
    <row r="1050" ht="14.25" customHeight="1">
      <c r="A1050" s="25"/>
      <c r="B1050" s="16"/>
      <c r="C1050" s="3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36"/>
      <c r="AK1050" s="37"/>
      <c r="AL1050" s="37"/>
      <c r="AM1050" s="37"/>
      <c r="AN1050" s="17"/>
      <c r="AO1050" s="17"/>
    </row>
    <row r="1051" ht="14.25" customHeight="1">
      <c r="A1051" s="25"/>
      <c r="B1051" s="16"/>
      <c r="C1051" s="3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36"/>
      <c r="AK1051" s="37"/>
      <c r="AL1051" s="37"/>
      <c r="AM1051" s="37"/>
      <c r="AN1051" s="17"/>
      <c r="AO1051" s="17"/>
    </row>
    <row r="1052" ht="14.25" customHeight="1">
      <c r="A1052" s="25"/>
      <c r="B1052" s="16"/>
      <c r="C1052" s="3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36"/>
      <c r="AK1052" s="37"/>
      <c r="AL1052" s="37"/>
      <c r="AM1052" s="37"/>
      <c r="AN1052" s="17"/>
      <c r="AO1052" s="17"/>
    </row>
    <row r="1053" ht="14.25" customHeight="1">
      <c r="A1053" s="25"/>
      <c r="B1053" s="16"/>
      <c r="C1053" s="3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36"/>
      <c r="AK1053" s="37"/>
      <c r="AL1053" s="37"/>
      <c r="AM1053" s="37"/>
      <c r="AN1053" s="17"/>
      <c r="AO1053" s="17"/>
    </row>
    <row r="1054" ht="14.25" customHeight="1">
      <c r="A1054" s="25"/>
      <c r="B1054" s="16"/>
      <c r="C1054" s="3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36"/>
      <c r="AK1054" s="37"/>
      <c r="AL1054" s="37"/>
      <c r="AM1054" s="37"/>
      <c r="AN1054" s="17"/>
      <c r="AO1054" s="17"/>
    </row>
    <row r="1055" ht="14.25" customHeight="1">
      <c r="A1055" s="25"/>
      <c r="B1055" s="16"/>
      <c r="C1055" s="3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36"/>
      <c r="AK1055" s="37"/>
      <c r="AL1055" s="37"/>
      <c r="AM1055" s="37"/>
      <c r="AN1055" s="17"/>
      <c r="AO1055" s="17"/>
    </row>
    <row r="1056" ht="14.25" customHeight="1">
      <c r="A1056" s="25"/>
      <c r="B1056" s="16"/>
      <c r="C1056" s="3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36"/>
      <c r="AK1056" s="37"/>
      <c r="AL1056" s="37"/>
      <c r="AM1056" s="37"/>
      <c r="AN1056" s="17"/>
      <c r="AO1056" s="17"/>
    </row>
    <row r="1057" ht="14.25" customHeight="1">
      <c r="A1057" s="25"/>
      <c r="B1057" s="16"/>
      <c r="C1057" s="3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36"/>
      <c r="AK1057" s="37"/>
      <c r="AL1057" s="37"/>
      <c r="AM1057" s="37"/>
      <c r="AN1057" s="17"/>
      <c r="AO1057" s="17"/>
    </row>
    <row r="1058" ht="14.25" customHeight="1">
      <c r="A1058" s="25"/>
      <c r="B1058" s="16"/>
      <c r="C1058" s="3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36"/>
      <c r="AK1058" s="37"/>
      <c r="AL1058" s="37"/>
      <c r="AM1058" s="37"/>
      <c r="AN1058" s="17"/>
      <c r="AO1058" s="17"/>
    </row>
    <row r="1059" ht="14.25" customHeight="1">
      <c r="A1059" s="25"/>
      <c r="B1059" s="16"/>
      <c r="C1059" s="3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36"/>
      <c r="AK1059" s="37"/>
      <c r="AL1059" s="37"/>
      <c r="AM1059" s="37"/>
      <c r="AN1059" s="17"/>
      <c r="AO1059" s="17"/>
    </row>
    <row r="1060" ht="14.25" customHeight="1">
      <c r="A1060" s="25"/>
      <c r="B1060" s="16"/>
      <c r="C1060" s="3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36"/>
      <c r="AK1060" s="37"/>
      <c r="AL1060" s="37"/>
      <c r="AM1060" s="37"/>
      <c r="AN1060" s="17"/>
      <c r="AO1060" s="17"/>
    </row>
    <row r="1061" ht="14.25" customHeight="1">
      <c r="A1061" s="25"/>
      <c r="B1061" s="16"/>
      <c r="C1061" s="3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36"/>
      <c r="AK1061" s="37"/>
      <c r="AL1061" s="37"/>
      <c r="AM1061" s="37"/>
      <c r="AN1061" s="17"/>
      <c r="AO1061" s="17"/>
    </row>
    <row r="1062" ht="14.25" customHeight="1">
      <c r="A1062" s="25"/>
      <c r="B1062" s="16"/>
      <c r="C1062" s="3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36"/>
      <c r="AK1062" s="37"/>
      <c r="AL1062" s="37"/>
      <c r="AM1062" s="37"/>
      <c r="AN1062" s="17"/>
      <c r="AO1062" s="17"/>
    </row>
    <row r="1063" ht="14.25" customHeight="1">
      <c r="A1063" s="25"/>
      <c r="B1063" s="16"/>
      <c r="C1063" s="3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36"/>
      <c r="AK1063" s="37"/>
      <c r="AL1063" s="37"/>
      <c r="AM1063" s="37"/>
      <c r="AN1063" s="17"/>
      <c r="AO1063" s="17"/>
    </row>
    <row r="1064" ht="14.25" customHeight="1">
      <c r="A1064" s="25"/>
      <c r="B1064" s="16"/>
      <c r="C1064" s="3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36"/>
      <c r="AK1064" s="37"/>
      <c r="AL1064" s="37"/>
      <c r="AM1064" s="37"/>
      <c r="AN1064" s="17"/>
      <c r="AO1064" s="17"/>
    </row>
    <row r="1065" ht="14.25" customHeight="1">
      <c r="A1065" s="25"/>
      <c r="B1065" s="16"/>
      <c r="C1065" s="3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36"/>
      <c r="AK1065" s="37"/>
      <c r="AL1065" s="37"/>
      <c r="AM1065" s="37"/>
      <c r="AN1065" s="17"/>
      <c r="AO1065" s="17"/>
    </row>
    <row r="1066" ht="14.25" customHeight="1">
      <c r="A1066" s="25"/>
      <c r="B1066" s="16"/>
      <c r="C1066" s="3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36"/>
      <c r="AK1066" s="37"/>
      <c r="AL1066" s="37"/>
      <c r="AM1066" s="37"/>
      <c r="AN1066" s="17"/>
      <c r="AO1066" s="17"/>
    </row>
    <row r="1067" ht="14.25" customHeight="1">
      <c r="A1067" s="25"/>
      <c r="B1067" s="16"/>
      <c r="C1067" s="3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36"/>
      <c r="AK1067" s="37"/>
      <c r="AL1067" s="37"/>
      <c r="AM1067" s="37"/>
      <c r="AN1067" s="17"/>
      <c r="AO1067" s="17"/>
    </row>
    <row r="1068" ht="14.25" customHeight="1">
      <c r="A1068" s="25"/>
      <c r="B1068" s="16"/>
      <c r="C1068" s="3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36"/>
      <c r="AK1068" s="37"/>
      <c r="AL1068" s="37"/>
      <c r="AM1068" s="37"/>
      <c r="AN1068" s="17"/>
      <c r="AO1068" s="17"/>
    </row>
    <row r="1069" ht="14.25" customHeight="1">
      <c r="A1069" s="25"/>
      <c r="B1069" s="16"/>
      <c r="C1069" s="3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36"/>
      <c r="AK1069" s="37"/>
      <c r="AL1069" s="37"/>
      <c r="AM1069" s="37"/>
      <c r="AN1069" s="17"/>
      <c r="AO1069" s="17"/>
    </row>
    <row r="1070" ht="14.25" customHeight="1">
      <c r="A1070" s="25"/>
      <c r="B1070" s="16"/>
      <c r="C1070" s="3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36"/>
      <c r="AK1070" s="37"/>
      <c r="AL1070" s="37"/>
      <c r="AM1070" s="37"/>
      <c r="AN1070" s="17"/>
      <c r="AO1070" s="17"/>
    </row>
    <row r="1071" ht="14.25" customHeight="1">
      <c r="A1071" s="25"/>
      <c r="B1071" s="16"/>
      <c r="C1071" s="3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36"/>
      <c r="AK1071" s="37"/>
      <c r="AL1071" s="37"/>
      <c r="AM1071" s="37"/>
      <c r="AN1071" s="17"/>
      <c r="AO1071" s="17"/>
    </row>
    <row r="1072" ht="14.25" customHeight="1">
      <c r="A1072" s="25"/>
      <c r="B1072" s="16"/>
      <c r="C1072" s="3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36"/>
      <c r="AK1072" s="37"/>
      <c r="AL1072" s="37"/>
      <c r="AM1072" s="37"/>
      <c r="AN1072" s="17"/>
      <c r="AO1072" s="17"/>
    </row>
    <row r="1073" ht="14.25" customHeight="1">
      <c r="A1073" s="25"/>
      <c r="B1073" s="16"/>
      <c r="C1073" s="3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36"/>
      <c r="AK1073" s="37"/>
      <c r="AL1073" s="37"/>
      <c r="AM1073" s="37"/>
      <c r="AN1073" s="17"/>
      <c r="AO1073" s="17"/>
    </row>
    <row r="1074" ht="14.25" customHeight="1">
      <c r="A1074" s="25"/>
      <c r="B1074" s="16"/>
      <c r="C1074" s="3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36"/>
      <c r="AK1074" s="37"/>
      <c r="AL1074" s="37"/>
      <c r="AM1074" s="37"/>
      <c r="AN1074" s="17"/>
      <c r="AO1074" s="17"/>
    </row>
    <row r="1075" ht="14.25" customHeight="1">
      <c r="A1075" s="25"/>
      <c r="B1075" s="16"/>
      <c r="C1075" s="3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36"/>
      <c r="AK1075" s="37"/>
      <c r="AL1075" s="37"/>
      <c r="AM1075" s="37"/>
      <c r="AN1075" s="17"/>
      <c r="AO1075" s="17"/>
    </row>
    <row r="1076" ht="14.25" customHeight="1">
      <c r="A1076" s="25"/>
      <c r="B1076" s="16"/>
      <c r="C1076" s="3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36"/>
      <c r="AK1076" s="37"/>
      <c r="AL1076" s="37"/>
      <c r="AM1076" s="37"/>
      <c r="AN1076" s="17"/>
      <c r="AO1076" s="17"/>
    </row>
    <row r="1077" ht="14.25" customHeight="1">
      <c r="A1077" s="25"/>
      <c r="B1077" s="16"/>
      <c r="C1077" s="3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36"/>
      <c r="AK1077" s="37"/>
      <c r="AL1077" s="37"/>
      <c r="AM1077" s="37"/>
      <c r="AN1077" s="17"/>
      <c r="AO1077" s="17"/>
    </row>
    <row r="1078" ht="14.25" customHeight="1">
      <c r="A1078" s="25"/>
      <c r="B1078" s="16"/>
      <c r="C1078" s="3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36"/>
      <c r="AK1078" s="37"/>
      <c r="AL1078" s="37"/>
      <c r="AM1078" s="37"/>
      <c r="AN1078" s="17"/>
      <c r="AO1078" s="17"/>
    </row>
    <row r="1079" ht="14.25" customHeight="1">
      <c r="A1079" s="25"/>
      <c r="B1079" s="16"/>
      <c r="C1079" s="3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36"/>
      <c r="AK1079" s="37"/>
      <c r="AL1079" s="37"/>
      <c r="AM1079" s="37"/>
      <c r="AN1079" s="17"/>
      <c r="AO1079" s="17"/>
    </row>
    <row r="1080" ht="14.25" customHeight="1">
      <c r="A1080" s="25"/>
      <c r="B1080" s="16"/>
      <c r="C1080" s="3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36"/>
      <c r="AK1080" s="37"/>
      <c r="AL1080" s="37"/>
      <c r="AM1080" s="37"/>
      <c r="AN1080" s="17"/>
      <c r="AO1080" s="17"/>
    </row>
    <row r="1081" ht="14.25" customHeight="1">
      <c r="A1081" s="25"/>
      <c r="B1081" s="16"/>
      <c r="C1081" s="3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36"/>
      <c r="AK1081" s="37"/>
      <c r="AL1081" s="37"/>
      <c r="AM1081" s="37"/>
      <c r="AN1081" s="17"/>
      <c r="AO1081" s="17"/>
    </row>
    <row r="1082" ht="14.25" customHeight="1">
      <c r="A1082" s="25"/>
      <c r="B1082" s="16"/>
      <c r="C1082" s="3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36"/>
      <c r="AK1082" s="37"/>
      <c r="AL1082" s="37"/>
      <c r="AM1082" s="37"/>
      <c r="AN1082" s="17"/>
      <c r="AO1082" s="17"/>
    </row>
    <row r="1083" ht="14.25" customHeight="1">
      <c r="A1083" s="25"/>
      <c r="B1083" s="16"/>
      <c r="C1083" s="3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36"/>
      <c r="AK1083" s="37"/>
      <c r="AL1083" s="37"/>
      <c r="AM1083" s="37"/>
      <c r="AN1083" s="17"/>
      <c r="AO1083" s="17"/>
    </row>
    <row r="1084" ht="14.25" customHeight="1">
      <c r="A1084" s="25"/>
      <c r="B1084" s="16"/>
      <c r="C1084" s="3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36"/>
      <c r="AK1084" s="37"/>
      <c r="AL1084" s="37"/>
      <c r="AM1084" s="37"/>
      <c r="AN1084" s="17"/>
      <c r="AO1084" s="17"/>
    </row>
    <row r="1085" ht="14.25" customHeight="1">
      <c r="A1085" s="25"/>
      <c r="B1085" s="16"/>
      <c r="C1085" s="3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36"/>
      <c r="AK1085" s="37"/>
      <c r="AL1085" s="37"/>
      <c r="AM1085" s="37"/>
      <c r="AN1085" s="17"/>
      <c r="AO1085" s="17"/>
    </row>
    <row r="1086" ht="14.25" customHeight="1">
      <c r="A1086" s="25"/>
      <c r="B1086" s="16"/>
      <c r="C1086" s="3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36"/>
      <c r="AK1086" s="37"/>
      <c r="AL1086" s="37"/>
      <c r="AM1086" s="37"/>
      <c r="AN1086" s="17"/>
      <c r="AO1086" s="17"/>
    </row>
    <row r="1087" ht="14.25" customHeight="1">
      <c r="A1087" s="25"/>
      <c r="B1087" s="16"/>
      <c r="C1087" s="3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36"/>
      <c r="AK1087" s="37"/>
      <c r="AL1087" s="37"/>
      <c r="AM1087" s="37"/>
      <c r="AN1087" s="17"/>
      <c r="AO1087" s="17"/>
    </row>
    <row r="1088" ht="14.25" customHeight="1">
      <c r="A1088" s="25"/>
      <c r="B1088" s="16"/>
      <c r="C1088" s="3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36"/>
      <c r="AK1088" s="37"/>
      <c r="AL1088" s="37"/>
      <c r="AM1088" s="37"/>
      <c r="AN1088" s="17"/>
      <c r="AO1088" s="17"/>
    </row>
    <row r="1089" ht="14.25" customHeight="1">
      <c r="A1089" s="25"/>
      <c r="B1089" s="16"/>
      <c r="C1089" s="3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36"/>
      <c r="AK1089" s="37"/>
      <c r="AL1089" s="37"/>
      <c r="AM1089" s="37"/>
      <c r="AN1089" s="17"/>
      <c r="AO1089" s="17"/>
    </row>
    <row r="1090" ht="14.25" customHeight="1">
      <c r="A1090" s="25"/>
      <c r="B1090" s="16"/>
      <c r="C1090" s="3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36"/>
      <c r="AK1090" s="37"/>
      <c r="AL1090" s="37"/>
      <c r="AM1090" s="37"/>
      <c r="AN1090" s="17"/>
      <c r="AO1090" s="17"/>
    </row>
    <row r="1091" ht="14.25" customHeight="1">
      <c r="A1091" s="25"/>
      <c r="B1091" s="16"/>
      <c r="C1091" s="3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36"/>
      <c r="AK1091" s="37"/>
      <c r="AL1091" s="37"/>
      <c r="AM1091" s="37"/>
      <c r="AN1091" s="17"/>
      <c r="AO1091" s="17"/>
    </row>
    <row r="1092" ht="14.25" customHeight="1">
      <c r="A1092" s="25"/>
      <c r="B1092" s="16"/>
      <c r="C1092" s="3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36"/>
      <c r="AK1092" s="37"/>
      <c r="AL1092" s="37"/>
      <c r="AM1092" s="37"/>
      <c r="AN1092" s="17"/>
      <c r="AO1092" s="17"/>
    </row>
    <row r="1093" ht="14.25" customHeight="1">
      <c r="A1093" s="25"/>
      <c r="B1093" s="16"/>
      <c r="C1093" s="3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36"/>
      <c r="AK1093" s="37"/>
      <c r="AL1093" s="37"/>
      <c r="AM1093" s="37"/>
      <c r="AN1093" s="17"/>
      <c r="AO1093" s="17"/>
    </row>
    <row r="1094" ht="14.25" customHeight="1">
      <c r="A1094" s="25"/>
      <c r="B1094" s="16"/>
      <c r="C1094" s="3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36"/>
      <c r="AK1094" s="37"/>
      <c r="AL1094" s="37"/>
      <c r="AM1094" s="37"/>
      <c r="AN1094" s="17"/>
      <c r="AO1094" s="17"/>
    </row>
    <row r="1095" ht="14.25" customHeight="1">
      <c r="A1095" s="25"/>
      <c r="B1095" s="16"/>
      <c r="C1095" s="3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36"/>
      <c r="AK1095" s="37"/>
      <c r="AL1095" s="37"/>
      <c r="AM1095" s="37"/>
      <c r="AN1095" s="17"/>
      <c r="AO1095" s="17"/>
    </row>
    <row r="1096" ht="14.25" customHeight="1">
      <c r="A1096" s="25"/>
      <c r="B1096" s="16"/>
      <c r="C1096" s="3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36"/>
      <c r="AK1096" s="37"/>
      <c r="AL1096" s="37"/>
      <c r="AM1096" s="37"/>
      <c r="AN1096" s="17"/>
      <c r="AO1096" s="17"/>
    </row>
    <row r="1097" ht="14.25" customHeight="1">
      <c r="A1097" s="25"/>
      <c r="B1097" s="16"/>
      <c r="C1097" s="3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36"/>
      <c r="AK1097" s="37"/>
      <c r="AL1097" s="37"/>
      <c r="AM1097" s="37"/>
      <c r="AN1097" s="17"/>
      <c r="AO1097" s="17"/>
    </row>
    <row r="1098" ht="14.25" customHeight="1">
      <c r="A1098" s="25"/>
      <c r="B1098" s="16"/>
      <c r="C1098" s="3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36"/>
      <c r="AK1098" s="37"/>
      <c r="AL1098" s="37"/>
      <c r="AM1098" s="37"/>
      <c r="AN1098" s="17"/>
      <c r="AO1098" s="17"/>
    </row>
    <row r="1099" ht="14.25" customHeight="1">
      <c r="A1099" s="25"/>
      <c r="B1099" s="16"/>
      <c r="C1099" s="3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36"/>
      <c r="AK1099" s="37"/>
      <c r="AL1099" s="37"/>
      <c r="AM1099" s="37"/>
      <c r="AN1099" s="17"/>
      <c r="AO1099" s="17"/>
    </row>
    <row r="1100" ht="14.25" customHeight="1">
      <c r="A1100" s="25"/>
      <c r="B1100" s="16"/>
      <c r="C1100" s="3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36"/>
      <c r="AK1100" s="37"/>
      <c r="AL1100" s="37"/>
      <c r="AM1100" s="37"/>
      <c r="AN1100" s="17"/>
      <c r="AO1100" s="17"/>
    </row>
    <row r="1101" ht="14.25" customHeight="1">
      <c r="A1101" s="25"/>
      <c r="B1101" s="16"/>
      <c r="C1101" s="3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36"/>
      <c r="AK1101" s="37"/>
      <c r="AL1101" s="37"/>
      <c r="AM1101" s="37"/>
      <c r="AN1101" s="17"/>
      <c r="AO1101" s="17"/>
    </row>
    <row r="1102" ht="14.25" customHeight="1">
      <c r="A1102" s="25"/>
      <c r="B1102" s="16"/>
      <c r="C1102" s="3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36"/>
      <c r="AK1102" s="37"/>
      <c r="AL1102" s="37"/>
      <c r="AM1102" s="37"/>
      <c r="AN1102" s="17"/>
      <c r="AO1102" s="17"/>
    </row>
    <row r="1103" ht="14.25" customHeight="1">
      <c r="A1103" s="25"/>
      <c r="B1103" s="16"/>
      <c r="C1103" s="3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36"/>
      <c r="AK1103" s="37"/>
      <c r="AL1103" s="37"/>
      <c r="AM1103" s="37"/>
      <c r="AN1103" s="17"/>
      <c r="AO1103" s="17"/>
    </row>
    <row r="1104" ht="14.25" customHeight="1">
      <c r="A1104" s="25"/>
      <c r="B1104" s="16"/>
      <c r="C1104" s="3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36"/>
      <c r="AK1104" s="37"/>
      <c r="AL1104" s="37"/>
      <c r="AM1104" s="37"/>
      <c r="AN1104" s="17"/>
      <c r="AO1104" s="17"/>
    </row>
    <row r="1105" ht="14.25" customHeight="1">
      <c r="A1105" s="25"/>
      <c r="B1105" s="16"/>
      <c r="C1105" s="3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36"/>
      <c r="AK1105" s="37"/>
      <c r="AL1105" s="37"/>
      <c r="AM1105" s="37"/>
      <c r="AN1105" s="17"/>
      <c r="AO1105" s="17"/>
    </row>
    <row r="1106" ht="14.25" customHeight="1">
      <c r="A1106" s="25"/>
      <c r="B1106" s="16"/>
      <c r="C1106" s="3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36"/>
      <c r="AK1106" s="37"/>
      <c r="AL1106" s="37"/>
      <c r="AM1106" s="37"/>
      <c r="AN1106" s="17"/>
      <c r="AO1106" s="17"/>
    </row>
    <row r="1107" ht="14.25" customHeight="1">
      <c r="A1107" s="25"/>
      <c r="B1107" s="16"/>
      <c r="C1107" s="3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36"/>
      <c r="AK1107" s="37"/>
      <c r="AL1107" s="37"/>
      <c r="AM1107" s="37"/>
      <c r="AN1107" s="17"/>
      <c r="AO1107" s="17"/>
    </row>
    <row r="1108" ht="14.25" customHeight="1">
      <c r="A1108" s="25"/>
      <c r="B1108" s="16"/>
      <c r="C1108" s="3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36"/>
      <c r="AK1108" s="37"/>
      <c r="AL1108" s="37"/>
      <c r="AM1108" s="37"/>
      <c r="AN1108" s="17"/>
      <c r="AO1108" s="17"/>
    </row>
    <row r="1109" ht="14.25" customHeight="1">
      <c r="A1109" s="25"/>
      <c r="B1109" s="16"/>
      <c r="C1109" s="3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36"/>
      <c r="AK1109" s="37"/>
      <c r="AL1109" s="37"/>
      <c r="AM1109" s="37"/>
      <c r="AN1109" s="17"/>
      <c r="AO1109" s="17"/>
    </row>
    <row r="1110" ht="14.25" customHeight="1">
      <c r="A1110" s="25"/>
      <c r="B1110" s="16"/>
      <c r="C1110" s="3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36"/>
      <c r="AK1110" s="37"/>
      <c r="AL1110" s="37"/>
      <c r="AM1110" s="37"/>
      <c r="AN1110" s="17"/>
      <c r="AO1110" s="17"/>
    </row>
    <row r="1111" ht="14.25" customHeight="1">
      <c r="A1111" s="25"/>
      <c r="B1111" s="16"/>
      <c r="C1111" s="3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36"/>
      <c r="AK1111" s="37"/>
      <c r="AL1111" s="37"/>
      <c r="AM1111" s="37"/>
      <c r="AN1111" s="17"/>
      <c r="AO1111" s="17"/>
    </row>
    <row r="1112" ht="14.25" customHeight="1">
      <c r="A1112" s="25"/>
      <c r="B1112" s="16"/>
      <c r="C1112" s="3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36"/>
      <c r="AK1112" s="37"/>
      <c r="AL1112" s="37"/>
      <c r="AM1112" s="37"/>
      <c r="AN1112" s="17"/>
      <c r="AO1112" s="17"/>
    </row>
    <row r="1113" ht="14.25" customHeight="1">
      <c r="A1113" s="25"/>
      <c r="B1113" s="16"/>
      <c r="C1113" s="3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36"/>
      <c r="AK1113" s="37"/>
      <c r="AL1113" s="37"/>
      <c r="AM1113" s="37"/>
      <c r="AN1113" s="17"/>
      <c r="AO1113" s="17"/>
    </row>
    <row r="1114" ht="14.25" customHeight="1">
      <c r="A1114" s="25"/>
      <c r="B1114" s="16"/>
      <c r="C1114" s="3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36"/>
      <c r="AK1114" s="37"/>
      <c r="AL1114" s="37"/>
      <c r="AM1114" s="37"/>
      <c r="AN1114" s="17"/>
      <c r="AO1114" s="17"/>
    </row>
    <row r="1115" ht="14.25" customHeight="1">
      <c r="A1115" s="25"/>
      <c r="B1115" s="16"/>
      <c r="C1115" s="3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36"/>
      <c r="AK1115" s="37"/>
      <c r="AL1115" s="37"/>
      <c r="AM1115" s="37"/>
      <c r="AN1115" s="17"/>
      <c r="AO1115" s="17"/>
    </row>
    <row r="1116" ht="14.25" customHeight="1">
      <c r="A1116" s="25"/>
      <c r="B1116" s="16"/>
      <c r="C1116" s="3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36"/>
      <c r="AK1116" s="37"/>
      <c r="AL1116" s="37"/>
      <c r="AM1116" s="37"/>
      <c r="AN1116" s="17"/>
      <c r="AO1116" s="17"/>
    </row>
    <row r="1117" ht="14.25" customHeight="1">
      <c r="A1117" s="25"/>
      <c r="B1117" s="16"/>
      <c r="C1117" s="3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36"/>
      <c r="AK1117" s="37"/>
      <c r="AL1117" s="37"/>
      <c r="AM1117" s="37"/>
      <c r="AN1117" s="17"/>
      <c r="AO1117" s="17"/>
    </row>
    <row r="1118" ht="14.25" customHeight="1">
      <c r="A1118" s="25"/>
      <c r="B1118" s="16"/>
      <c r="C1118" s="3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36"/>
      <c r="AK1118" s="37"/>
      <c r="AL1118" s="37"/>
      <c r="AM1118" s="37"/>
      <c r="AN1118" s="17"/>
      <c r="AO1118" s="17"/>
    </row>
    <row r="1119" ht="14.25" customHeight="1">
      <c r="A1119" s="25"/>
      <c r="B1119" s="16"/>
      <c r="C1119" s="3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36"/>
      <c r="AK1119" s="37"/>
      <c r="AL1119" s="37"/>
      <c r="AM1119" s="37"/>
      <c r="AN1119" s="17"/>
      <c r="AO1119" s="17"/>
    </row>
    <row r="1120" ht="14.25" customHeight="1">
      <c r="A1120" s="25"/>
      <c r="B1120" s="16"/>
      <c r="C1120" s="3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36"/>
      <c r="AK1120" s="37"/>
      <c r="AL1120" s="37"/>
      <c r="AM1120" s="37"/>
      <c r="AN1120" s="17"/>
      <c r="AO1120" s="17"/>
    </row>
    <row r="1121" ht="14.25" customHeight="1">
      <c r="A1121" s="25"/>
      <c r="B1121" s="16"/>
      <c r="C1121" s="3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36"/>
      <c r="AK1121" s="37"/>
      <c r="AL1121" s="37"/>
      <c r="AM1121" s="37"/>
      <c r="AN1121" s="17"/>
      <c r="AO1121" s="17"/>
    </row>
    <row r="1122" ht="14.25" customHeight="1">
      <c r="A1122" s="25"/>
      <c r="B1122" s="16"/>
      <c r="C1122" s="3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36"/>
      <c r="AK1122" s="37"/>
      <c r="AL1122" s="37"/>
      <c r="AM1122" s="37"/>
      <c r="AN1122" s="17"/>
      <c r="AO1122" s="17"/>
    </row>
    <row r="1123" ht="14.25" customHeight="1">
      <c r="A1123" s="25"/>
      <c r="B1123" s="16"/>
      <c r="C1123" s="3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36"/>
      <c r="AK1123" s="37"/>
      <c r="AL1123" s="37"/>
      <c r="AM1123" s="37"/>
      <c r="AN1123" s="17"/>
      <c r="AO1123" s="17"/>
    </row>
    <row r="1124" ht="14.25" customHeight="1">
      <c r="A1124" s="25"/>
      <c r="B1124" s="16"/>
      <c r="C1124" s="3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36"/>
      <c r="AK1124" s="37"/>
      <c r="AL1124" s="37"/>
      <c r="AM1124" s="37"/>
      <c r="AN1124" s="17"/>
      <c r="AO1124" s="17"/>
    </row>
    <row r="1125" ht="14.25" customHeight="1">
      <c r="A1125" s="25"/>
      <c r="B1125" s="16"/>
      <c r="C1125" s="3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36"/>
      <c r="AK1125" s="37"/>
      <c r="AL1125" s="37"/>
      <c r="AM1125" s="37"/>
      <c r="AN1125" s="17"/>
      <c r="AO1125" s="17"/>
    </row>
    <row r="1126" ht="14.25" customHeight="1">
      <c r="A1126" s="25"/>
      <c r="B1126" s="16"/>
      <c r="C1126" s="3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36"/>
      <c r="AK1126" s="37"/>
      <c r="AL1126" s="37"/>
      <c r="AM1126" s="37"/>
      <c r="AN1126" s="17"/>
      <c r="AO1126" s="17"/>
    </row>
    <row r="1127" ht="14.25" customHeight="1">
      <c r="A1127" s="25"/>
      <c r="B1127" s="16"/>
      <c r="C1127" s="3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36"/>
      <c r="AK1127" s="37"/>
      <c r="AL1127" s="37"/>
      <c r="AM1127" s="37"/>
      <c r="AN1127" s="17"/>
      <c r="AO1127" s="17"/>
    </row>
    <row r="1128" ht="14.25" customHeight="1">
      <c r="A1128" s="25"/>
      <c r="B1128" s="16"/>
      <c r="C1128" s="3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36"/>
      <c r="AK1128" s="37"/>
      <c r="AL1128" s="37"/>
      <c r="AM1128" s="37"/>
      <c r="AN1128" s="17"/>
      <c r="AO1128" s="17"/>
    </row>
    <row r="1129" ht="14.25" customHeight="1">
      <c r="A1129" s="25"/>
      <c r="B1129" s="16"/>
      <c r="C1129" s="3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36"/>
      <c r="AK1129" s="37"/>
      <c r="AL1129" s="37"/>
      <c r="AM1129" s="37"/>
      <c r="AN1129" s="17"/>
      <c r="AO1129" s="17"/>
    </row>
    <row r="1130" ht="14.25" customHeight="1">
      <c r="A1130" s="25"/>
      <c r="B1130" s="16"/>
      <c r="C1130" s="3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36"/>
      <c r="AK1130" s="37"/>
      <c r="AL1130" s="37"/>
      <c r="AM1130" s="37"/>
      <c r="AN1130" s="17"/>
      <c r="AO1130" s="17"/>
    </row>
    <row r="1131" ht="14.25" customHeight="1">
      <c r="A1131" s="25"/>
      <c r="B1131" s="16"/>
      <c r="C1131" s="3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36"/>
      <c r="AK1131" s="37"/>
      <c r="AL1131" s="37"/>
      <c r="AM1131" s="37"/>
      <c r="AN1131" s="17"/>
      <c r="AO1131" s="17"/>
    </row>
    <row r="1132" ht="14.25" customHeight="1">
      <c r="A1132" s="25"/>
      <c r="B1132" s="16"/>
      <c r="C1132" s="3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36"/>
      <c r="AK1132" s="37"/>
      <c r="AL1132" s="37"/>
      <c r="AM1132" s="37"/>
      <c r="AN1132" s="17"/>
      <c r="AO1132" s="17"/>
    </row>
    <row r="1133" ht="14.25" customHeight="1">
      <c r="A1133" s="25"/>
      <c r="B1133" s="16"/>
      <c r="C1133" s="3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36"/>
      <c r="AK1133" s="37"/>
      <c r="AL1133" s="37"/>
      <c r="AM1133" s="37"/>
      <c r="AN1133" s="17"/>
      <c r="AO1133" s="17"/>
    </row>
    <row r="1134" ht="14.25" customHeight="1">
      <c r="A1134" s="25"/>
      <c r="B1134" s="16"/>
      <c r="C1134" s="3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36"/>
      <c r="AK1134" s="37"/>
      <c r="AL1134" s="37"/>
      <c r="AM1134" s="37"/>
      <c r="AN1134" s="17"/>
      <c r="AO1134" s="17"/>
    </row>
    <row r="1135" ht="14.25" customHeight="1">
      <c r="A1135" s="25"/>
      <c r="B1135" s="16"/>
      <c r="C1135" s="3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36"/>
      <c r="AK1135" s="37"/>
      <c r="AL1135" s="37"/>
      <c r="AM1135" s="37"/>
      <c r="AN1135" s="17"/>
      <c r="AO1135" s="17"/>
    </row>
    <row r="1136" ht="14.25" customHeight="1">
      <c r="A1136" s="25"/>
      <c r="B1136" s="16"/>
      <c r="C1136" s="3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36"/>
      <c r="AK1136" s="37"/>
      <c r="AL1136" s="37"/>
      <c r="AM1136" s="37"/>
      <c r="AN1136" s="17"/>
      <c r="AO1136" s="17"/>
    </row>
    <row r="1137" ht="14.25" customHeight="1">
      <c r="A1137" s="25"/>
      <c r="B1137" s="16"/>
      <c r="C1137" s="3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36"/>
      <c r="AK1137" s="37"/>
      <c r="AL1137" s="37"/>
      <c r="AM1137" s="37"/>
      <c r="AN1137" s="17"/>
      <c r="AO1137" s="17"/>
    </row>
    <row r="1138" ht="14.25" customHeight="1">
      <c r="A1138" s="25"/>
      <c r="B1138" s="16"/>
      <c r="C1138" s="3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36"/>
      <c r="AK1138" s="37"/>
      <c r="AL1138" s="37"/>
      <c r="AM1138" s="37"/>
      <c r="AN1138" s="17"/>
      <c r="AO1138" s="17"/>
    </row>
    <row r="1139" ht="14.25" customHeight="1">
      <c r="A1139" s="25"/>
      <c r="B1139" s="16"/>
      <c r="C1139" s="3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36"/>
      <c r="AK1139" s="37"/>
      <c r="AL1139" s="37"/>
      <c r="AM1139" s="37"/>
      <c r="AN1139" s="17"/>
      <c r="AO1139" s="17"/>
    </row>
    <row r="1140" ht="14.25" customHeight="1">
      <c r="A1140" s="25"/>
      <c r="B1140" s="16"/>
      <c r="C1140" s="3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36"/>
      <c r="AK1140" s="37"/>
      <c r="AL1140" s="37"/>
      <c r="AM1140" s="37"/>
      <c r="AN1140" s="17"/>
      <c r="AO1140" s="17"/>
    </row>
    <row r="1141" ht="14.25" customHeight="1">
      <c r="A1141" s="25"/>
      <c r="B1141" s="16"/>
      <c r="C1141" s="3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36"/>
      <c r="AK1141" s="37"/>
      <c r="AL1141" s="37"/>
      <c r="AM1141" s="37"/>
      <c r="AN1141" s="17"/>
      <c r="AO1141" s="17"/>
    </row>
    <row r="1142" ht="14.25" customHeight="1">
      <c r="A1142" s="25"/>
      <c r="B1142" s="16"/>
      <c r="C1142" s="3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36"/>
      <c r="AK1142" s="37"/>
      <c r="AL1142" s="37"/>
      <c r="AM1142" s="37"/>
      <c r="AN1142" s="17"/>
      <c r="AO1142" s="17"/>
    </row>
    <row r="1143" ht="14.25" customHeight="1">
      <c r="A1143" s="25"/>
      <c r="B1143" s="16"/>
      <c r="C1143" s="3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36"/>
      <c r="AK1143" s="37"/>
      <c r="AL1143" s="37"/>
      <c r="AM1143" s="37"/>
      <c r="AN1143" s="17"/>
      <c r="AO1143" s="17"/>
    </row>
    <row r="1144" ht="14.25" customHeight="1">
      <c r="A1144" s="25"/>
      <c r="B1144" s="16"/>
      <c r="C1144" s="3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36"/>
      <c r="AK1144" s="37"/>
      <c r="AL1144" s="37"/>
      <c r="AM1144" s="37"/>
      <c r="AN1144" s="17"/>
      <c r="AO1144" s="17"/>
    </row>
    <row r="1145" ht="14.25" customHeight="1">
      <c r="A1145" s="25"/>
      <c r="B1145" s="16"/>
      <c r="C1145" s="3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36"/>
      <c r="AK1145" s="37"/>
      <c r="AL1145" s="37"/>
      <c r="AM1145" s="37"/>
      <c r="AN1145" s="17"/>
      <c r="AO1145" s="17"/>
    </row>
    <row r="1146" ht="14.25" customHeight="1">
      <c r="A1146" s="25"/>
      <c r="B1146" s="16"/>
      <c r="C1146" s="3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36"/>
      <c r="AK1146" s="37"/>
      <c r="AL1146" s="37"/>
      <c r="AM1146" s="37"/>
      <c r="AN1146" s="17"/>
      <c r="AO1146" s="17"/>
    </row>
    <row r="1147" ht="14.25" customHeight="1">
      <c r="A1147" s="25"/>
      <c r="B1147" s="16"/>
      <c r="C1147" s="3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36"/>
      <c r="AK1147" s="37"/>
      <c r="AL1147" s="37"/>
      <c r="AM1147" s="37"/>
      <c r="AN1147" s="17"/>
      <c r="AO1147" s="17"/>
    </row>
    <row r="1148" ht="14.25" customHeight="1">
      <c r="A1148" s="25"/>
      <c r="B1148" s="16"/>
      <c r="C1148" s="3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36"/>
      <c r="AK1148" s="37"/>
      <c r="AL1148" s="37"/>
      <c r="AM1148" s="37"/>
      <c r="AN1148" s="17"/>
      <c r="AO1148" s="17"/>
    </row>
    <row r="1149" ht="14.25" customHeight="1">
      <c r="A1149" s="25"/>
      <c r="B1149" s="16"/>
      <c r="C1149" s="3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36"/>
      <c r="AK1149" s="37"/>
      <c r="AL1149" s="37"/>
      <c r="AM1149" s="37"/>
      <c r="AN1149" s="17"/>
      <c r="AO1149" s="17"/>
    </row>
    <row r="1150" ht="14.25" customHeight="1">
      <c r="A1150" s="25"/>
      <c r="B1150" s="16"/>
      <c r="C1150" s="3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36"/>
      <c r="AK1150" s="37"/>
      <c r="AL1150" s="37"/>
      <c r="AM1150" s="37"/>
      <c r="AN1150" s="17"/>
      <c r="AO1150" s="17"/>
    </row>
    <row r="1151" ht="14.25" customHeight="1">
      <c r="A1151" s="25"/>
      <c r="B1151" s="16"/>
      <c r="C1151" s="3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36"/>
      <c r="AK1151" s="37"/>
      <c r="AL1151" s="37"/>
      <c r="AM1151" s="37"/>
      <c r="AN1151" s="17"/>
      <c r="AO1151" s="17"/>
    </row>
    <row r="1152" ht="14.25" customHeight="1">
      <c r="A1152" s="25"/>
      <c r="B1152" s="16"/>
      <c r="C1152" s="3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36"/>
      <c r="AK1152" s="37"/>
      <c r="AL1152" s="37"/>
      <c r="AM1152" s="37"/>
      <c r="AN1152" s="17"/>
      <c r="AO1152" s="17"/>
    </row>
    <row r="1153" ht="14.25" customHeight="1">
      <c r="A1153" s="25"/>
      <c r="B1153" s="16"/>
      <c r="C1153" s="3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36"/>
      <c r="AK1153" s="37"/>
      <c r="AL1153" s="37"/>
      <c r="AM1153" s="37"/>
      <c r="AN1153" s="17"/>
      <c r="AO1153" s="17"/>
    </row>
    <row r="1154" ht="14.25" customHeight="1">
      <c r="A1154" s="25"/>
      <c r="B1154" s="16"/>
      <c r="C1154" s="3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36"/>
      <c r="AK1154" s="37"/>
      <c r="AL1154" s="37"/>
      <c r="AM1154" s="37"/>
      <c r="AN1154" s="17"/>
      <c r="AO1154" s="17"/>
    </row>
    <row r="1155" ht="14.25" customHeight="1">
      <c r="A1155" s="25"/>
      <c r="B1155" s="16"/>
      <c r="C1155" s="3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36"/>
      <c r="AK1155" s="37"/>
      <c r="AL1155" s="37"/>
      <c r="AM1155" s="37"/>
      <c r="AN1155" s="17"/>
      <c r="AO1155" s="17"/>
    </row>
    <row r="1156" ht="14.25" customHeight="1">
      <c r="A1156" s="25"/>
      <c r="B1156" s="16"/>
      <c r="C1156" s="3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36"/>
      <c r="AK1156" s="37"/>
      <c r="AL1156" s="37"/>
      <c r="AM1156" s="37"/>
      <c r="AN1156" s="17"/>
      <c r="AO1156" s="17"/>
    </row>
    <row r="1157" ht="14.25" customHeight="1">
      <c r="A1157" s="25"/>
      <c r="B1157" s="16"/>
      <c r="C1157" s="3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36"/>
      <c r="AK1157" s="37"/>
      <c r="AL1157" s="37"/>
      <c r="AM1157" s="37"/>
      <c r="AN1157" s="17"/>
      <c r="AO1157" s="17"/>
    </row>
    <row r="1158" ht="14.25" customHeight="1">
      <c r="A1158" s="25"/>
      <c r="B1158" s="16"/>
      <c r="C1158" s="3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36"/>
      <c r="AK1158" s="37"/>
      <c r="AL1158" s="37"/>
      <c r="AM1158" s="37"/>
      <c r="AN1158" s="17"/>
      <c r="AO1158" s="17"/>
    </row>
    <row r="1159" ht="14.25" customHeight="1">
      <c r="A1159" s="25"/>
      <c r="B1159" s="16"/>
      <c r="C1159" s="3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36"/>
      <c r="AK1159" s="37"/>
      <c r="AL1159" s="37"/>
      <c r="AM1159" s="37"/>
      <c r="AN1159" s="17"/>
      <c r="AO1159" s="17"/>
    </row>
    <row r="1160" ht="14.25" customHeight="1">
      <c r="A1160" s="25"/>
      <c r="B1160" s="16"/>
      <c r="C1160" s="3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36"/>
      <c r="AK1160" s="37"/>
      <c r="AL1160" s="37"/>
      <c r="AM1160" s="37"/>
      <c r="AN1160" s="17"/>
      <c r="AO1160" s="17"/>
    </row>
    <row r="1161" ht="14.25" customHeight="1">
      <c r="A1161" s="25"/>
      <c r="B1161" s="16"/>
      <c r="C1161" s="3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36"/>
      <c r="AK1161" s="37"/>
      <c r="AL1161" s="37"/>
      <c r="AM1161" s="37"/>
      <c r="AN1161" s="17"/>
      <c r="AO1161" s="17"/>
    </row>
    <row r="1162" ht="14.25" customHeight="1">
      <c r="A1162" s="25"/>
      <c r="B1162" s="16"/>
      <c r="C1162" s="3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36"/>
      <c r="AK1162" s="37"/>
      <c r="AL1162" s="37"/>
      <c r="AM1162" s="37"/>
      <c r="AN1162" s="17"/>
      <c r="AO1162" s="17"/>
    </row>
    <row r="1163" ht="14.25" customHeight="1">
      <c r="A1163" s="25"/>
      <c r="B1163" s="16"/>
      <c r="C1163" s="3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36"/>
      <c r="AK1163" s="37"/>
      <c r="AL1163" s="37"/>
      <c r="AM1163" s="37"/>
      <c r="AN1163" s="17"/>
      <c r="AO1163" s="17"/>
    </row>
    <row r="1164" ht="14.25" customHeight="1">
      <c r="A1164" s="25"/>
      <c r="B1164" s="16"/>
      <c r="C1164" s="3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36"/>
      <c r="AK1164" s="37"/>
      <c r="AL1164" s="37"/>
      <c r="AM1164" s="37"/>
      <c r="AN1164" s="17"/>
      <c r="AO1164" s="17"/>
    </row>
    <row r="1165" ht="14.25" customHeight="1">
      <c r="A1165" s="25"/>
      <c r="B1165" s="16"/>
      <c r="C1165" s="3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36"/>
      <c r="AK1165" s="37"/>
      <c r="AL1165" s="37"/>
      <c r="AM1165" s="37"/>
      <c r="AN1165" s="17"/>
      <c r="AO1165" s="17"/>
    </row>
    <row r="1166" ht="14.25" customHeight="1">
      <c r="A1166" s="25"/>
      <c r="B1166" s="16"/>
      <c r="C1166" s="3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36"/>
      <c r="AK1166" s="37"/>
      <c r="AL1166" s="37"/>
      <c r="AM1166" s="37"/>
      <c r="AN1166" s="17"/>
      <c r="AO1166" s="17"/>
    </row>
    <row r="1167" ht="14.25" customHeight="1">
      <c r="A1167" s="25"/>
      <c r="B1167" s="16"/>
      <c r="C1167" s="3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36"/>
      <c r="AK1167" s="37"/>
      <c r="AL1167" s="37"/>
      <c r="AM1167" s="37"/>
      <c r="AN1167" s="17"/>
      <c r="AO1167" s="17"/>
    </row>
    <row r="1168" ht="14.25" customHeight="1">
      <c r="A1168" s="25"/>
      <c r="B1168" s="16"/>
      <c r="C1168" s="3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36"/>
      <c r="AK1168" s="37"/>
      <c r="AL1168" s="37"/>
      <c r="AM1168" s="37"/>
      <c r="AN1168" s="17"/>
      <c r="AO1168" s="17"/>
    </row>
    <row r="1169" ht="14.25" customHeight="1">
      <c r="A1169" s="25"/>
      <c r="B1169" s="16"/>
      <c r="C1169" s="3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36"/>
      <c r="AK1169" s="37"/>
      <c r="AL1169" s="37"/>
      <c r="AM1169" s="37"/>
      <c r="AN1169" s="17"/>
      <c r="AO1169" s="17"/>
    </row>
    <row r="1170" ht="14.25" customHeight="1">
      <c r="A1170" s="25"/>
      <c r="B1170" s="16"/>
      <c r="C1170" s="3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36"/>
      <c r="AK1170" s="37"/>
      <c r="AL1170" s="37"/>
      <c r="AM1170" s="37"/>
      <c r="AN1170" s="17"/>
      <c r="AO1170" s="17"/>
    </row>
    <row r="1171" ht="14.25" customHeight="1">
      <c r="A1171" s="25"/>
      <c r="B1171" s="16"/>
      <c r="C1171" s="3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36"/>
      <c r="AK1171" s="37"/>
      <c r="AL1171" s="37"/>
      <c r="AM1171" s="37"/>
      <c r="AN1171" s="17"/>
      <c r="AO1171" s="17"/>
    </row>
    <row r="1172" ht="14.25" customHeight="1">
      <c r="A1172" s="25"/>
      <c r="B1172" s="16"/>
      <c r="C1172" s="3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36"/>
      <c r="AK1172" s="37"/>
      <c r="AL1172" s="37"/>
      <c r="AM1172" s="37"/>
      <c r="AN1172" s="17"/>
      <c r="AO1172" s="17"/>
    </row>
    <row r="1173" ht="14.25" customHeight="1">
      <c r="A1173" s="25"/>
      <c r="B1173" s="16"/>
      <c r="C1173" s="3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36"/>
      <c r="AK1173" s="37"/>
      <c r="AL1173" s="37"/>
      <c r="AM1173" s="37"/>
      <c r="AN1173" s="17"/>
      <c r="AO1173" s="17"/>
    </row>
    <row r="1174" ht="14.25" customHeight="1">
      <c r="A1174" s="25"/>
      <c r="B1174" s="16"/>
      <c r="C1174" s="3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36"/>
      <c r="AK1174" s="37"/>
      <c r="AL1174" s="37"/>
      <c r="AM1174" s="37"/>
      <c r="AN1174" s="17"/>
      <c r="AO1174" s="17"/>
    </row>
    <row r="1175" ht="14.25" customHeight="1">
      <c r="A1175" s="25"/>
      <c r="B1175" s="16"/>
      <c r="C1175" s="3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36"/>
      <c r="AK1175" s="37"/>
      <c r="AL1175" s="37"/>
      <c r="AM1175" s="37"/>
      <c r="AN1175" s="17"/>
      <c r="AO1175" s="17"/>
    </row>
    <row r="1176" ht="14.25" customHeight="1">
      <c r="A1176" s="25"/>
      <c r="B1176" s="16"/>
      <c r="C1176" s="3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36"/>
      <c r="AK1176" s="37"/>
      <c r="AL1176" s="37"/>
      <c r="AM1176" s="37"/>
      <c r="AN1176" s="17"/>
      <c r="AO1176" s="17"/>
    </row>
    <row r="1177" ht="14.25" customHeight="1">
      <c r="A1177" s="25"/>
      <c r="B1177" s="16"/>
      <c r="C1177" s="3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36"/>
      <c r="AK1177" s="37"/>
      <c r="AL1177" s="37"/>
      <c r="AM1177" s="37"/>
      <c r="AN1177" s="17"/>
      <c r="AO1177" s="17"/>
    </row>
    <row r="1178" ht="14.25" customHeight="1">
      <c r="A1178" s="25"/>
      <c r="B1178" s="16"/>
      <c r="C1178" s="3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36"/>
      <c r="AK1178" s="37"/>
      <c r="AL1178" s="37"/>
      <c r="AM1178" s="37"/>
      <c r="AN1178" s="17"/>
      <c r="AO1178" s="17"/>
    </row>
    <row r="1179" ht="14.25" customHeight="1">
      <c r="A1179" s="25"/>
      <c r="B1179" s="16"/>
      <c r="C1179" s="3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36"/>
      <c r="AK1179" s="37"/>
      <c r="AL1179" s="37"/>
      <c r="AM1179" s="37"/>
      <c r="AN1179" s="17"/>
      <c r="AO1179" s="17"/>
    </row>
    <row r="1180" ht="14.25" customHeight="1">
      <c r="A1180" s="25"/>
      <c r="B1180" s="16"/>
      <c r="C1180" s="3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36"/>
      <c r="AK1180" s="37"/>
      <c r="AL1180" s="37"/>
      <c r="AM1180" s="37"/>
      <c r="AN1180" s="17"/>
      <c r="AO1180" s="17"/>
    </row>
    <row r="1181" ht="14.25" customHeight="1">
      <c r="A1181" s="25"/>
      <c r="B1181" s="16"/>
      <c r="C1181" s="3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36"/>
      <c r="AK1181" s="37"/>
      <c r="AL1181" s="37"/>
      <c r="AM1181" s="37"/>
      <c r="AN1181" s="17"/>
      <c r="AO1181" s="17"/>
    </row>
    <row r="1182" ht="14.25" customHeight="1">
      <c r="A1182" s="25"/>
      <c r="B1182" s="16"/>
      <c r="C1182" s="3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36"/>
      <c r="AK1182" s="37"/>
      <c r="AL1182" s="37"/>
      <c r="AM1182" s="37"/>
      <c r="AN1182" s="17"/>
      <c r="AO1182" s="17"/>
    </row>
    <row r="1183" ht="14.25" customHeight="1">
      <c r="A1183" s="25"/>
      <c r="B1183" s="16"/>
      <c r="C1183" s="3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36"/>
      <c r="AK1183" s="37"/>
      <c r="AL1183" s="37"/>
      <c r="AM1183" s="37"/>
      <c r="AN1183" s="17"/>
      <c r="AO1183" s="17"/>
    </row>
    <row r="1184" ht="14.25" customHeight="1">
      <c r="A1184" s="25"/>
      <c r="B1184" s="16"/>
      <c r="C1184" s="3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36"/>
      <c r="AK1184" s="37"/>
      <c r="AL1184" s="37"/>
      <c r="AM1184" s="37"/>
      <c r="AN1184" s="17"/>
      <c r="AO1184" s="17"/>
    </row>
    <row r="1185" ht="14.25" customHeight="1">
      <c r="A1185" s="25"/>
      <c r="B1185" s="16"/>
      <c r="C1185" s="3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36"/>
      <c r="AK1185" s="37"/>
      <c r="AL1185" s="37"/>
      <c r="AM1185" s="37"/>
      <c r="AN1185" s="17"/>
      <c r="AO1185" s="17"/>
    </row>
    <row r="1186" ht="14.25" customHeight="1">
      <c r="A1186" s="25"/>
      <c r="B1186" s="16"/>
      <c r="C1186" s="3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36"/>
      <c r="AK1186" s="37"/>
      <c r="AL1186" s="37"/>
      <c r="AM1186" s="37"/>
      <c r="AN1186" s="17"/>
      <c r="AO1186" s="17"/>
    </row>
    <row r="1187" ht="14.25" customHeight="1">
      <c r="A1187" s="25"/>
      <c r="B1187" s="16"/>
      <c r="C1187" s="3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36"/>
      <c r="AK1187" s="37"/>
      <c r="AL1187" s="37"/>
      <c r="AM1187" s="37"/>
      <c r="AN1187" s="17"/>
      <c r="AO1187" s="17"/>
    </row>
    <row r="1188" ht="14.25" customHeight="1">
      <c r="A1188" s="25"/>
      <c r="B1188" s="16"/>
      <c r="C1188" s="3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36"/>
      <c r="AK1188" s="37"/>
      <c r="AL1188" s="37"/>
      <c r="AM1188" s="37"/>
      <c r="AN1188" s="17"/>
      <c r="AO1188" s="17"/>
    </row>
    <row r="1189" ht="14.25" customHeight="1">
      <c r="A1189" s="25"/>
      <c r="B1189" s="16"/>
      <c r="C1189" s="3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36"/>
      <c r="AK1189" s="37"/>
      <c r="AL1189" s="37"/>
      <c r="AM1189" s="37"/>
      <c r="AN1189" s="17"/>
      <c r="AO1189" s="17"/>
    </row>
    <row r="1190" ht="14.25" customHeight="1">
      <c r="A1190" s="25"/>
      <c r="B1190" s="16"/>
      <c r="C1190" s="3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36"/>
      <c r="AK1190" s="37"/>
      <c r="AL1190" s="37"/>
      <c r="AM1190" s="37"/>
      <c r="AN1190" s="17"/>
      <c r="AO1190" s="17"/>
    </row>
    <row r="1191" ht="14.25" customHeight="1">
      <c r="A1191" s="25"/>
      <c r="B1191" s="16"/>
      <c r="C1191" s="3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36"/>
      <c r="AK1191" s="37"/>
      <c r="AL1191" s="37"/>
      <c r="AM1191" s="37"/>
      <c r="AN1191" s="17"/>
      <c r="AO1191" s="17"/>
    </row>
    <row r="1192" ht="14.25" customHeight="1">
      <c r="A1192" s="25"/>
      <c r="B1192" s="16"/>
      <c r="C1192" s="3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36"/>
      <c r="AK1192" s="37"/>
      <c r="AL1192" s="37"/>
      <c r="AM1192" s="37"/>
      <c r="AN1192" s="17"/>
      <c r="AO1192" s="17"/>
    </row>
    <row r="1193" ht="14.25" customHeight="1">
      <c r="A1193" s="25"/>
      <c r="B1193" s="16"/>
      <c r="C1193" s="3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36"/>
      <c r="AK1193" s="37"/>
      <c r="AL1193" s="37"/>
      <c r="AM1193" s="37"/>
      <c r="AN1193" s="17"/>
      <c r="AO1193" s="17"/>
    </row>
    <row r="1194" ht="14.25" customHeight="1">
      <c r="A1194" s="25"/>
      <c r="B1194" s="16"/>
      <c r="C1194" s="3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36"/>
      <c r="AK1194" s="37"/>
      <c r="AL1194" s="37"/>
      <c r="AM1194" s="37"/>
      <c r="AN1194" s="17"/>
      <c r="AO1194" s="17"/>
    </row>
    <row r="1195" ht="14.25" customHeight="1">
      <c r="A1195" s="25"/>
      <c r="B1195" s="16"/>
      <c r="C1195" s="3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36"/>
      <c r="AK1195" s="37"/>
      <c r="AL1195" s="37"/>
      <c r="AM1195" s="37"/>
      <c r="AN1195" s="17"/>
      <c r="AO1195" s="17"/>
    </row>
    <row r="1196" ht="14.25" customHeight="1">
      <c r="A1196" s="25"/>
      <c r="B1196" s="16"/>
      <c r="C1196" s="3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36"/>
      <c r="AK1196" s="37"/>
      <c r="AL1196" s="37"/>
      <c r="AM1196" s="37"/>
      <c r="AN1196" s="17"/>
      <c r="AO1196" s="17"/>
    </row>
    <row r="1197" ht="14.25" customHeight="1">
      <c r="A1197" s="25"/>
      <c r="B1197" s="16"/>
      <c r="C1197" s="3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36"/>
      <c r="AK1197" s="37"/>
      <c r="AL1197" s="37"/>
      <c r="AM1197" s="37"/>
      <c r="AN1197" s="17"/>
      <c r="AO1197" s="17"/>
    </row>
    <row r="1198" ht="14.25" customHeight="1">
      <c r="A1198" s="25"/>
      <c r="B1198" s="16"/>
      <c r="C1198" s="3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36"/>
      <c r="AK1198" s="37"/>
      <c r="AL1198" s="37"/>
      <c r="AM1198" s="37"/>
      <c r="AN1198" s="17"/>
      <c r="AO1198" s="17"/>
    </row>
    <row r="1199" ht="14.25" customHeight="1">
      <c r="A1199" s="25"/>
      <c r="B1199" s="16"/>
      <c r="C1199" s="3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36"/>
      <c r="AK1199" s="37"/>
      <c r="AL1199" s="37"/>
      <c r="AM1199" s="37"/>
      <c r="AN1199" s="17"/>
      <c r="AO1199" s="17"/>
    </row>
    <row r="1200" ht="14.25" customHeight="1">
      <c r="A1200" s="25"/>
      <c r="B1200" s="16"/>
      <c r="C1200" s="3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36"/>
      <c r="AK1200" s="37"/>
      <c r="AL1200" s="37"/>
      <c r="AM1200" s="37"/>
      <c r="AN1200" s="17"/>
      <c r="AO1200" s="17"/>
    </row>
    <row r="1201" ht="14.25" customHeight="1">
      <c r="A1201" s="25"/>
      <c r="B1201" s="16"/>
      <c r="C1201" s="3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36"/>
      <c r="AK1201" s="37"/>
      <c r="AL1201" s="37"/>
      <c r="AM1201" s="37"/>
      <c r="AN1201" s="17"/>
      <c r="AO1201" s="17"/>
    </row>
    <row r="1202" ht="14.25" customHeight="1">
      <c r="A1202" s="25"/>
      <c r="B1202" s="16"/>
      <c r="C1202" s="3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36"/>
      <c r="AK1202" s="37"/>
      <c r="AL1202" s="37"/>
      <c r="AM1202" s="37"/>
      <c r="AN1202" s="17"/>
      <c r="AO1202" s="17"/>
    </row>
    <row r="1203" ht="14.25" customHeight="1">
      <c r="A1203" s="25"/>
      <c r="B1203" s="16"/>
      <c r="C1203" s="3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36"/>
      <c r="AK1203" s="37"/>
      <c r="AL1203" s="37"/>
      <c r="AM1203" s="37"/>
      <c r="AN1203" s="17"/>
      <c r="AO1203" s="17"/>
    </row>
    <row r="1204" ht="14.25" customHeight="1">
      <c r="A1204" s="25"/>
      <c r="B1204" s="16"/>
      <c r="C1204" s="3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36"/>
      <c r="AK1204" s="37"/>
      <c r="AL1204" s="37"/>
      <c r="AM1204" s="37"/>
      <c r="AN1204" s="17"/>
      <c r="AO1204" s="17"/>
    </row>
    <row r="1205" ht="14.25" customHeight="1">
      <c r="A1205" s="25"/>
      <c r="B1205" s="16"/>
      <c r="C1205" s="3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36"/>
      <c r="AK1205" s="37"/>
      <c r="AL1205" s="37"/>
      <c r="AM1205" s="37"/>
      <c r="AN1205" s="17"/>
      <c r="AO1205" s="17"/>
    </row>
    <row r="1206" ht="14.25" customHeight="1">
      <c r="A1206" s="25"/>
      <c r="B1206" s="16"/>
      <c r="C1206" s="3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36"/>
      <c r="AK1206" s="37"/>
      <c r="AL1206" s="37"/>
      <c r="AM1206" s="37"/>
      <c r="AN1206" s="17"/>
      <c r="AO1206" s="17"/>
    </row>
    <row r="1207" ht="14.25" customHeight="1">
      <c r="A1207" s="25"/>
      <c r="B1207" s="16"/>
      <c r="C1207" s="3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36"/>
      <c r="AK1207" s="37"/>
      <c r="AL1207" s="37"/>
      <c r="AM1207" s="37"/>
      <c r="AN1207" s="17"/>
      <c r="AO1207" s="17"/>
    </row>
    <row r="1208" ht="14.25" customHeight="1">
      <c r="A1208" s="25"/>
      <c r="B1208" s="16"/>
      <c r="C1208" s="3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36"/>
      <c r="AK1208" s="37"/>
      <c r="AL1208" s="37"/>
      <c r="AM1208" s="37"/>
      <c r="AN1208" s="17"/>
      <c r="AO1208" s="17"/>
    </row>
    <row r="1209" ht="14.25" customHeight="1">
      <c r="A1209" s="25"/>
      <c r="B1209" s="16"/>
      <c r="C1209" s="3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36"/>
      <c r="AK1209" s="37"/>
      <c r="AL1209" s="37"/>
      <c r="AM1209" s="37"/>
      <c r="AN1209" s="17"/>
      <c r="AO1209" s="17"/>
    </row>
    <row r="1210" ht="14.25" customHeight="1">
      <c r="A1210" s="25"/>
      <c r="B1210" s="16"/>
      <c r="C1210" s="3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36"/>
      <c r="AK1210" s="37"/>
      <c r="AL1210" s="37"/>
      <c r="AM1210" s="37"/>
      <c r="AN1210" s="17"/>
      <c r="AO1210" s="17"/>
    </row>
    <row r="1211" ht="14.25" customHeight="1">
      <c r="A1211" s="25"/>
      <c r="B1211" s="16"/>
      <c r="C1211" s="3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36"/>
      <c r="AK1211" s="37"/>
      <c r="AL1211" s="37"/>
      <c r="AM1211" s="37"/>
      <c r="AN1211" s="17"/>
      <c r="AO1211" s="17"/>
    </row>
    <row r="1212" ht="14.25" customHeight="1">
      <c r="A1212" s="25"/>
      <c r="B1212" s="16"/>
      <c r="C1212" s="3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36"/>
      <c r="AK1212" s="37"/>
      <c r="AL1212" s="37"/>
      <c r="AM1212" s="37"/>
      <c r="AN1212" s="17"/>
      <c r="AO1212" s="17"/>
    </row>
    <row r="1213" ht="14.25" customHeight="1">
      <c r="A1213" s="25"/>
      <c r="B1213" s="16"/>
      <c r="C1213" s="3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36"/>
      <c r="AK1213" s="37"/>
      <c r="AL1213" s="37"/>
      <c r="AM1213" s="37"/>
      <c r="AN1213" s="17"/>
      <c r="AO1213" s="17"/>
    </row>
    <row r="1214" ht="14.25" customHeight="1">
      <c r="A1214" s="25"/>
      <c r="B1214" s="16"/>
      <c r="C1214" s="3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36"/>
      <c r="AK1214" s="37"/>
      <c r="AL1214" s="37"/>
      <c r="AM1214" s="37"/>
      <c r="AN1214" s="17"/>
      <c r="AO1214" s="17"/>
    </row>
    <row r="1215" ht="14.25" customHeight="1">
      <c r="A1215" s="25"/>
      <c r="B1215" s="16"/>
      <c r="C1215" s="3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36"/>
      <c r="AK1215" s="37"/>
      <c r="AL1215" s="37"/>
      <c r="AM1215" s="37"/>
      <c r="AN1215" s="17"/>
      <c r="AO1215" s="17"/>
    </row>
    <row r="1216" ht="14.25" customHeight="1">
      <c r="A1216" s="25"/>
      <c r="B1216" s="16"/>
      <c r="C1216" s="3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36"/>
      <c r="AK1216" s="37"/>
      <c r="AL1216" s="37"/>
      <c r="AM1216" s="37"/>
      <c r="AN1216" s="17"/>
      <c r="AO1216" s="17"/>
    </row>
    <row r="1217" ht="14.25" customHeight="1">
      <c r="A1217" s="25"/>
      <c r="B1217" s="16"/>
      <c r="C1217" s="3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36"/>
      <c r="AK1217" s="37"/>
      <c r="AL1217" s="37"/>
      <c r="AM1217" s="37"/>
      <c r="AN1217" s="17"/>
      <c r="AO1217" s="17"/>
    </row>
    <row r="1218" ht="14.25" customHeight="1">
      <c r="A1218" s="25"/>
      <c r="B1218" s="16"/>
      <c r="C1218" s="3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36"/>
      <c r="AK1218" s="37"/>
      <c r="AL1218" s="37"/>
      <c r="AM1218" s="37"/>
      <c r="AN1218" s="17"/>
      <c r="AO1218" s="17"/>
    </row>
    <row r="1219" ht="14.25" customHeight="1">
      <c r="A1219" s="25"/>
      <c r="B1219" s="16"/>
      <c r="C1219" s="3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36"/>
      <c r="AK1219" s="37"/>
      <c r="AL1219" s="37"/>
      <c r="AM1219" s="37"/>
      <c r="AN1219" s="17"/>
      <c r="AO1219" s="17"/>
    </row>
    <row r="1220" ht="14.25" customHeight="1">
      <c r="A1220" s="25"/>
      <c r="B1220" s="16"/>
      <c r="C1220" s="3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36"/>
      <c r="AK1220" s="37"/>
      <c r="AL1220" s="37"/>
      <c r="AM1220" s="37"/>
      <c r="AN1220" s="17"/>
      <c r="AO1220" s="17"/>
    </row>
    <row r="1221" ht="14.25" customHeight="1">
      <c r="A1221" s="25"/>
      <c r="B1221" s="16"/>
      <c r="C1221" s="3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36"/>
      <c r="AK1221" s="37"/>
      <c r="AL1221" s="37"/>
      <c r="AM1221" s="37"/>
      <c r="AN1221" s="17"/>
      <c r="AO1221" s="17"/>
    </row>
    <row r="1222" ht="14.25" customHeight="1">
      <c r="A1222" s="25"/>
      <c r="B1222" s="16"/>
      <c r="C1222" s="3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36"/>
      <c r="AK1222" s="37"/>
      <c r="AL1222" s="37"/>
      <c r="AM1222" s="37"/>
      <c r="AN1222" s="17"/>
      <c r="AO1222" s="17"/>
    </row>
    <row r="1223" ht="14.25" customHeight="1">
      <c r="A1223" s="25"/>
      <c r="B1223" s="16"/>
      <c r="C1223" s="3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36"/>
      <c r="AK1223" s="37"/>
      <c r="AL1223" s="37"/>
      <c r="AM1223" s="37"/>
      <c r="AN1223" s="17"/>
      <c r="AO1223" s="17"/>
    </row>
    <row r="1224" ht="14.25" customHeight="1">
      <c r="A1224" s="25"/>
      <c r="B1224" s="16"/>
      <c r="C1224" s="3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36"/>
      <c r="AK1224" s="37"/>
      <c r="AL1224" s="37"/>
      <c r="AM1224" s="37"/>
      <c r="AN1224" s="17"/>
      <c r="AO1224" s="17"/>
    </row>
    <row r="1225" ht="14.25" customHeight="1">
      <c r="A1225" s="25"/>
      <c r="B1225" s="16"/>
      <c r="C1225" s="3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36"/>
      <c r="AK1225" s="37"/>
      <c r="AL1225" s="37"/>
      <c r="AM1225" s="37"/>
      <c r="AN1225" s="17"/>
      <c r="AO1225" s="17"/>
    </row>
    <row r="1226" ht="14.25" customHeight="1">
      <c r="A1226" s="25"/>
      <c r="B1226" s="16"/>
      <c r="C1226" s="3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36"/>
      <c r="AK1226" s="37"/>
      <c r="AL1226" s="37"/>
      <c r="AM1226" s="37"/>
      <c r="AN1226" s="17"/>
      <c r="AO1226" s="17"/>
    </row>
    <row r="1227" ht="14.25" customHeight="1">
      <c r="A1227" s="25"/>
      <c r="B1227" s="16"/>
      <c r="C1227" s="3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36"/>
      <c r="AK1227" s="37"/>
      <c r="AL1227" s="37"/>
      <c r="AM1227" s="37"/>
      <c r="AN1227" s="17"/>
      <c r="AO1227" s="17"/>
    </row>
    <row r="1228" ht="14.25" customHeight="1">
      <c r="A1228" s="25"/>
      <c r="B1228" s="16"/>
      <c r="C1228" s="3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36"/>
      <c r="AK1228" s="37"/>
      <c r="AL1228" s="37"/>
      <c r="AM1228" s="37"/>
      <c r="AN1228" s="17"/>
      <c r="AO1228" s="17"/>
    </row>
    <row r="1229" ht="14.25" customHeight="1">
      <c r="A1229" s="25"/>
      <c r="B1229" s="16"/>
      <c r="C1229" s="3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36"/>
      <c r="AK1229" s="37"/>
      <c r="AL1229" s="37"/>
      <c r="AM1229" s="37"/>
      <c r="AN1229" s="17"/>
      <c r="AO1229" s="17"/>
    </row>
    <row r="1230" ht="14.25" customHeight="1">
      <c r="A1230" s="25"/>
      <c r="B1230" s="16"/>
      <c r="C1230" s="3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36"/>
      <c r="AK1230" s="37"/>
      <c r="AL1230" s="37"/>
      <c r="AM1230" s="37"/>
      <c r="AN1230" s="17"/>
      <c r="AO1230" s="17"/>
    </row>
    <row r="1231" ht="14.25" customHeight="1">
      <c r="A1231" s="25"/>
      <c r="B1231" s="16"/>
      <c r="C1231" s="3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36"/>
      <c r="AK1231" s="37"/>
      <c r="AL1231" s="37"/>
      <c r="AM1231" s="37"/>
      <c r="AN1231" s="17"/>
      <c r="AO1231" s="17"/>
    </row>
    <row r="1232" ht="14.25" customHeight="1">
      <c r="A1232" s="25"/>
      <c r="B1232" s="16"/>
      <c r="C1232" s="3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36"/>
      <c r="AK1232" s="37"/>
      <c r="AL1232" s="37"/>
      <c r="AM1232" s="37"/>
      <c r="AN1232" s="17"/>
      <c r="AO1232" s="17"/>
    </row>
    <row r="1233" ht="14.25" customHeight="1">
      <c r="A1233" s="25"/>
      <c r="B1233" s="16"/>
      <c r="C1233" s="3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36"/>
      <c r="AK1233" s="37"/>
      <c r="AL1233" s="37"/>
      <c r="AM1233" s="37"/>
      <c r="AN1233" s="17"/>
      <c r="AO1233" s="17"/>
    </row>
    <row r="1234" ht="14.25" customHeight="1">
      <c r="A1234" s="25"/>
      <c r="B1234" s="16"/>
      <c r="C1234" s="3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36"/>
      <c r="AK1234" s="37"/>
      <c r="AL1234" s="37"/>
      <c r="AM1234" s="37"/>
      <c r="AN1234" s="17"/>
      <c r="AO1234" s="17"/>
    </row>
    <row r="1235" ht="14.25" customHeight="1">
      <c r="A1235" s="25"/>
      <c r="B1235" s="16"/>
      <c r="C1235" s="3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36"/>
      <c r="AK1235" s="37"/>
      <c r="AL1235" s="37"/>
      <c r="AM1235" s="37"/>
      <c r="AN1235" s="17"/>
      <c r="AO1235" s="17"/>
    </row>
    <row r="1236" ht="14.25" customHeight="1">
      <c r="A1236" s="25"/>
      <c r="B1236" s="16"/>
      <c r="C1236" s="3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36"/>
      <c r="AK1236" s="37"/>
      <c r="AL1236" s="37"/>
      <c r="AM1236" s="37"/>
      <c r="AN1236" s="17"/>
      <c r="AO1236" s="17"/>
    </row>
    <row r="1237" ht="14.25" customHeight="1">
      <c r="A1237" s="25"/>
      <c r="B1237" s="16"/>
      <c r="C1237" s="3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36"/>
      <c r="AK1237" s="37"/>
      <c r="AL1237" s="37"/>
      <c r="AM1237" s="37"/>
      <c r="AN1237" s="17"/>
      <c r="AO1237" s="17"/>
    </row>
    <row r="1238" ht="14.25" customHeight="1">
      <c r="A1238" s="25"/>
      <c r="B1238" s="16"/>
      <c r="C1238" s="3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36"/>
      <c r="AK1238" s="37"/>
      <c r="AL1238" s="37"/>
      <c r="AM1238" s="37"/>
      <c r="AN1238" s="17"/>
      <c r="AO1238" s="17"/>
    </row>
    <row r="1239" ht="14.25" customHeight="1">
      <c r="A1239" s="25"/>
      <c r="B1239" s="16"/>
      <c r="C1239" s="3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36"/>
      <c r="AK1239" s="37"/>
      <c r="AL1239" s="37"/>
      <c r="AM1239" s="37"/>
      <c r="AN1239" s="17"/>
      <c r="AO1239" s="17"/>
    </row>
    <row r="1240" ht="14.25" customHeight="1">
      <c r="A1240" s="25"/>
      <c r="B1240" s="16"/>
      <c r="C1240" s="3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36"/>
      <c r="AK1240" s="37"/>
      <c r="AL1240" s="37"/>
      <c r="AM1240" s="37"/>
      <c r="AN1240" s="17"/>
      <c r="AO1240" s="17"/>
    </row>
    <row r="1241" ht="14.25" customHeight="1">
      <c r="A1241" s="25"/>
      <c r="B1241" s="16"/>
      <c r="C1241" s="3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36"/>
      <c r="AK1241" s="37"/>
      <c r="AL1241" s="37"/>
      <c r="AM1241" s="37"/>
      <c r="AN1241" s="17"/>
      <c r="AO1241" s="17"/>
    </row>
    <row r="1242" ht="14.25" customHeight="1">
      <c r="A1242" s="25"/>
      <c r="B1242" s="16"/>
      <c r="C1242" s="3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36"/>
      <c r="AK1242" s="37"/>
      <c r="AL1242" s="37"/>
      <c r="AM1242" s="37"/>
      <c r="AN1242" s="17"/>
      <c r="AO1242" s="17"/>
    </row>
    <row r="1243" ht="14.25" customHeight="1">
      <c r="A1243" s="25"/>
      <c r="B1243" s="16"/>
      <c r="C1243" s="3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36"/>
      <c r="AK1243" s="37"/>
      <c r="AL1243" s="37"/>
      <c r="AM1243" s="37"/>
      <c r="AN1243" s="17"/>
      <c r="AO1243" s="17"/>
    </row>
    <row r="1244" ht="14.25" customHeight="1">
      <c r="A1244" s="25"/>
      <c r="B1244" s="16"/>
      <c r="C1244" s="3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36"/>
      <c r="AK1244" s="37"/>
      <c r="AL1244" s="37"/>
      <c r="AM1244" s="37"/>
      <c r="AN1244" s="17"/>
      <c r="AO1244" s="17"/>
    </row>
    <row r="1245" ht="14.25" customHeight="1">
      <c r="A1245" s="25"/>
      <c r="B1245" s="16"/>
      <c r="C1245" s="3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36"/>
      <c r="AK1245" s="37"/>
      <c r="AL1245" s="37"/>
      <c r="AM1245" s="37"/>
      <c r="AN1245" s="17"/>
      <c r="AO1245" s="17"/>
    </row>
    <row r="1246" ht="14.25" customHeight="1">
      <c r="A1246" s="25"/>
      <c r="B1246" s="16"/>
      <c r="C1246" s="3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36"/>
      <c r="AK1246" s="37"/>
      <c r="AL1246" s="37"/>
      <c r="AM1246" s="37"/>
      <c r="AN1246" s="17"/>
      <c r="AO1246" s="17"/>
    </row>
    <row r="1247" ht="14.25" customHeight="1">
      <c r="A1247" s="25"/>
      <c r="B1247" s="16"/>
      <c r="C1247" s="3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36"/>
      <c r="AK1247" s="37"/>
      <c r="AL1247" s="37"/>
      <c r="AM1247" s="37"/>
      <c r="AN1247" s="17"/>
      <c r="AO1247" s="17"/>
    </row>
    <row r="1248" ht="14.25" customHeight="1">
      <c r="A1248" s="25"/>
      <c r="B1248" s="16"/>
      <c r="C1248" s="3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36"/>
      <c r="AK1248" s="37"/>
      <c r="AL1248" s="37"/>
      <c r="AM1248" s="37"/>
      <c r="AN1248" s="17"/>
      <c r="AO1248" s="17"/>
    </row>
    <row r="1249" ht="14.25" customHeight="1">
      <c r="A1249" s="25"/>
      <c r="B1249" s="16"/>
      <c r="C1249" s="3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36"/>
      <c r="AK1249" s="37"/>
      <c r="AL1249" s="37"/>
      <c r="AM1249" s="37"/>
      <c r="AN1249" s="17"/>
      <c r="AO1249" s="17"/>
    </row>
    <row r="1250" ht="14.25" customHeight="1">
      <c r="A1250" s="25"/>
      <c r="B1250" s="16"/>
      <c r="C1250" s="3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36"/>
      <c r="AK1250" s="37"/>
      <c r="AL1250" s="37"/>
      <c r="AM1250" s="37"/>
      <c r="AN1250" s="17"/>
      <c r="AO1250" s="17"/>
    </row>
    <row r="1251" ht="14.25" customHeight="1">
      <c r="A1251" s="25"/>
      <c r="B1251" s="16"/>
      <c r="C1251" s="3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36"/>
      <c r="AK1251" s="37"/>
      <c r="AL1251" s="37"/>
      <c r="AM1251" s="37"/>
      <c r="AN1251" s="17"/>
      <c r="AO1251" s="17"/>
    </row>
    <row r="1252" ht="14.25" customHeight="1">
      <c r="A1252" s="25"/>
      <c r="B1252" s="16"/>
      <c r="C1252" s="3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36"/>
      <c r="AK1252" s="37"/>
      <c r="AL1252" s="37"/>
      <c r="AM1252" s="37"/>
      <c r="AN1252" s="17"/>
      <c r="AO1252" s="17"/>
    </row>
    <row r="1253" ht="14.25" customHeight="1">
      <c r="A1253" s="25"/>
      <c r="B1253" s="16"/>
      <c r="C1253" s="3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36"/>
      <c r="AK1253" s="37"/>
      <c r="AL1253" s="37"/>
      <c r="AM1253" s="37"/>
      <c r="AN1253" s="17"/>
      <c r="AO1253" s="17"/>
    </row>
    <row r="1254" ht="14.25" customHeight="1">
      <c r="A1254" s="25"/>
      <c r="B1254" s="16"/>
      <c r="C1254" s="3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36"/>
      <c r="AK1254" s="37"/>
      <c r="AL1254" s="37"/>
      <c r="AM1254" s="37"/>
      <c r="AN1254" s="17"/>
      <c r="AO1254" s="17"/>
    </row>
    <row r="1255" ht="14.25" customHeight="1">
      <c r="A1255" s="25"/>
      <c r="B1255" s="16"/>
      <c r="C1255" s="3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36"/>
      <c r="AK1255" s="37"/>
      <c r="AL1255" s="37"/>
      <c r="AM1255" s="37"/>
      <c r="AN1255" s="17"/>
      <c r="AO1255" s="17"/>
    </row>
    <row r="1256" ht="14.25" customHeight="1">
      <c r="A1256" s="25"/>
      <c r="B1256" s="16"/>
      <c r="C1256" s="3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36"/>
      <c r="AK1256" s="37"/>
      <c r="AL1256" s="37"/>
      <c r="AM1256" s="37"/>
      <c r="AN1256" s="17"/>
      <c r="AO1256" s="17"/>
    </row>
    <row r="1257" ht="14.25" customHeight="1">
      <c r="A1257" s="25"/>
      <c r="B1257" s="16"/>
      <c r="C1257" s="3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36"/>
      <c r="AK1257" s="37"/>
      <c r="AL1257" s="37"/>
      <c r="AM1257" s="37"/>
      <c r="AN1257" s="17"/>
      <c r="AO1257" s="17"/>
    </row>
    <row r="1258" ht="14.25" customHeight="1">
      <c r="A1258" s="25"/>
      <c r="B1258" s="16"/>
      <c r="C1258" s="3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36"/>
      <c r="AK1258" s="37"/>
      <c r="AL1258" s="37"/>
      <c r="AM1258" s="37"/>
      <c r="AN1258" s="17"/>
      <c r="AO1258" s="17"/>
    </row>
    <row r="1259" ht="14.25" customHeight="1">
      <c r="A1259" s="25"/>
      <c r="B1259" s="16"/>
      <c r="C1259" s="3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36"/>
      <c r="AK1259" s="37"/>
      <c r="AL1259" s="37"/>
      <c r="AM1259" s="37"/>
      <c r="AN1259" s="17"/>
      <c r="AO1259" s="17"/>
    </row>
    <row r="1260" ht="14.25" customHeight="1">
      <c r="A1260" s="25"/>
      <c r="B1260" s="16"/>
      <c r="C1260" s="3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36"/>
      <c r="AK1260" s="37"/>
      <c r="AL1260" s="37"/>
      <c r="AM1260" s="37"/>
      <c r="AN1260" s="17"/>
      <c r="AO1260" s="17"/>
    </row>
    <row r="1261" ht="14.25" customHeight="1">
      <c r="A1261" s="25"/>
      <c r="B1261" s="16"/>
      <c r="C1261" s="3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36"/>
      <c r="AK1261" s="37"/>
      <c r="AL1261" s="37"/>
      <c r="AM1261" s="37"/>
      <c r="AN1261" s="17"/>
      <c r="AO1261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2.14"/>
    <col customWidth="1" min="3" max="3" width="10.14"/>
    <col customWidth="1" min="4" max="22" width="8.71"/>
  </cols>
  <sheetData>
    <row r="1" ht="14.25" customHeight="1">
      <c r="A1" s="38" t="s">
        <v>0</v>
      </c>
      <c r="B1" s="38" t="s">
        <v>51</v>
      </c>
      <c r="C1" s="38"/>
      <c r="D1" s="11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2</v>
      </c>
      <c r="P1" s="2" t="s">
        <v>63</v>
      </c>
      <c r="Q1" s="39"/>
      <c r="R1" s="40"/>
      <c r="S1" s="40"/>
      <c r="T1" s="40"/>
      <c r="U1" s="40"/>
      <c r="V1" s="40"/>
    </row>
    <row r="2" ht="14.25" customHeight="1">
      <c r="A2" s="41">
        <v>45125.0</v>
      </c>
      <c r="B2" s="42" t="s">
        <v>41</v>
      </c>
      <c r="C2" s="43" t="s">
        <v>20</v>
      </c>
      <c r="D2" s="44"/>
      <c r="E2" s="45"/>
      <c r="F2" s="45"/>
      <c r="G2" s="46"/>
      <c r="H2" s="46"/>
      <c r="I2" s="45"/>
      <c r="J2" s="45"/>
      <c r="K2" s="47"/>
      <c r="L2" s="45"/>
      <c r="M2" s="45"/>
      <c r="N2" s="45"/>
      <c r="O2" s="45"/>
      <c r="P2" s="45"/>
      <c r="Q2" s="48"/>
    </row>
    <row r="3" ht="14.25" customHeight="1">
      <c r="A3" s="49"/>
      <c r="C3" s="50" t="s">
        <v>21</v>
      </c>
      <c r="D3" s="51"/>
      <c r="E3" s="2">
        <v>9.0</v>
      </c>
      <c r="F3" s="2">
        <v>3.0</v>
      </c>
      <c r="G3" s="52"/>
      <c r="H3" s="53">
        <v>7.0</v>
      </c>
      <c r="I3" s="2">
        <v>2.0</v>
      </c>
      <c r="J3" s="2">
        <v>3.0</v>
      </c>
      <c r="K3" s="54"/>
      <c r="L3" s="55"/>
      <c r="M3" s="55"/>
      <c r="N3" s="55"/>
      <c r="O3" s="55"/>
      <c r="P3" s="55"/>
      <c r="Q3" s="48"/>
    </row>
    <row r="4" ht="14.25" customHeight="1">
      <c r="A4" s="49"/>
      <c r="C4" s="50" t="s">
        <v>22</v>
      </c>
      <c r="D4" s="51"/>
      <c r="E4" s="55"/>
      <c r="F4" s="55"/>
      <c r="G4" s="52"/>
      <c r="H4" s="52"/>
      <c r="I4" s="55"/>
      <c r="J4" s="55"/>
      <c r="K4" s="54"/>
      <c r="L4" s="55"/>
      <c r="M4" s="55"/>
      <c r="N4" s="55"/>
      <c r="O4" s="55"/>
      <c r="P4" s="55"/>
      <c r="Q4" s="48"/>
    </row>
    <row r="5" ht="14.25" customHeight="1">
      <c r="A5" s="49"/>
      <c r="C5" s="50" t="s">
        <v>23</v>
      </c>
      <c r="D5" s="51"/>
      <c r="E5" s="55"/>
      <c r="F5" s="55"/>
      <c r="G5" s="52"/>
      <c r="H5" s="52"/>
      <c r="I5" s="55"/>
      <c r="J5" s="55"/>
      <c r="K5" s="54"/>
      <c r="L5" s="55"/>
      <c r="M5" s="55"/>
      <c r="N5" s="55"/>
      <c r="O5" s="55"/>
      <c r="P5" s="55"/>
      <c r="Q5" s="48"/>
    </row>
    <row r="6" ht="14.25" customHeight="1">
      <c r="A6" s="49"/>
      <c r="C6" s="50" t="s">
        <v>24</v>
      </c>
      <c r="D6" s="51"/>
      <c r="E6" s="55"/>
      <c r="F6" s="55"/>
      <c r="G6" s="52"/>
      <c r="H6" s="52"/>
      <c r="I6" s="55"/>
      <c r="J6" s="55"/>
      <c r="K6" s="54"/>
      <c r="L6" s="55"/>
      <c r="M6" s="55"/>
      <c r="N6" s="55"/>
      <c r="O6" s="55"/>
      <c r="P6" s="55"/>
      <c r="Q6" s="48"/>
    </row>
    <row r="7" ht="14.25" customHeight="1">
      <c r="A7" s="49"/>
      <c r="C7" s="50" t="s">
        <v>25</v>
      </c>
      <c r="D7" s="51"/>
      <c r="E7" s="55"/>
      <c r="F7" s="55"/>
      <c r="G7" s="52"/>
      <c r="H7" s="52"/>
      <c r="I7" s="55"/>
      <c r="J7" s="55"/>
      <c r="K7" s="54"/>
      <c r="L7" s="55"/>
      <c r="M7" s="55"/>
      <c r="N7" s="55"/>
      <c r="O7" s="55"/>
      <c r="P7" s="55"/>
      <c r="Q7" s="48"/>
    </row>
    <row r="8" ht="14.25" customHeight="1">
      <c r="A8" s="56"/>
      <c r="B8" s="57"/>
      <c r="C8" s="50" t="s">
        <v>26</v>
      </c>
      <c r="D8" s="51"/>
      <c r="E8" s="55"/>
      <c r="F8" s="55"/>
      <c r="G8" s="52"/>
      <c r="H8" s="52"/>
      <c r="I8" s="55"/>
      <c r="J8" s="55"/>
      <c r="K8" s="54"/>
      <c r="L8" s="55"/>
      <c r="M8" s="55"/>
      <c r="N8" s="55"/>
      <c r="O8" s="55"/>
      <c r="P8" s="55"/>
      <c r="Q8" s="48"/>
    </row>
    <row r="9" ht="14.25" customHeight="1">
      <c r="A9" s="41">
        <v>45126.0</v>
      </c>
      <c r="B9" s="42" t="s">
        <v>42</v>
      </c>
      <c r="C9" s="43" t="s">
        <v>20</v>
      </c>
      <c r="D9" s="44">
        <v>3.0</v>
      </c>
      <c r="E9" s="58">
        <v>4.0</v>
      </c>
      <c r="F9" s="45"/>
      <c r="G9" s="59">
        <v>2.0</v>
      </c>
      <c r="H9" s="46"/>
      <c r="I9" s="58">
        <v>4.0</v>
      </c>
      <c r="J9" s="45"/>
      <c r="K9" s="47"/>
      <c r="L9" s="45"/>
      <c r="M9" s="45"/>
      <c r="N9" s="45"/>
      <c r="O9" s="45"/>
      <c r="P9" s="45"/>
      <c r="Q9" s="48"/>
    </row>
    <row r="10" ht="14.25" customHeight="1">
      <c r="A10" s="49"/>
      <c r="C10" s="50" t="s">
        <v>21</v>
      </c>
      <c r="D10" s="51"/>
      <c r="E10" s="2"/>
      <c r="F10" s="2">
        <v>4.0</v>
      </c>
      <c r="G10" s="52"/>
      <c r="H10" s="53"/>
      <c r="I10" s="2"/>
      <c r="J10" s="2">
        <v>4.0</v>
      </c>
      <c r="K10" s="54"/>
      <c r="L10" s="55"/>
      <c r="M10" s="55"/>
      <c r="N10" s="55"/>
      <c r="O10" s="55"/>
      <c r="P10" s="55"/>
      <c r="Q10" s="48"/>
    </row>
    <row r="11" ht="14.25" customHeight="1">
      <c r="A11" s="49"/>
      <c r="C11" s="50" t="s">
        <v>22</v>
      </c>
      <c r="D11" s="51"/>
      <c r="E11" s="55"/>
      <c r="F11" s="55"/>
      <c r="G11" s="52"/>
      <c r="H11" s="52"/>
      <c r="I11" s="55"/>
      <c r="J11" s="55"/>
      <c r="K11" s="54"/>
      <c r="L11" s="55"/>
      <c r="M11" s="55"/>
      <c r="N11" s="55"/>
      <c r="O11" s="55"/>
      <c r="P11" s="55"/>
      <c r="Q11" s="48"/>
    </row>
    <row r="12" ht="14.25" customHeight="1">
      <c r="A12" s="49"/>
      <c r="C12" s="50" t="s">
        <v>23</v>
      </c>
      <c r="D12" s="51"/>
      <c r="E12" s="2">
        <v>5.0</v>
      </c>
      <c r="F12" s="55"/>
      <c r="G12" s="52"/>
      <c r="H12" s="53">
        <v>1.0</v>
      </c>
      <c r="I12" s="2">
        <v>1.0</v>
      </c>
      <c r="J12" s="55"/>
      <c r="K12" s="54"/>
      <c r="L12" s="55"/>
      <c r="M12" s="55"/>
      <c r="N12" s="2">
        <v>3.0</v>
      </c>
      <c r="O12" s="55"/>
      <c r="P12" s="55"/>
      <c r="Q12" s="48"/>
    </row>
    <row r="13" ht="14.25" customHeight="1">
      <c r="A13" s="49"/>
      <c r="C13" s="50" t="s">
        <v>24</v>
      </c>
      <c r="D13" s="51"/>
      <c r="E13" s="2">
        <v>1.0</v>
      </c>
      <c r="F13" s="55"/>
      <c r="G13" s="52"/>
      <c r="H13" s="53">
        <v>1.0</v>
      </c>
      <c r="I13" s="55"/>
      <c r="J13" s="55"/>
      <c r="K13" s="54"/>
      <c r="L13" s="55"/>
      <c r="M13" s="55"/>
      <c r="N13" s="55"/>
      <c r="O13" s="55"/>
      <c r="P13" s="55"/>
      <c r="Q13" s="48"/>
    </row>
    <row r="14" ht="14.25" customHeight="1">
      <c r="A14" s="49"/>
      <c r="C14" s="50" t="s">
        <v>25</v>
      </c>
      <c r="D14" s="51"/>
      <c r="E14" s="55"/>
      <c r="F14" s="55"/>
      <c r="G14" s="52"/>
      <c r="H14" s="52"/>
      <c r="I14" s="55"/>
      <c r="J14" s="55"/>
      <c r="K14" s="54"/>
      <c r="L14" s="55"/>
      <c r="M14" s="55"/>
      <c r="N14" s="55"/>
      <c r="O14" s="55"/>
      <c r="P14" s="55"/>
      <c r="Q14" s="48"/>
    </row>
    <row r="15" ht="14.25" customHeight="1">
      <c r="A15" s="56"/>
      <c r="B15" s="57"/>
      <c r="C15" s="50" t="s">
        <v>26</v>
      </c>
      <c r="D15" s="51"/>
      <c r="E15" s="55"/>
      <c r="F15" s="55"/>
      <c r="G15" s="52"/>
      <c r="H15" s="52"/>
      <c r="I15" s="55"/>
      <c r="J15" s="55"/>
      <c r="K15" s="54"/>
      <c r="L15" s="55"/>
      <c r="M15" s="55"/>
      <c r="N15" s="55"/>
      <c r="O15" s="55"/>
      <c r="P15" s="55"/>
      <c r="Q15" s="48"/>
    </row>
    <row r="16" ht="14.25" customHeight="1">
      <c r="A16" s="41">
        <v>45126.0</v>
      </c>
      <c r="B16" s="42" t="s">
        <v>43</v>
      </c>
      <c r="C16" s="43" t="s">
        <v>20</v>
      </c>
      <c r="D16" s="44"/>
      <c r="E16" s="58">
        <v>7.0</v>
      </c>
      <c r="F16" s="45"/>
      <c r="G16" s="59">
        <v>2.0</v>
      </c>
      <c r="H16" s="59">
        <v>1.0</v>
      </c>
      <c r="I16" s="58">
        <v>6.0</v>
      </c>
      <c r="J16" s="45"/>
      <c r="K16" s="47"/>
      <c r="L16" s="45"/>
      <c r="M16" s="45"/>
      <c r="N16" s="45"/>
      <c r="O16" s="45"/>
      <c r="P16" s="45"/>
    </row>
    <row r="17" ht="14.25" customHeight="1">
      <c r="A17" s="49"/>
      <c r="C17" s="50" t="s">
        <v>21</v>
      </c>
      <c r="D17" s="51"/>
      <c r="E17" s="2"/>
      <c r="F17" s="2"/>
      <c r="G17" s="52"/>
      <c r="H17" s="53"/>
      <c r="I17" s="2"/>
      <c r="J17" s="2"/>
      <c r="K17" s="54"/>
      <c r="L17" s="55"/>
      <c r="M17" s="55"/>
      <c r="N17" s="55"/>
      <c r="O17" s="55"/>
      <c r="P17" s="55"/>
    </row>
    <row r="18" ht="14.25" customHeight="1">
      <c r="A18" s="49"/>
      <c r="C18" s="50" t="s">
        <v>22</v>
      </c>
      <c r="D18" s="51"/>
      <c r="E18" s="55"/>
      <c r="F18" s="55"/>
      <c r="G18" s="52"/>
      <c r="H18" s="52"/>
      <c r="I18" s="55"/>
      <c r="J18" s="55"/>
      <c r="K18" s="54"/>
      <c r="L18" s="55"/>
      <c r="M18" s="55"/>
      <c r="N18" s="55"/>
      <c r="O18" s="55"/>
      <c r="P18" s="55"/>
    </row>
    <row r="19" ht="14.25" customHeight="1">
      <c r="A19" s="49"/>
      <c r="C19" s="50" t="s">
        <v>23</v>
      </c>
      <c r="D19" s="51"/>
      <c r="E19" s="2">
        <v>2.0</v>
      </c>
      <c r="F19" s="55"/>
      <c r="G19" s="52"/>
      <c r="H19" s="53">
        <v>2.0</v>
      </c>
      <c r="I19" s="55"/>
      <c r="J19" s="55"/>
      <c r="K19" s="54"/>
      <c r="L19" s="55"/>
      <c r="M19" s="55"/>
      <c r="N19" s="55"/>
      <c r="O19" s="55"/>
      <c r="P19" s="55"/>
    </row>
    <row r="20" ht="14.25" customHeight="1">
      <c r="A20" s="49"/>
      <c r="C20" s="50" t="s">
        <v>24</v>
      </c>
      <c r="D20" s="51"/>
      <c r="E20" s="55"/>
      <c r="F20" s="55"/>
      <c r="G20" s="52"/>
      <c r="H20" s="52"/>
      <c r="I20" s="55"/>
      <c r="J20" s="55"/>
      <c r="K20" s="54"/>
      <c r="L20" s="55"/>
      <c r="M20" s="55"/>
      <c r="N20" s="55"/>
      <c r="O20" s="55"/>
      <c r="P20" s="55"/>
    </row>
    <row r="21" ht="14.25" customHeight="1">
      <c r="A21" s="49"/>
      <c r="C21" s="50" t="s">
        <v>25</v>
      </c>
      <c r="D21" s="51"/>
      <c r="E21" s="55"/>
      <c r="F21" s="55"/>
      <c r="G21" s="52"/>
      <c r="H21" s="52"/>
      <c r="I21" s="55"/>
      <c r="J21" s="55"/>
      <c r="K21" s="54"/>
      <c r="L21" s="55"/>
      <c r="M21" s="55"/>
      <c r="N21" s="55"/>
      <c r="O21" s="55"/>
      <c r="P21" s="55"/>
    </row>
    <row r="22" ht="14.25" customHeight="1">
      <c r="A22" s="56"/>
      <c r="B22" s="57"/>
      <c r="C22" s="50" t="s">
        <v>26</v>
      </c>
      <c r="D22" s="51"/>
      <c r="E22" s="55"/>
      <c r="F22" s="55"/>
      <c r="G22" s="52"/>
      <c r="H22" s="52"/>
      <c r="I22" s="55"/>
      <c r="J22" s="55"/>
      <c r="K22" s="54"/>
      <c r="L22" s="55"/>
      <c r="M22" s="55"/>
      <c r="N22" s="55"/>
      <c r="O22" s="55"/>
      <c r="P22" s="55"/>
    </row>
    <row r="23" ht="14.25" customHeight="1">
      <c r="A23" s="41">
        <v>45127.0</v>
      </c>
      <c r="B23" s="42" t="s">
        <v>42</v>
      </c>
      <c r="C23" s="43" t="s">
        <v>20</v>
      </c>
      <c r="D23" s="44">
        <v>1.0</v>
      </c>
      <c r="E23" s="58">
        <v>2.0</v>
      </c>
      <c r="F23" s="45"/>
      <c r="G23" s="46"/>
      <c r="H23" s="46"/>
      <c r="I23" s="58">
        <v>2.0</v>
      </c>
      <c r="J23" s="45"/>
      <c r="K23" s="47"/>
      <c r="L23" s="45"/>
      <c r="M23" s="45"/>
      <c r="N23" s="45"/>
      <c r="O23" s="45"/>
      <c r="P23" s="45"/>
    </row>
    <row r="24" ht="14.25" customHeight="1">
      <c r="A24" s="49"/>
      <c r="C24" s="50" t="s">
        <v>21</v>
      </c>
      <c r="D24" s="51"/>
      <c r="E24" s="2"/>
      <c r="F24" s="2"/>
      <c r="G24" s="52"/>
      <c r="H24" s="53"/>
      <c r="I24" s="2"/>
      <c r="J24" s="2"/>
      <c r="K24" s="54"/>
      <c r="L24" s="55"/>
      <c r="M24" s="55"/>
      <c r="N24" s="55"/>
      <c r="O24" s="55"/>
      <c r="P24" s="55"/>
    </row>
    <row r="25" ht="14.25" customHeight="1">
      <c r="A25" s="49"/>
      <c r="C25" s="50" t="s">
        <v>22</v>
      </c>
      <c r="D25" s="51"/>
      <c r="E25" s="55"/>
      <c r="F25" s="55"/>
      <c r="G25" s="52"/>
      <c r="H25" s="52"/>
      <c r="I25" s="55"/>
      <c r="J25" s="55"/>
      <c r="K25" s="54"/>
      <c r="L25" s="55"/>
      <c r="M25" s="55"/>
      <c r="N25" s="55"/>
      <c r="O25" s="55"/>
      <c r="P25" s="55"/>
    </row>
    <row r="26" ht="14.25" customHeight="1">
      <c r="A26" s="49"/>
      <c r="C26" s="50" t="s">
        <v>23</v>
      </c>
      <c r="D26" s="51"/>
      <c r="E26" s="55"/>
      <c r="F26" s="55"/>
      <c r="G26" s="52"/>
      <c r="H26" s="52"/>
      <c r="I26" s="55"/>
      <c r="J26" s="55"/>
      <c r="K26" s="54"/>
      <c r="L26" s="55"/>
      <c r="M26" s="55"/>
      <c r="N26" s="55"/>
      <c r="O26" s="55"/>
      <c r="P26" s="55"/>
    </row>
    <row r="27" ht="14.25" customHeight="1">
      <c r="A27" s="49"/>
      <c r="C27" s="50" t="s">
        <v>24</v>
      </c>
      <c r="D27" s="51"/>
      <c r="E27" s="55"/>
      <c r="F27" s="55"/>
      <c r="G27" s="52"/>
      <c r="H27" s="52"/>
      <c r="I27" s="55"/>
      <c r="J27" s="55"/>
      <c r="K27" s="54"/>
      <c r="L27" s="55"/>
      <c r="M27" s="55"/>
      <c r="N27" s="55"/>
      <c r="O27" s="55"/>
      <c r="P27" s="55"/>
    </row>
    <row r="28" ht="14.25" customHeight="1">
      <c r="A28" s="49"/>
      <c r="C28" s="50" t="s">
        <v>25</v>
      </c>
      <c r="D28" s="51"/>
      <c r="E28" s="55"/>
      <c r="F28" s="55"/>
      <c r="G28" s="52"/>
      <c r="H28" s="52"/>
      <c r="I28" s="55"/>
      <c r="J28" s="55"/>
      <c r="K28" s="54"/>
      <c r="L28" s="55"/>
      <c r="M28" s="55"/>
      <c r="N28" s="55"/>
      <c r="O28" s="55"/>
      <c r="P28" s="55"/>
    </row>
    <row r="29" ht="14.25" customHeight="1">
      <c r="A29" s="56"/>
      <c r="B29" s="57"/>
      <c r="C29" s="50" t="s">
        <v>26</v>
      </c>
      <c r="D29" s="51"/>
      <c r="E29" s="55"/>
      <c r="F29" s="55"/>
      <c r="G29" s="52"/>
      <c r="H29" s="52"/>
      <c r="I29" s="55"/>
      <c r="J29" s="55"/>
      <c r="K29" s="54"/>
      <c r="L29" s="55"/>
      <c r="M29" s="55"/>
      <c r="N29" s="55"/>
      <c r="O29" s="55"/>
      <c r="P29" s="55"/>
    </row>
    <row r="30" ht="14.25" customHeight="1">
      <c r="A30" s="41">
        <v>45127.0</v>
      </c>
      <c r="B30" s="42" t="s">
        <v>43</v>
      </c>
      <c r="C30" s="43" t="s">
        <v>20</v>
      </c>
      <c r="D30" s="44"/>
      <c r="E30" s="45"/>
      <c r="F30" s="45"/>
      <c r="G30" s="59">
        <v>2.0</v>
      </c>
      <c r="H30" s="59">
        <v>3.0</v>
      </c>
      <c r="I30" s="58">
        <v>2.0</v>
      </c>
      <c r="J30" s="58">
        <v>1.0</v>
      </c>
      <c r="K30" s="47"/>
      <c r="L30" s="45"/>
      <c r="M30" s="45"/>
      <c r="N30" s="45"/>
      <c r="O30" s="45"/>
      <c r="P30" s="45"/>
    </row>
    <row r="31" ht="14.25" customHeight="1">
      <c r="A31" s="49"/>
      <c r="C31" s="50" t="s">
        <v>21</v>
      </c>
      <c r="D31" s="51"/>
      <c r="E31" s="2"/>
      <c r="F31" s="2"/>
      <c r="G31" s="52"/>
      <c r="H31" s="53"/>
      <c r="I31" s="2"/>
      <c r="J31" s="2"/>
      <c r="K31" s="54"/>
      <c r="L31" s="55"/>
      <c r="M31" s="55"/>
      <c r="N31" s="55"/>
      <c r="O31" s="55"/>
      <c r="P31" s="55"/>
    </row>
    <row r="32" ht="14.25" customHeight="1">
      <c r="A32" s="49"/>
      <c r="C32" s="50" t="s">
        <v>22</v>
      </c>
      <c r="D32" s="51"/>
      <c r="E32" s="55"/>
      <c r="F32" s="55"/>
      <c r="G32" s="52"/>
      <c r="H32" s="52"/>
      <c r="I32" s="55"/>
      <c r="J32" s="55"/>
      <c r="K32" s="54"/>
      <c r="L32" s="55"/>
      <c r="M32" s="55"/>
      <c r="N32" s="55"/>
      <c r="O32" s="55"/>
      <c r="P32" s="55"/>
    </row>
    <row r="33" ht="14.25" customHeight="1">
      <c r="A33" s="49"/>
      <c r="C33" s="50" t="s">
        <v>23</v>
      </c>
      <c r="D33" s="51"/>
      <c r="E33" s="55"/>
      <c r="F33" s="55"/>
      <c r="G33" s="52"/>
      <c r="H33" s="52"/>
      <c r="I33" s="55"/>
      <c r="J33" s="55"/>
      <c r="K33" s="54"/>
      <c r="L33" s="55"/>
      <c r="M33" s="55"/>
      <c r="N33" s="55"/>
      <c r="O33" s="55"/>
      <c r="P33" s="55"/>
    </row>
    <row r="34" ht="14.25" customHeight="1">
      <c r="A34" s="49"/>
      <c r="C34" s="50" t="s">
        <v>24</v>
      </c>
      <c r="D34" s="51">
        <v>1.0</v>
      </c>
      <c r="E34" s="55"/>
      <c r="F34" s="55"/>
      <c r="G34" s="52"/>
      <c r="H34" s="52"/>
      <c r="I34" s="55"/>
      <c r="J34" s="55"/>
      <c r="K34" s="54"/>
      <c r="L34" s="55"/>
      <c r="M34" s="55"/>
      <c r="N34" s="55"/>
      <c r="O34" s="55"/>
      <c r="P34" s="55"/>
    </row>
    <row r="35" ht="14.25" customHeight="1">
      <c r="A35" s="49"/>
      <c r="C35" s="50" t="s">
        <v>25</v>
      </c>
      <c r="D35" s="51"/>
      <c r="E35" s="55"/>
      <c r="F35" s="55"/>
      <c r="G35" s="52"/>
      <c r="H35" s="52"/>
      <c r="I35" s="55"/>
      <c r="J35" s="55"/>
      <c r="K35" s="54"/>
      <c r="L35" s="55"/>
      <c r="M35" s="55"/>
      <c r="N35" s="55"/>
      <c r="O35" s="55"/>
      <c r="P35" s="55"/>
    </row>
    <row r="36" ht="14.25" customHeight="1">
      <c r="A36" s="56"/>
      <c r="B36" s="57"/>
      <c r="C36" s="50" t="s">
        <v>26</v>
      </c>
      <c r="D36" s="51"/>
      <c r="E36" s="55"/>
      <c r="F36" s="55"/>
      <c r="G36" s="52"/>
      <c r="H36" s="52"/>
      <c r="I36" s="55"/>
      <c r="J36" s="55"/>
      <c r="K36" s="54"/>
      <c r="L36" s="55"/>
      <c r="M36" s="55"/>
      <c r="N36" s="55"/>
      <c r="O36" s="55"/>
      <c r="P36" s="55"/>
    </row>
    <row r="37" ht="14.25" customHeight="1">
      <c r="A37" s="41">
        <v>45128.0</v>
      </c>
      <c r="B37" s="42" t="s">
        <v>42</v>
      </c>
      <c r="C37" s="43" t="s">
        <v>20</v>
      </c>
      <c r="D37" s="44">
        <v>1.0</v>
      </c>
      <c r="E37" s="58">
        <v>1.0</v>
      </c>
      <c r="F37" s="58">
        <v>1.0</v>
      </c>
      <c r="G37" s="46"/>
      <c r="H37" s="46"/>
      <c r="I37" s="58">
        <v>1.0</v>
      </c>
      <c r="J37" s="58">
        <v>1.0</v>
      </c>
      <c r="K37" s="47"/>
      <c r="L37" s="45"/>
      <c r="M37" s="45"/>
      <c r="N37" s="45"/>
      <c r="O37" s="45"/>
      <c r="P37" s="45"/>
    </row>
    <row r="38" ht="14.25" customHeight="1">
      <c r="A38" s="49"/>
      <c r="C38" s="50" t="s">
        <v>21</v>
      </c>
      <c r="D38" s="51"/>
      <c r="E38" s="2"/>
      <c r="F38" s="2"/>
      <c r="G38" s="52"/>
      <c r="H38" s="53"/>
      <c r="I38" s="2"/>
      <c r="J38" s="2"/>
      <c r="K38" s="54"/>
      <c r="L38" s="55"/>
      <c r="M38" s="55"/>
      <c r="N38" s="55"/>
      <c r="O38" s="55"/>
      <c r="P38" s="55"/>
    </row>
    <row r="39" ht="14.25" customHeight="1">
      <c r="A39" s="49"/>
      <c r="C39" s="50" t="s">
        <v>22</v>
      </c>
      <c r="D39" s="51"/>
      <c r="E39" s="55"/>
      <c r="F39" s="55"/>
      <c r="G39" s="52"/>
      <c r="H39" s="52"/>
      <c r="I39" s="55"/>
      <c r="J39" s="55"/>
      <c r="K39" s="54"/>
      <c r="L39" s="55"/>
      <c r="M39" s="55"/>
      <c r="N39" s="55"/>
      <c r="O39" s="55"/>
      <c r="P39" s="55"/>
    </row>
    <row r="40" ht="14.25" customHeight="1">
      <c r="A40" s="49"/>
      <c r="C40" s="50" t="s">
        <v>23</v>
      </c>
      <c r="D40" s="51"/>
      <c r="E40" s="55"/>
      <c r="F40" s="55"/>
      <c r="G40" s="52"/>
      <c r="H40" s="52"/>
      <c r="I40" s="55"/>
      <c r="J40" s="55"/>
      <c r="K40" s="54"/>
      <c r="L40" s="55"/>
      <c r="M40" s="55"/>
      <c r="N40" s="55"/>
      <c r="O40" s="55"/>
      <c r="P40" s="55"/>
    </row>
    <row r="41" ht="14.25" customHeight="1">
      <c r="A41" s="49"/>
      <c r="C41" s="50" t="s">
        <v>24</v>
      </c>
      <c r="D41" s="51"/>
      <c r="E41" s="55"/>
      <c r="F41" s="55"/>
      <c r="G41" s="52"/>
      <c r="H41" s="52"/>
      <c r="I41" s="55"/>
      <c r="J41" s="55"/>
      <c r="K41" s="54"/>
      <c r="L41" s="55"/>
      <c r="M41" s="55"/>
      <c r="N41" s="55"/>
      <c r="O41" s="55"/>
      <c r="P41" s="55"/>
    </row>
    <row r="42" ht="14.25" customHeight="1">
      <c r="A42" s="49"/>
      <c r="C42" s="50" t="s">
        <v>25</v>
      </c>
      <c r="D42" s="51"/>
      <c r="E42" s="2">
        <v>1.0</v>
      </c>
      <c r="F42" s="55"/>
      <c r="G42" s="52"/>
      <c r="H42" s="52"/>
      <c r="I42" s="2">
        <v>1.0</v>
      </c>
      <c r="J42" s="55"/>
      <c r="K42" s="54"/>
      <c r="L42" s="55"/>
      <c r="M42" s="55"/>
      <c r="N42" s="55"/>
      <c r="O42" s="55"/>
      <c r="P42" s="55"/>
    </row>
    <row r="43" ht="14.25" customHeight="1">
      <c r="A43" s="56"/>
      <c r="B43" s="57"/>
      <c r="C43" s="50" t="s">
        <v>26</v>
      </c>
      <c r="D43" s="51"/>
      <c r="E43" s="55"/>
      <c r="F43" s="55"/>
      <c r="G43" s="52"/>
      <c r="H43" s="52"/>
      <c r="I43" s="55"/>
      <c r="J43" s="55"/>
      <c r="K43" s="54"/>
      <c r="L43" s="55"/>
      <c r="M43" s="55"/>
      <c r="N43" s="55"/>
      <c r="O43" s="55"/>
      <c r="P43" s="55"/>
    </row>
    <row r="44" ht="14.25" customHeight="1">
      <c r="A44" s="41">
        <v>45128.0</v>
      </c>
      <c r="B44" s="42" t="s">
        <v>43</v>
      </c>
      <c r="C44" s="43" t="s">
        <v>20</v>
      </c>
      <c r="D44" s="44">
        <v>2.0</v>
      </c>
      <c r="E44" s="58">
        <v>5.0</v>
      </c>
      <c r="F44" s="58">
        <v>1.0</v>
      </c>
      <c r="G44" s="59">
        <v>1.0</v>
      </c>
      <c r="H44" s="46"/>
      <c r="I44" s="45"/>
      <c r="J44" s="45"/>
      <c r="K44" s="47"/>
      <c r="L44" s="45"/>
      <c r="M44" s="45"/>
      <c r="N44" s="45"/>
      <c r="O44" s="45"/>
      <c r="P44" s="45"/>
    </row>
    <row r="45" ht="14.25" customHeight="1">
      <c r="A45" s="49"/>
      <c r="C45" s="50" t="s">
        <v>21</v>
      </c>
      <c r="D45" s="51"/>
      <c r="E45" s="2"/>
      <c r="F45" s="2"/>
      <c r="G45" s="52"/>
      <c r="H45" s="53"/>
      <c r="I45" s="2"/>
      <c r="J45" s="2"/>
      <c r="K45" s="54"/>
      <c r="L45" s="55"/>
      <c r="M45" s="55"/>
      <c r="N45" s="55"/>
      <c r="O45" s="55"/>
      <c r="P45" s="55"/>
    </row>
    <row r="46" ht="14.25" customHeight="1">
      <c r="A46" s="49"/>
      <c r="C46" s="50" t="s">
        <v>22</v>
      </c>
      <c r="D46" s="51"/>
      <c r="E46" s="55"/>
      <c r="F46" s="55"/>
      <c r="G46" s="52"/>
      <c r="H46" s="52"/>
      <c r="I46" s="55"/>
      <c r="J46" s="55"/>
      <c r="K46" s="54"/>
      <c r="L46" s="55"/>
      <c r="M46" s="55"/>
      <c r="N46" s="55"/>
      <c r="O46" s="55"/>
      <c r="P46" s="55"/>
    </row>
    <row r="47" ht="14.25" customHeight="1">
      <c r="A47" s="49"/>
      <c r="C47" s="50" t="s">
        <v>23</v>
      </c>
      <c r="D47" s="51"/>
      <c r="E47" s="55"/>
      <c r="F47" s="55"/>
      <c r="G47" s="52"/>
      <c r="H47" s="52"/>
      <c r="I47" s="55"/>
      <c r="J47" s="55"/>
      <c r="K47" s="54"/>
      <c r="L47" s="55"/>
      <c r="M47" s="55"/>
      <c r="N47" s="55"/>
      <c r="O47" s="55"/>
      <c r="P47" s="55"/>
    </row>
    <row r="48" ht="14.25" customHeight="1">
      <c r="A48" s="49"/>
      <c r="C48" s="50" t="s">
        <v>24</v>
      </c>
      <c r="D48" s="51"/>
      <c r="E48" s="55"/>
      <c r="F48" s="55"/>
      <c r="G48" s="52"/>
      <c r="H48" s="52"/>
      <c r="I48" s="55"/>
      <c r="J48" s="55"/>
      <c r="K48" s="54"/>
      <c r="L48" s="55"/>
      <c r="M48" s="55"/>
      <c r="N48" s="55"/>
      <c r="O48" s="55"/>
      <c r="P48" s="55"/>
    </row>
    <row r="49" ht="14.25" customHeight="1">
      <c r="A49" s="49"/>
      <c r="C49" s="50" t="s">
        <v>25</v>
      </c>
      <c r="D49" s="51"/>
      <c r="E49" s="55"/>
      <c r="F49" s="55"/>
      <c r="G49" s="52"/>
      <c r="H49" s="52"/>
      <c r="I49" s="55"/>
      <c r="J49" s="55"/>
      <c r="K49" s="54"/>
      <c r="L49" s="55"/>
      <c r="M49" s="55"/>
      <c r="N49" s="55"/>
      <c r="O49" s="55"/>
      <c r="P49" s="55"/>
    </row>
    <row r="50" ht="14.25" customHeight="1">
      <c r="A50" s="56"/>
      <c r="B50" s="57"/>
      <c r="C50" s="50" t="s">
        <v>26</v>
      </c>
      <c r="D50" s="51"/>
      <c r="E50" s="55"/>
      <c r="F50" s="55"/>
      <c r="G50" s="52"/>
      <c r="H50" s="52"/>
      <c r="I50" s="55"/>
      <c r="J50" s="55"/>
      <c r="K50" s="54"/>
      <c r="L50" s="55"/>
      <c r="M50" s="55"/>
      <c r="N50" s="55"/>
      <c r="O50" s="55"/>
      <c r="P50" s="55"/>
    </row>
    <row r="51" ht="14.25" customHeight="1">
      <c r="A51" s="41">
        <v>45131.0</v>
      </c>
      <c r="B51" s="42" t="s">
        <v>44</v>
      </c>
      <c r="C51" s="43" t="s">
        <v>20</v>
      </c>
      <c r="D51" s="44">
        <v>1.0</v>
      </c>
      <c r="E51" s="45"/>
      <c r="F51" s="58">
        <v>2.0</v>
      </c>
      <c r="G51" s="46"/>
      <c r="H51" s="46"/>
      <c r="I51" s="45"/>
      <c r="J51" s="58">
        <v>2.0</v>
      </c>
      <c r="K51" s="47"/>
      <c r="L51" s="45"/>
      <c r="M51" s="45"/>
      <c r="N51" s="45"/>
      <c r="O51" s="45"/>
      <c r="P51" s="45"/>
    </row>
    <row r="52" ht="14.25" customHeight="1">
      <c r="A52" s="49"/>
      <c r="C52" s="50" t="s">
        <v>21</v>
      </c>
      <c r="D52" s="51">
        <v>1.0</v>
      </c>
      <c r="E52" s="2"/>
      <c r="F52" s="2">
        <v>4.0</v>
      </c>
      <c r="G52" s="52"/>
      <c r="H52" s="53"/>
      <c r="I52" s="2"/>
      <c r="J52" s="2">
        <v>4.0</v>
      </c>
      <c r="K52" s="54"/>
      <c r="L52" s="55"/>
      <c r="M52" s="55"/>
      <c r="N52" s="55"/>
      <c r="O52" s="55"/>
      <c r="P52" s="55"/>
    </row>
    <row r="53" ht="14.25" customHeight="1">
      <c r="A53" s="49"/>
      <c r="C53" s="50" t="s">
        <v>22</v>
      </c>
      <c r="D53" s="51"/>
      <c r="E53" s="55"/>
      <c r="F53" s="55"/>
      <c r="G53" s="52"/>
      <c r="H53" s="52"/>
      <c r="I53" s="55"/>
      <c r="J53" s="55"/>
      <c r="K53" s="54"/>
      <c r="L53" s="55"/>
      <c r="M53" s="55"/>
      <c r="N53" s="55"/>
      <c r="O53" s="55"/>
      <c r="P53" s="55"/>
    </row>
    <row r="54" ht="14.25" customHeight="1">
      <c r="A54" s="49"/>
      <c r="C54" s="50" t="s">
        <v>23</v>
      </c>
      <c r="D54" s="51"/>
      <c r="E54" s="2">
        <v>4.0</v>
      </c>
      <c r="F54" s="55"/>
      <c r="G54" s="52"/>
      <c r="H54" s="53">
        <v>4.0</v>
      </c>
      <c r="I54" s="55"/>
      <c r="J54" s="55"/>
      <c r="K54" s="54"/>
      <c r="L54" s="55"/>
      <c r="M54" s="55"/>
      <c r="N54" s="55"/>
      <c r="O54" s="55"/>
      <c r="P54" s="55"/>
    </row>
    <row r="55" ht="14.25" customHeight="1">
      <c r="A55" s="49"/>
      <c r="C55" s="50" t="s">
        <v>24</v>
      </c>
      <c r="D55" s="51"/>
      <c r="E55" s="55"/>
      <c r="F55" s="55"/>
      <c r="G55" s="52"/>
      <c r="H55" s="52"/>
      <c r="I55" s="55"/>
      <c r="J55" s="55"/>
      <c r="K55" s="54"/>
      <c r="L55" s="55"/>
      <c r="M55" s="55"/>
      <c r="N55" s="55"/>
      <c r="O55" s="55"/>
      <c r="P55" s="55"/>
    </row>
    <row r="56" ht="14.25" customHeight="1">
      <c r="A56" s="49"/>
      <c r="C56" s="50" t="s">
        <v>25</v>
      </c>
      <c r="D56" s="51"/>
      <c r="E56" s="55"/>
      <c r="F56" s="55"/>
      <c r="G56" s="52"/>
      <c r="H56" s="52"/>
      <c r="I56" s="55"/>
      <c r="J56" s="55"/>
      <c r="K56" s="54"/>
      <c r="L56" s="55"/>
      <c r="M56" s="55"/>
      <c r="N56" s="55"/>
      <c r="O56" s="55"/>
      <c r="P56" s="55"/>
    </row>
    <row r="57" ht="14.25" customHeight="1">
      <c r="A57" s="56"/>
      <c r="B57" s="57"/>
      <c r="C57" s="50" t="s">
        <v>26</v>
      </c>
      <c r="D57" s="51"/>
      <c r="E57" s="55"/>
      <c r="F57" s="55"/>
      <c r="G57" s="52"/>
      <c r="H57" s="52"/>
      <c r="I57" s="55"/>
      <c r="J57" s="55"/>
      <c r="K57" s="54"/>
      <c r="L57" s="55"/>
      <c r="M57" s="55"/>
      <c r="N57" s="55"/>
      <c r="O57" s="55"/>
      <c r="P57" s="55"/>
    </row>
    <row r="58" ht="14.25" customHeight="1">
      <c r="A58" s="41">
        <v>45131.0</v>
      </c>
      <c r="B58" s="42" t="s">
        <v>43</v>
      </c>
      <c r="C58" s="43" t="s">
        <v>20</v>
      </c>
      <c r="D58" s="44">
        <v>7.0</v>
      </c>
      <c r="E58" s="58">
        <v>2.0</v>
      </c>
      <c r="F58" s="58"/>
      <c r="G58" s="46"/>
      <c r="H58" s="59">
        <v>2.0</v>
      </c>
      <c r="I58" s="45"/>
      <c r="J58" s="58"/>
      <c r="K58" s="47"/>
      <c r="L58" s="45"/>
      <c r="M58" s="45"/>
      <c r="N58" s="45"/>
      <c r="O58" s="45"/>
      <c r="P58" s="45"/>
    </row>
    <row r="59" ht="14.25" customHeight="1">
      <c r="A59" s="49"/>
      <c r="C59" s="50" t="s">
        <v>21</v>
      </c>
      <c r="D59" s="51"/>
      <c r="E59" s="2"/>
      <c r="F59" s="2"/>
      <c r="G59" s="52"/>
      <c r="H59" s="53"/>
      <c r="I59" s="2"/>
      <c r="J59" s="2"/>
      <c r="K59" s="54"/>
      <c r="L59" s="55"/>
      <c r="M59" s="55"/>
      <c r="N59" s="55"/>
      <c r="O59" s="55"/>
      <c r="P59" s="55"/>
    </row>
    <row r="60" ht="14.25" customHeight="1">
      <c r="A60" s="49"/>
      <c r="C60" s="50" t="s">
        <v>22</v>
      </c>
      <c r="D60" s="51"/>
      <c r="E60" s="55"/>
      <c r="F60" s="55"/>
      <c r="G60" s="52"/>
      <c r="H60" s="52"/>
      <c r="I60" s="55"/>
      <c r="J60" s="55"/>
      <c r="K60" s="54"/>
      <c r="L60" s="55"/>
      <c r="M60" s="55"/>
      <c r="N60" s="55"/>
      <c r="O60" s="55"/>
      <c r="P60" s="55"/>
    </row>
    <row r="61" ht="14.25" customHeight="1">
      <c r="A61" s="49"/>
      <c r="C61" s="50" t="s">
        <v>23</v>
      </c>
      <c r="D61" s="51"/>
      <c r="E61" s="55"/>
      <c r="F61" s="55"/>
      <c r="G61" s="52"/>
      <c r="H61" s="52"/>
      <c r="I61" s="55"/>
      <c r="J61" s="55"/>
      <c r="K61" s="54"/>
      <c r="L61" s="55"/>
      <c r="M61" s="55"/>
      <c r="N61" s="55"/>
      <c r="O61" s="55"/>
      <c r="P61" s="55"/>
    </row>
    <row r="62" ht="14.25" customHeight="1">
      <c r="A62" s="49"/>
      <c r="C62" s="50" t="s">
        <v>24</v>
      </c>
      <c r="D62" s="51"/>
      <c r="E62" s="55"/>
      <c r="F62" s="55"/>
      <c r="G62" s="52"/>
      <c r="H62" s="52"/>
      <c r="I62" s="55"/>
      <c r="J62" s="55"/>
      <c r="K62" s="54"/>
      <c r="L62" s="55"/>
      <c r="M62" s="55"/>
      <c r="N62" s="55"/>
      <c r="O62" s="55"/>
      <c r="P62" s="55"/>
    </row>
    <row r="63" ht="14.25" customHeight="1">
      <c r="A63" s="49"/>
      <c r="C63" s="50" t="s">
        <v>25</v>
      </c>
      <c r="D63" s="51"/>
      <c r="E63" s="55"/>
      <c r="F63" s="55"/>
      <c r="G63" s="52"/>
      <c r="H63" s="52"/>
      <c r="I63" s="55"/>
      <c r="J63" s="55"/>
      <c r="K63" s="54"/>
      <c r="L63" s="55"/>
      <c r="M63" s="55"/>
      <c r="N63" s="55"/>
      <c r="O63" s="55"/>
      <c r="P63" s="55"/>
    </row>
    <row r="64" ht="14.25" customHeight="1">
      <c r="A64" s="56"/>
      <c r="B64" s="57"/>
      <c r="C64" s="50" t="s">
        <v>26</v>
      </c>
      <c r="D64" s="51"/>
      <c r="E64" s="55"/>
      <c r="F64" s="55"/>
      <c r="G64" s="52"/>
      <c r="H64" s="52"/>
      <c r="I64" s="55"/>
      <c r="J64" s="55"/>
      <c r="K64" s="54"/>
      <c r="L64" s="55"/>
      <c r="M64" s="55"/>
      <c r="N64" s="55"/>
      <c r="O64" s="55"/>
      <c r="P64" s="55"/>
    </row>
    <row r="65" ht="14.25" customHeight="1">
      <c r="A65" s="41">
        <v>45132.0</v>
      </c>
      <c r="B65" s="42" t="s">
        <v>42</v>
      </c>
      <c r="C65" s="43" t="s">
        <v>20</v>
      </c>
      <c r="D65" s="44"/>
      <c r="E65" s="58">
        <v>5.0</v>
      </c>
      <c r="F65" s="45"/>
      <c r="G65" s="59">
        <v>2.0</v>
      </c>
      <c r="H65" s="46"/>
      <c r="I65" s="45"/>
      <c r="J65" s="45"/>
      <c r="K65" s="47"/>
      <c r="L65" s="45"/>
      <c r="M65" s="45"/>
      <c r="N65" s="58">
        <v>5.0</v>
      </c>
      <c r="O65" s="58">
        <v>5.0</v>
      </c>
      <c r="P65" s="58">
        <v>2.0</v>
      </c>
    </row>
    <row r="66" ht="14.25" customHeight="1">
      <c r="A66" s="49"/>
      <c r="C66" s="50" t="s">
        <v>21</v>
      </c>
      <c r="D66" s="51"/>
      <c r="E66" s="2"/>
      <c r="F66" s="2"/>
      <c r="G66" s="52"/>
      <c r="H66" s="53"/>
      <c r="I66" s="2"/>
      <c r="J66" s="2"/>
      <c r="K66" s="54"/>
      <c r="L66" s="55"/>
      <c r="M66" s="55"/>
      <c r="N66" s="55"/>
      <c r="O66" s="55"/>
      <c r="P66" s="55"/>
    </row>
    <row r="67" ht="14.25" customHeight="1">
      <c r="A67" s="49"/>
      <c r="C67" s="50" t="s">
        <v>22</v>
      </c>
      <c r="D67" s="51"/>
      <c r="E67" s="55"/>
      <c r="F67" s="55"/>
      <c r="G67" s="52"/>
      <c r="H67" s="52"/>
      <c r="I67" s="55"/>
      <c r="J67" s="55"/>
      <c r="K67" s="54"/>
      <c r="L67" s="55"/>
      <c r="M67" s="55"/>
      <c r="N67" s="55"/>
      <c r="O67" s="55"/>
      <c r="P67" s="55"/>
    </row>
    <row r="68" ht="14.25" customHeight="1">
      <c r="A68" s="49"/>
      <c r="C68" s="50" t="s">
        <v>23</v>
      </c>
      <c r="D68" s="51"/>
      <c r="E68" s="55"/>
      <c r="F68" s="55"/>
      <c r="G68" s="52"/>
      <c r="H68" s="52"/>
      <c r="I68" s="55"/>
      <c r="J68" s="55"/>
      <c r="K68" s="54"/>
      <c r="L68" s="55"/>
      <c r="M68" s="55"/>
      <c r="N68" s="55"/>
      <c r="O68" s="55"/>
      <c r="P68" s="55"/>
    </row>
    <row r="69" ht="14.25" customHeight="1">
      <c r="A69" s="49"/>
      <c r="C69" s="50" t="s">
        <v>24</v>
      </c>
      <c r="D69" s="51"/>
      <c r="E69" s="55"/>
      <c r="F69" s="55"/>
      <c r="G69" s="52"/>
      <c r="H69" s="52"/>
      <c r="I69" s="55"/>
      <c r="J69" s="55"/>
      <c r="K69" s="54"/>
      <c r="L69" s="55"/>
      <c r="M69" s="55"/>
      <c r="N69" s="55"/>
      <c r="O69" s="55"/>
      <c r="P69" s="55"/>
    </row>
    <row r="70" ht="14.25" customHeight="1">
      <c r="A70" s="49"/>
      <c r="C70" s="50" t="s">
        <v>25</v>
      </c>
      <c r="D70" s="51"/>
      <c r="E70" s="55"/>
      <c r="F70" s="55"/>
      <c r="G70" s="52"/>
      <c r="H70" s="52"/>
      <c r="I70" s="55"/>
      <c r="J70" s="55"/>
      <c r="K70" s="54"/>
      <c r="L70" s="55"/>
      <c r="M70" s="55"/>
      <c r="N70" s="55"/>
      <c r="O70" s="55"/>
      <c r="P70" s="55"/>
    </row>
    <row r="71" ht="14.25" customHeight="1">
      <c r="A71" s="56"/>
      <c r="B71" s="57"/>
      <c r="C71" s="50" t="s">
        <v>26</v>
      </c>
      <c r="D71" s="51"/>
      <c r="E71" s="55"/>
      <c r="F71" s="55"/>
      <c r="G71" s="52"/>
      <c r="H71" s="52"/>
      <c r="I71" s="55"/>
      <c r="J71" s="55"/>
      <c r="K71" s="54"/>
      <c r="L71" s="55"/>
      <c r="M71" s="55"/>
      <c r="N71" s="55"/>
      <c r="O71" s="55"/>
      <c r="P71" s="55"/>
    </row>
    <row r="72" ht="14.25" customHeight="1">
      <c r="A72" s="41">
        <v>45132.0</v>
      </c>
      <c r="B72" s="42" t="s">
        <v>43</v>
      </c>
      <c r="C72" s="43" t="s">
        <v>20</v>
      </c>
      <c r="D72" s="44">
        <v>3.0</v>
      </c>
      <c r="E72" s="58">
        <v>5.0</v>
      </c>
      <c r="F72" s="58">
        <v>5.0</v>
      </c>
      <c r="G72" s="46"/>
      <c r="H72" s="59">
        <v>2.0</v>
      </c>
      <c r="I72" s="58">
        <v>4.0</v>
      </c>
      <c r="J72" s="58">
        <v>3.0</v>
      </c>
      <c r="K72" s="47"/>
      <c r="L72" s="45"/>
      <c r="M72" s="45"/>
      <c r="N72" s="58">
        <v>7.0</v>
      </c>
      <c r="O72" s="58">
        <v>5.0</v>
      </c>
      <c r="P72" s="45"/>
    </row>
    <row r="73" ht="14.25" customHeight="1">
      <c r="A73" s="49"/>
      <c r="C73" s="50" t="s">
        <v>21</v>
      </c>
      <c r="D73" s="51">
        <v>1.0</v>
      </c>
      <c r="E73" s="2"/>
      <c r="F73" s="2">
        <v>1.0</v>
      </c>
      <c r="G73" s="52"/>
      <c r="H73" s="53"/>
      <c r="I73" s="2"/>
      <c r="J73" s="2">
        <v>1.0</v>
      </c>
      <c r="K73" s="54"/>
      <c r="L73" s="55"/>
      <c r="M73" s="55"/>
      <c r="N73" s="55"/>
      <c r="O73" s="55"/>
      <c r="P73" s="55"/>
    </row>
    <row r="74" ht="14.25" customHeight="1">
      <c r="A74" s="49"/>
      <c r="C74" s="50" t="s">
        <v>22</v>
      </c>
      <c r="D74" s="51"/>
      <c r="E74" s="55"/>
      <c r="F74" s="55"/>
      <c r="G74" s="52"/>
      <c r="H74" s="52"/>
      <c r="I74" s="55"/>
      <c r="J74" s="55"/>
      <c r="K74" s="54"/>
      <c r="L74" s="55"/>
      <c r="M74" s="55"/>
      <c r="N74" s="55"/>
      <c r="O74" s="55"/>
      <c r="P74" s="55"/>
    </row>
    <row r="75" ht="14.25" customHeight="1">
      <c r="A75" s="49"/>
      <c r="C75" s="50" t="s">
        <v>23</v>
      </c>
      <c r="D75" s="51"/>
      <c r="E75" s="55"/>
      <c r="F75" s="55"/>
      <c r="G75" s="52"/>
      <c r="H75" s="52"/>
      <c r="I75" s="55"/>
      <c r="J75" s="55"/>
      <c r="K75" s="54"/>
      <c r="L75" s="55"/>
      <c r="M75" s="55"/>
      <c r="N75" s="55"/>
      <c r="O75" s="55"/>
      <c r="P75" s="55"/>
    </row>
    <row r="76" ht="14.25" customHeight="1">
      <c r="A76" s="49"/>
      <c r="C76" s="50" t="s">
        <v>24</v>
      </c>
      <c r="D76" s="51"/>
      <c r="E76" s="55"/>
      <c r="F76" s="55"/>
      <c r="G76" s="52"/>
      <c r="H76" s="52"/>
      <c r="I76" s="55"/>
      <c r="J76" s="55"/>
      <c r="K76" s="54"/>
      <c r="L76" s="55"/>
      <c r="M76" s="55"/>
      <c r="N76" s="55"/>
      <c r="O76" s="55"/>
      <c r="P76" s="55"/>
    </row>
    <row r="77" ht="14.25" customHeight="1">
      <c r="A77" s="49"/>
      <c r="C77" s="50" t="s">
        <v>25</v>
      </c>
      <c r="D77" s="51"/>
      <c r="E77" s="55"/>
      <c r="F77" s="55"/>
      <c r="G77" s="52"/>
      <c r="H77" s="52"/>
      <c r="I77" s="55"/>
      <c r="J77" s="55"/>
      <c r="K77" s="54"/>
      <c r="L77" s="55"/>
      <c r="M77" s="55"/>
      <c r="N77" s="55"/>
      <c r="O77" s="55"/>
      <c r="P77" s="55"/>
    </row>
    <row r="78" ht="14.25" customHeight="1">
      <c r="A78" s="56"/>
      <c r="B78" s="57"/>
      <c r="C78" s="50" t="s">
        <v>26</v>
      </c>
      <c r="D78" s="51"/>
      <c r="E78" s="55"/>
      <c r="F78" s="55"/>
      <c r="G78" s="52"/>
      <c r="H78" s="52"/>
      <c r="I78" s="55"/>
      <c r="J78" s="55"/>
      <c r="K78" s="54"/>
      <c r="L78" s="55"/>
      <c r="M78" s="55"/>
      <c r="N78" s="55"/>
      <c r="O78" s="55"/>
      <c r="P78" s="55"/>
    </row>
    <row r="79" ht="14.25" customHeight="1">
      <c r="A79" s="41">
        <v>45132.0</v>
      </c>
      <c r="B79" s="42" t="s">
        <v>44</v>
      </c>
      <c r="C79" s="43" t="s">
        <v>20</v>
      </c>
      <c r="D79" s="44"/>
      <c r="E79" s="58">
        <v>2.0</v>
      </c>
      <c r="F79" s="58">
        <v>3.0</v>
      </c>
      <c r="G79" s="46"/>
      <c r="H79" s="46"/>
      <c r="I79" s="58">
        <v>2.0</v>
      </c>
      <c r="J79" s="45"/>
      <c r="K79" s="47"/>
      <c r="L79" s="45"/>
      <c r="M79" s="45"/>
      <c r="N79" s="58">
        <v>5.0</v>
      </c>
      <c r="O79" s="58">
        <v>5.0</v>
      </c>
      <c r="P79" s="58">
        <v>1.0</v>
      </c>
    </row>
    <row r="80" ht="14.25" customHeight="1">
      <c r="A80" s="49"/>
      <c r="C80" s="50" t="s">
        <v>21</v>
      </c>
      <c r="D80" s="51"/>
      <c r="E80" s="2">
        <v>11.0</v>
      </c>
      <c r="F80" s="2">
        <v>5.0</v>
      </c>
      <c r="G80" s="52"/>
      <c r="H80" s="53">
        <v>4.0</v>
      </c>
      <c r="I80" s="2">
        <v>12.0</v>
      </c>
      <c r="J80" s="2"/>
      <c r="K80" s="54"/>
      <c r="L80" s="55"/>
      <c r="M80" s="55"/>
      <c r="N80" s="2">
        <v>13.0</v>
      </c>
      <c r="O80" s="2">
        <v>16.0</v>
      </c>
      <c r="P80" s="55"/>
    </row>
    <row r="81" ht="14.25" customHeight="1">
      <c r="A81" s="49"/>
      <c r="C81" s="50" t="s">
        <v>22</v>
      </c>
      <c r="D81" s="51"/>
      <c r="E81" s="55"/>
      <c r="F81" s="2">
        <v>1.0</v>
      </c>
      <c r="G81" s="52"/>
      <c r="H81" s="52"/>
      <c r="I81" s="2">
        <v>1.0</v>
      </c>
      <c r="J81" s="55"/>
      <c r="K81" s="54"/>
      <c r="L81" s="55"/>
      <c r="M81" s="55"/>
      <c r="N81" s="2">
        <v>1.0</v>
      </c>
      <c r="O81" s="2">
        <v>1.0</v>
      </c>
      <c r="P81" s="55"/>
    </row>
    <row r="82" ht="14.25" customHeight="1">
      <c r="A82" s="49"/>
      <c r="C82" s="50" t="s">
        <v>23</v>
      </c>
      <c r="D82" s="51"/>
      <c r="E82" s="55"/>
      <c r="F82" s="55"/>
      <c r="G82" s="52"/>
      <c r="H82" s="52"/>
      <c r="I82" s="55"/>
      <c r="J82" s="55"/>
      <c r="K82" s="54"/>
      <c r="L82" s="55"/>
      <c r="M82" s="55"/>
      <c r="N82" s="55"/>
      <c r="O82" s="55"/>
      <c r="P82" s="55"/>
    </row>
    <row r="83" ht="14.25" customHeight="1">
      <c r="A83" s="49"/>
      <c r="C83" s="50" t="s">
        <v>24</v>
      </c>
      <c r="D83" s="51"/>
      <c r="E83" s="55"/>
      <c r="F83" s="55"/>
      <c r="G83" s="52"/>
      <c r="H83" s="52"/>
      <c r="I83" s="55"/>
      <c r="J83" s="55"/>
      <c r="K83" s="54"/>
      <c r="L83" s="55"/>
      <c r="M83" s="55"/>
      <c r="N83" s="55"/>
      <c r="O83" s="55"/>
      <c r="P83" s="55"/>
    </row>
    <row r="84" ht="14.25" customHeight="1">
      <c r="A84" s="49"/>
      <c r="C84" s="50" t="s">
        <v>25</v>
      </c>
      <c r="D84" s="51"/>
      <c r="E84" s="55"/>
      <c r="F84" s="55"/>
      <c r="G84" s="52"/>
      <c r="H84" s="52"/>
      <c r="I84" s="55"/>
      <c r="J84" s="55"/>
      <c r="K84" s="54"/>
      <c r="L84" s="55"/>
      <c r="M84" s="55"/>
      <c r="N84" s="55"/>
      <c r="O84" s="55"/>
      <c r="P84" s="55"/>
    </row>
    <row r="85" ht="14.25" customHeight="1">
      <c r="A85" s="56"/>
      <c r="B85" s="57"/>
      <c r="C85" s="50" t="s">
        <v>26</v>
      </c>
      <c r="D85" s="51"/>
      <c r="E85" s="55"/>
      <c r="F85" s="55"/>
      <c r="G85" s="52"/>
      <c r="H85" s="52"/>
      <c r="I85" s="55"/>
      <c r="J85" s="55"/>
      <c r="K85" s="54"/>
      <c r="L85" s="55"/>
      <c r="M85" s="55"/>
      <c r="N85" s="55"/>
      <c r="O85" s="55"/>
      <c r="P85" s="55"/>
    </row>
    <row r="86" ht="14.25" customHeight="1">
      <c r="A86" s="41">
        <v>45132.0</v>
      </c>
      <c r="B86" s="42" t="s">
        <v>43</v>
      </c>
      <c r="C86" s="43" t="s">
        <v>20</v>
      </c>
      <c r="D86" s="44">
        <v>9.0</v>
      </c>
      <c r="E86" s="58">
        <v>5.0</v>
      </c>
      <c r="F86" s="58">
        <v>3.0</v>
      </c>
      <c r="G86" s="59">
        <v>4.0</v>
      </c>
      <c r="H86" s="59">
        <v>2.0</v>
      </c>
      <c r="I86" s="58">
        <v>3.0</v>
      </c>
      <c r="J86" s="58">
        <v>1.0</v>
      </c>
      <c r="K86" s="47"/>
      <c r="L86" s="45"/>
      <c r="M86" s="45"/>
      <c r="N86" s="58">
        <v>2.0</v>
      </c>
      <c r="O86" s="45"/>
      <c r="P86" s="45"/>
    </row>
    <row r="87" ht="14.25" customHeight="1">
      <c r="A87" s="49"/>
      <c r="C87" s="50" t="s">
        <v>21</v>
      </c>
      <c r="D87" s="51"/>
      <c r="E87" s="2"/>
      <c r="F87" s="2"/>
      <c r="G87" s="52"/>
      <c r="H87" s="53"/>
      <c r="I87" s="2"/>
      <c r="J87" s="2"/>
      <c r="K87" s="54"/>
      <c r="L87" s="55"/>
      <c r="M87" s="55"/>
      <c r="N87" s="55"/>
      <c r="O87" s="55"/>
      <c r="P87" s="55"/>
    </row>
    <row r="88" ht="14.25" customHeight="1">
      <c r="A88" s="49"/>
      <c r="C88" s="50" t="s">
        <v>22</v>
      </c>
      <c r="D88" s="51"/>
      <c r="E88" s="55"/>
      <c r="F88" s="55"/>
      <c r="G88" s="52"/>
      <c r="H88" s="52"/>
      <c r="I88" s="55"/>
      <c r="J88" s="55"/>
      <c r="K88" s="54"/>
      <c r="L88" s="55"/>
      <c r="M88" s="55"/>
      <c r="N88" s="55"/>
      <c r="O88" s="55"/>
      <c r="P88" s="55"/>
    </row>
    <row r="89" ht="14.25" customHeight="1">
      <c r="A89" s="49"/>
      <c r="C89" s="50" t="s">
        <v>23</v>
      </c>
      <c r="D89" s="51"/>
      <c r="E89" s="2">
        <v>1.0</v>
      </c>
      <c r="F89" s="55"/>
      <c r="G89" s="52"/>
      <c r="H89" s="53">
        <v>1.0</v>
      </c>
      <c r="I89" s="55"/>
      <c r="J89" s="55"/>
      <c r="K89" s="54"/>
      <c r="L89" s="55"/>
      <c r="M89" s="55"/>
      <c r="N89" s="55"/>
      <c r="O89" s="55"/>
      <c r="P89" s="55"/>
    </row>
    <row r="90" ht="14.25" customHeight="1">
      <c r="A90" s="49"/>
      <c r="C90" s="50" t="s">
        <v>24</v>
      </c>
      <c r="D90" s="51"/>
      <c r="E90" s="55"/>
      <c r="F90" s="55"/>
      <c r="G90" s="52"/>
      <c r="H90" s="52"/>
      <c r="I90" s="55"/>
      <c r="J90" s="55"/>
      <c r="K90" s="54"/>
      <c r="L90" s="55"/>
      <c r="M90" s="55"/>
      <c r="N90" s="55"/>
      <c r="O90" s="55"/>
      <c r="P90" s="55"/>
    </row>
    <row r="91" ht="14.25" customHeight="1">
      <c r="A91" s="49"/>
      <c r="C91" s="50" t="s">
        <v>25</v>
      </c>
      <c r="D91" s="51"/>
      <c r="E91" s="55"/>
      <c r="F91" s="55"/>
      <c r="G91" s="52"/>
      <c r="H91" s="52"/>
      <c r="I91" s="55"/>
      <c r="J91" s="55"/>
      <c r="K91" s="54"/>
      <c r="L91" s="55"/>
      <c r="M91" s="55"/>
      <c r="N91" s="55"/>
      <c r="O91" s="55"/>
      <c r="P91" s="55"/>
    </row>
    <row r="92" ht="14.25" customHeight="1">
      <c r="A92" s="56"/>
      <c r="B92" s="57"/>
      <c r="C92" s="50" t="s">
        <v>26</v>
      </c>
      <c r="D92" s="51"/>
      <c r="E92" s="55"/>
      <c r="F92" s="55"/>
      <c r="G92" s="52"/>
      <c r="H92" s="52"/>
      <c r="I92" s="55"/>
      <c r="J92" s="55"/>
      <c r="K92" s="54"/>
      <c r="L92" s="55"/>
      <c r="M92" s="55"/>
      <c r="N92" s="55"/>
      <c r="O92" s="55"/>
      <c r="P92" s="55"/>
    </row>
    <row r="93" ht="14.25" customHeight="1">
      <c r="A93" s="41">
        <v>45133.0</v>
      </c>
      <c r="B93" s="42" t="s">
        <v>45</v>
      </c>
      <c r="C93" s="43" t="s">
        <v>20</v>
      </c>
      <c r="D93" s="44">
        <v>1.0</v>
      </c>
      <c r="E93" s="58">
        <v>1.0</v>
      </c>
      <c r="F93" s="58">
        <v>2.0</v>
      </c>
      <c r="G93" s="59"/>
      <c r="H93" s="59">
        <v>2.0</v>
      </c>
      <c r="I93" s="58">
        <v>3.0</v>
      </c>
      <c r="J93" s="58"/>
      <c r="K93" s="47"/>
      <c r="L93" s="45"/>
      <c r="M93" s="45"/>
      <c r="N93" s="45"/>
      <c r="O93" s="45"/>
      <c r="P93" s="45"/>
    </row>
    <row r="94" ht="14.25" customHeight="1">
      <c r="A94" s="49"/>
      <c r="C94" s="50" t="s">
        <v>21</v>
      </c>
      <c r="D94" s="51"/>
      <c r="E94" s="2"/>
      <c r="F94" s="2"/>
      <c r="G94" s="52"/>
      <c r="H94" s="53"/>
      <c r="I94" s="2"/>
      <c r="J94" s="2"/>
      <c r="K94" s="54"/>
      <c r="L94" s="55"/>
      <c r="M94" s="55"/>
      <c r="N94" s="55"/>
      <c r="O94" s="55"/>
      <c r="P94" s="55"/>
    </row>
    <row r="95" ht="14.25" customHeight="1">
      <c r="A95" s="49"/>
      <c r="C95" s="50" t="s">
        <v>22</v>
      </c>
      <c r="D95" s="51"/>
      <c r="E95" s="55"/>
      <c r="F95" s="55"/>
      <c r="G95" s="52"/>
      <c r="H95" s="52"/>
      <c r="I95" s="55"/>
      <c r="J95" s="55"/>
      <c r="K95" s="54"/>
      <c r="L95" s="55"/>
      <c r="M95" s="55"/>
      <c r="N95" s="55"/>
      <c r="O95" s="55"/>
      <c r="P95" s="55"/>
    </row>
    <row r="96" ht="14.25" customHeight="1">
      <c r="A96" s="49"/>
      <c r="C96" s="50" t="s">
        <v>23</v>
      </c>
      <c r="D96" s="51"/>
      <c r="E96" s="2"/>
      <c r="F96" s="55"/>
      <c r="G96" s="52"/>
      <c r="H96" s="53"/>
      <c r="I96" s="55"/>
      <c r="J96" s="55"/>
      <c r="K96" s="54"/>
      <c r="L96" s="55"/>
      <c r="M96" s="55"/>
      <c r="N96" s="55"/>
      <c r="O96" s="55"/>
      <c r="P96" s="55"/>
    </row>
    <row r="97" ht="14.25" customHeight="1">
      <c r="A97" s="49"/>
      <c r="C97" s="50" t="s">
        <v>24</v>
      </c>
      <c r="D97" s="51"/>
      <c r="E97" s="55"/>
      <c r="F97" s="55"/>
      <c r="G97" s="52"/>
      <c r="H97" s="52"/>
      <c r="I97" s="55"/>
      <c r="J97" s="55"/>
      <c r="K97" s="54"/>
      <c r="L97" s="55"/>
      <c r="M97" s="55"/>
      <c r="N97" s="55"/>
      <c r="O97" s="55"/>
      <c r="P97" s="55"/>
    </row>
    <row r="98" ht="14.25" customHeight="1">
      <c r="A98" s="49"/>
      <c r="C98" s="50" t="s">
        <v>25</v>
      </c>
      <c r="D98" s="51"/>
      <c r="E98" s="55"/>
      <c r="F98" s="55"/>
      <c r="G98" s="52"/>
      <c r="H98" s="52"/>
      <c r="I98" s="55"/>
      <c r="J98" s="55"/>
      <c r="K98" s="54"/>
      <c r="L98" s="55"/>
      <c r="M98" s="55"/>
      <c r="N98" s="55"/>
      <c r="O98" s="55"/>
      <c r="P98" s="55"/>
    </row>
    <row r="99" ht="14.25" customHeight="1">
      <c r="A99" s="56"/>
      <c r="B99" s="57"/>
      <c r="C99" s="50" t="s">
        <v>26</v>
      </c>
      <c r="D99" s="51"/>
      <c r="E99" s="55"/>
      <c r="F99" s="55"/>
      <c r="G99" s="52"/>
      <c r="H99" s="52"/>
      <c r="I99" s="55"/>
      <c r="J99" s="55"/>
      <c r="K99" s="54"/>
      <c r="L99" s="55"/>
      <c r="M99" s="55"/>
      <c r="N99" s="55"/>
      <c r="O99" s="55"/>
      <c r="P99" s="55"/>
    </row>
    <row r="100" ht="14.25" customHeight="1">
      <c r="A100" s="41">
        <v>45133.0</v>
      </c>
      <c r="B100" s="42" t="s">
        <v>41</v>
      </c>
      <c r="C100" s="43" t="s">
        <v>20</v>
      </c>
      <c r="D100" s="44">
        <v>1.0</v>
      </c>
      <c r="E100" s="58"/>
      <c r="F100" s="58"/>
      <c r="G100" s="59"/>
      <c r="H100" s="59"/>
      <c r="I100" s="58"/>
      <c r="J100" s="58"/>
      <c r="K100" s="47"/>
      <c r="L100" s="45"/>
      <c r="M100" s="45"/>
      <c r="N100" s="45"/>
      <c r="O100" s="45"/>
      <c r="P100" s="45"/>
    </row>
    <row r="101" ht="14.25" customHeight="1">
      <c r="A101" s="49"/>
      <c r="C101" s="50" t="s">
        <v>21</v>
      </c>
      <c r="D101" s="51"/>
      <c r="E101" s="2">
        <v>1.0</v>
      </c>
      <c r="F101" s="2">
        <v>2.0</v>
      </c>
      <c r="G101" s="52"/>
      <c r="H101" s="53">
        <v>2.0</v>
      </c>
      <c r="I101" s="2">
        <v>2.0</v>
      </c>
      <c r="J101" s="2"/>
      <c r="K101" s="54"/>
      <c r="L101" s="55"/>
      <c r="M101" s="55"/>
      <c r="N101" s="2">
        <v>1.0</v>
      </c>
      <c r="O101" s="55"/>
      <c r="P101" s="55"/>
    </row>
    <row r="102" ht="14.25" customHeight="1">
      <c r="A102" s="49"/>
      <c r="C102" s="50" t="s">
        <v>22</v>
      </c>
      <c r="D102" s="51"/>
      <c r="E102" s="55"/>
      <c r="F102" s="55"/>
      <c r="G102" s="52"/>
      <c r="H102" s="52"/>
      <c r="I102" s="55"/>
      <c r="J102" s="55"/>
      <c r="K102" s="54"/>
      <c r="L102" s="55"/>
      <c r="M102" s="55"/>
      <c r="N102" s="55"/>
      <c r="O102" s="55"/>
      <c r="P102" s="55"/>
    </row>
    <row r="103" ht="14.25" customHeight="1">
      <c r="A103" s="49"/>
      <c r="C103" s="50" t="s">
        <v>23</v>
      </c>
      <c r="D103" s="51"/>
      <c r="E103" s="2"/>
      <c r="F103" s="55"/>
      <c r="G103" s="52"/>
      <c r="H103" s="53"/>
      <c r="I103" s="55"/>
      <c r="J103" s="55"/>
      <c r="K103" s="54"/>
      <c r="L103" s="55"/>
      <c r="M103" s="55"/>
      <c r="N103" s="55"/>
      <c r="O103" s="55"/>
      <c r="P103" s="55"/>
    </row>
    <row r="104" ht="14.25" customHeight="1">
      <c r="A104" s="49"/>
      <c r="C104" s="50" t="s">
        <v>24</v>
      </c>
      <c r="D104" s="51"/>
      <c r="E104" s="55"/>
      <c r="F104" s="55"/>
      <c r="G104" s="52"/>
      <c r="H104" s="52"/>
      <c r="I104" s="55"/>
      <c r="J104" s="55"/>
      <c r="K104" s="54"/>
      <c r="L104" s="55"/>
      <c r="M104" s="55"/>
      <c r="N104" s="55"/>
      <c r="O104" s="55"/>
      <c r="P104" s="55"/>
    </row>
    <row r="105" ht="14.25" customHeight="1">
      <c r="A105" s="49"/>
      <c r="C105" s="50" t="s">
        <v>25</v>
      </c>
      <c r="D105" s="51"/>
      <c r="E105" s="55"/>
      <c r="F105" s="55"/>
      <c r="G105" s="52"/>
      <c r="H105" s="52"/>
      <c r="I105" s="55"/>
      <c r="J105" s="55"/>
      <c r="K105" s="54"/>
      <c r="L105" s="55"/>
      <c r="M105" s="55"/>
      <c r="N105" s="55"/>
      <c r="O105" s="55"/>
      <c r="P105" s="55"/>
    </row>
    <row r="106" ht="14.25" customHeight="1">
      <c r="A106" s="56"/>
      <c r="B106" s="57"/>
      <c r="C106" s="50" t="s">
        <v>26</v>
      </c>
      <c r="D106" s="51"/>
      <c r="E106" s="55"/>
      <c r="F106" s="55"/>
      <c r="G106" s="52"/>
      <c r="H106" s="52"/>
      <c r="I106" s="55"/>
      <c r="J106" s="55"/>
      <c r="K106" s="54"/>
      <c r="L106" s="55"/>
      <c r="M106" s="55"/>
      <c r="N106" s="55"/>
      <c r="O106" s="55"/>
      <c r="P106" s="55"/>
    </row>
    <row r="107" ht="14.25" customHeight="1">
      <c r="A107" s="41">
        <v>45134.0</v>
      </c>
      <c r="B107" s="42" t="s">
        <v>42</v>
      </c>
      <c r="C107" s="43" t="s">
        <v>20</v>
      </c>
      <c r="D107" s="44"/>
      <c r="E107" s="58">
        <v>3.0</v>
      </c>
      <c r="F107" s="58"/>
      <c r="G107" s="59"/>
      <c r="H107" s="59">
        <v>2.0</v>
      </c>
      <c r="I107" s="58">
        <v>1.0</v>
      </c>
      <c r="J107" s="58"/>
      <c r="K107" s="47"/>
      <c r="L107" s="45"/>
      <c r="M107" s="45"/>
      <c r="N107" s="45"/>
      <c r="O107" s="45"/>
      <c r="P107" s="45"/>
    </row>
    <row r="108" ht="14.25" customHeight="1">
      <c r="A108" s="49"/>
      <c r="C108" s="50" t="s">
        <v>21</v>
      </c>
      <c r="D108" s="51"/>
      <c r="E108" s="2"/>
      <c r="F108" s="2"/>
      <c r="G108" s="52"/>
      <c r="H108" s="53"/>
      <c r="I108" s="2"/>
      <c r="J108" s="2"/>
      <c r="K108" s="54"/>
      <c r="L108" s="55"/>
      <c r="M108" s="55"/>
      <c r="N108" s="2"/>
      <c r="O108" s="55"/>
      <c r="P108" s="55"/>
    </row>
    <row r="109" ht="14.25" customHeight="1">
      <c r="A109" s="49"/>
      <c r="C109" s="50" t="s">
        <v>22</v>
      </c>
      <c r="D109" s="51"/>
      <c r="E109" s="55"/>
      <c r="F109" s="55"/>
      <c r="G109" s="52"/>
      <c r="H109" s="52"/>
      <c r="I109" s="55"/>
      <c r="J109" s="55"/>
      <c r="K109" s="54"/>
      <c r="L109" s="55"/>
      <c r="M109" s="55"/>
      <c r="N109" s="55"/>
      <c r="O109" s="55"/>
      <c r="P109" s="55"/>
    </row>
    <row r="110" ht="14.25" customHeight="1">
      <c r="A110" s="49"/>
      <c r="C110" s="50" t="s">
        <v>23</v>
      </c>
      <c r="D110" s="51"/>
      <c r="E110" s="2"/>
      <c r="F110" s="55"/>
      <c r="G110" s="52"/>
      <c r="H110" s="53"/>
      <c r="I110" s="55"/>
      <c r="J110" s="55"/>
      <c r="K110" s="54"/>
      <c r="L110" s="55"/>
      <c r="M110" s="55"/>
      <c r="N110" s="55"/>
      <c r="O110" s="55"/>
      <c r="P110" s="55"/>
    </row>
    <row r="111" ht="14.25" customHeight="1">
      <c r="A111" s="49"/>
      <c r="C111" s="50" t="s">
        <v>24</v>
      </c>
      <c r="D111" s="51"/>
      <c r="E111" s="55"/>
      <c r="F111" s="55"/>
      <c r="G111" s="52"/>
      <c r="H111" s="52"/>
      <c r="I111" s="55"/>
      <c r="J111" s="55"/>
      <c r="K111" s="54"/>
      <c r="L111" s="55"/>
      <c r="M111" s="55"/>
      <c r="N111" s="55"/>
      <c r="O111" s="55"/>
      <c r="P111" s="55"/>
    </row>
    <row r="112" ht="14.25" customHeight="1">
      <c r="A112" s="49"/>
      <c r="C112" s="50" t="s">
        <v>25</v>
      </c>
      <c r="D112" s="51"/>
      <c r="E112" s="55"/>
      <c r="F112" s="55"/>
      <c r="G112" s="52"/>
      <c r="H112" s="52"/>
      <c r="I112" s="55"/>
      <c r="J112" s="55"/>
      <c r="K112" s="54"/>
      <c r="L112" s="55"/>
      <c r="M112" s="55"/>
      <c r="N112" s="55"/>
      <c r="O112" s="55"/>
      <c r="P112" s="55"/>
    </row>
    <row r="113" ht="14.25" customHeight="1">
      <c r="A113" s="56"/>
      <c r="B113" s="57"/>
      <c r="C113" s="50" t="s">
        <v>26</v>
      </c>
      <c r="D113" s="51"/>
      <c r="E113" s="55"/>
      <c r="F113" s="55"/>
      <c r="G113" s="52"/>
      <c r="H113" s="52"/>
      <c r="I113" s="55"/>
      <c r="J113" s="55"/>
      <c r="K113" s="54"/>
      <c r="L113" s="55"/>
      <c r="M113" s="55"/>
      <c r="N113" s="55"/>
      <c r="O113" s="55"/>
      <c r="P113" s="55"/>
    </row>
    <row r="114" ht="14.25" customHeight="1">
      <c r="A114" s="41">
        <v>45134.0</v>
      </c>
      <c r="B114" s="42" t="s">
        <v>43</v>
      </c>
      <c r="C114" s="43" t="s">
        <v>20</v>
      </c>
      <c r="D114" s="44">
        <v>6.0</v>
      </c>
      <c r="E114" s="58">
        <v>5.0</v>
      </c>
      <c r="F114" s="58">
        <v>7.0</v>
      </c>
      <c r="G114" s="59"/>
      <c r="H114" s="59">
        <v>1.0</v>
      </c>
      <c r="I114" s="58">
        <v>4.0</v>
      </c>
      <c r="J114" s="58">
        <v>5.0</v>
      </c>
      <c r="K114" s="47"/>
      <c r="L114" s="45"/>
      <c r="M114" s="45"/>
      <c r="N114" s="58">
        <v>9.0</v>
      </c>
      <c r="O114" s="58">
        <v>9.0</v>
      </c>
      <c r="P114" s="45"/>
    </row>
    <row r="115" ht="14.25" customHeight="1">
      <c r="A115" s="49"/>
      <c r="C115" s="50" t="s">
        <v>21</v>
      </c>
      <c r="D115" s="51">
        <v>1.0</v>
      </c>
      <c r="E115" s="2"/>
      <c r="F115" s="2">
        <v>1.0</v>
      </c>
      <c r="G115" s="52"/>
      <c r="H115" s="53"/>
      <c r="I115" s="2"/>
      <c r="J115" s="2">
        <v>1.0</v>
      </c>
      <c r="K115" s="54"/>
      <c r="L115" s="55"/>
      <c r="M115" s="55"/>
      <c r="N115" s="2"/>
      <c r="O115" s="55"/>
      <c r="P115" s="55"/>
    </row>
    <row r="116" ht="14.25" customHeight="1">
      <c r="A116" s="49"/>
      <c r="C116" s="50" t="s">
        <v>22</v>
      </c>
      <c r="D116" s="51"/>
      <c r="E116" s="55"/>
      <c r="F116" s="55"/>
      <c r="G116" s="52"/>
      <c r="H116" s="52"/>
      <c r="I116" s="55"/>
      <c r="J116" s="55"/>
      <c r="K116" s="54"/>
      <c r="L116" s="55"/>
      <c r="M116" s="55"/>
      <c r="N116" s="55"/>
      <c r="O116" s="55"/>
      <c r="P116" s="55"/>
    </row>
    <row r="117" ht="14.25" customHeight="1">
      <c r="A117" s="49"/>
      <c r="C117" s="50" t="s">
        <v>23</v>
      </c>
      <c r="D117" s="51">
        <v>1.0</v>
      </c>
      <c r="E117" s="2"/>
      <c r="F117" s="55"/>
      <c r="G117" s="52"/>
      <c r="H117" s="53"/>
      <c r="I117" s="55"/>
      <c r="J117" s="55"/>
      <c r="K117" s="54"/>
      <c r="L117" s="55"/>
      <c r="M117" s="55"/>
      <c r="N117" s="55"/>
      <c r="O117" s="55"/>
      <c r="P117" s="55"/>
    </row>
    <row r="118" ht="14.25" customHeight="1">
      <c r="A118" s="49"/>
      <c r="C118" s="50" t="s">
        <v>24</v>
      </c>
      <c r="D118" s="51"/>
      <c r="E118" s="55"/>
      <c r="F118" s="55"/>
      <c r="G118" s="52"/>
      <c r="H118" s="52"/>
      <c r="I118" s="55"/>
      <c r="J118" s="55"/>
      <c r="K118" s="54"/>
      <c r="L118" s="55"/>
      <c r="M118" s="55"/>
      <c r="N118" s="55"/>
      <c r="O118" s="55"/>
      <c r="P118" s="55"/>
    </row>
    <row r="119" ht="14.25" customHeight="1">
      <c r="A119" s="49"/>
      <c r="C119" s="50" t="s">
        <v>25</v>
      </c>
      <c r="D119" s="51"/>
      <c r="E119" s="55"/>
      <c r="F119" s="55"/>
      <c r="G119" s="52"/>
      <c r="H119" s="52"/>
      <c r="I119" s="55"/>
      <c r="J119" s="55"/>
      <c r="K119" s="54"/>
      <c r="L119" s="55"/>
      <c r="M119" s="55"/>
      <c r="N119" s="55"/>
      <c r="O119" s="55"/>
      <c r="P119" s="55"/>
    </row>
    <row r="120" ht="14.25" customHeight="1">
      <c r="A120" s="56"/>
      <c r="B120" s="57"/>
      <c r="C120" s="50" t="s">
        <v>26</v>
      </c>
      <c r="D120" s="51"/>
      <c r="E120" s="55"/>
      <c r="F120" s="55"/>
      <c r="G120" s="52"/>
      <c r="H120" s="52"/>
      <c r="I120" s="55"/>
      <c r="J120" s="55"/>
      <c r="K120" s="54"/>
      <c r="L120" s="55"/>
      <c r="M120" s="55"/>
      <c r="N120" s="55"/>
      <c r="O120" s="55"/>
      <c r="P120" s="55"/>
    </row>
    <row r="121" ht="14.25" customHeight="1">
      <c r="A121" s="41">
        <v>45135.0</v>
      </c>
      <c r="B121" s="42" t="s">
        <v>42</v>
      </c>
      <c r="C121" s="43" t="s">
        <v>20</v>
      </c>
      <c r="D121" s="44"/>
      <c r="E121" s="58"/>
      <c r="F121" s="58"/>
      <c r="G121" s="59"/>
      <c r="H121" s="59"/>
      <c r="I121" s="58"/>
      <c r="J121" s="58"/>
      <c r="K121" s="47"/>
      <c r="L121" s="45"/>
      <c r="M121" s="45"/>
      <c r="N121" s="45"/>
      <c r="O121" s="45"/>
      <c r="P121" s="45"/>
    </row>
    <row r="122" ht="14.25" customHeight="1">
      <c r="A122" s="49"/>
      <c r="C122" s="50" t="s">
        <v>21</v>
      </c>
      <c r="D122" s="51"/>
      <c r="E122" s="2"/>
      <c r="F122" s="2"/>
      <c r="G122" s="52"/>
      <c r="H122" s="53"/>
      <c r="I122" s="2"/>
      <c r="J122" s="2"/>
      <c r="K122" s="54"/>
      <c r="L122" s="55"/>
      <c r="M122" s="55"/>
      <c r="N122" s="2"/>
      <c r="O122" s="55"/>
      <c r="P122" s="55"/>
    </row>
    <row r="123" ht="14.25" customHeight="1">
      <c r="A123" s="49"/>
      <c r="C123" s="50" t="s">
        <v>22</v>
      </c>
      <c r="D123" s="51">
        <v>1.0</v>
      </c>
      <c r="E123" s="55"/>
      <c r="F123" s="55"/>
      <c r="G123" s="52"/>
      <c r="H123" s="52"/>
      <c r="I123" s="55"/>
      <c r="J123" s="55"/>
      <c r="K123" s="54"/>
      <c r="L123" s="55"/>
      <c r="M123" s="55"/>
      <c r="N123" s="55"/>
      <c r="O123" s="55"/>
      <c r="P123" s="55"/>
    </row>
    <row r="124" ht="14.25" customHeight="1">
      <c r="A124" s="49"/>
      <c r="C124" s="50" t="s">
        <v>23</v>
      </c>
      <c r="D124" s="51"/>
      <c r="E124" s="2"/>
      <c r="F124" s="55"/>
      <c r="G124" s="52"/>
      <c r="H124" s="53"/>
      <c r="I124" s="55"/>
      <c r="J124" s="55"/>
      <c r="K124" s="54"/>
      <c r="L124" s="55"/>
      <c r="M124" s="55"/>
      <c r="N124" s="55"/>
      <c r="O124" s="55"/>
      <c r="P124" s="55"/>
    </row>
    <row r="125" ht="14.25" customHeight="1">
      <c r="A125" s="49"/>
      <c r="C125" s="50" t="s">
        <v>24</v>
      </c>
      <c r="D125" s="51"/>
      <c r="E125" s="55"/>
      <c r="F125" s="55"/>
      <c r="G125" s="52"/>
      <c r="H125" s="52"/>
      <c r="I125" s="55"/>
      <c r="J125" s="55"/>
      <c r="K125" s="54"/>
      <c r="L125" s="55"/>
      <c r="M125" s="55"/>
      <c r="N125" s="55"/>
      <c r="O125" s="55"/>
      <c r="P125" s="55"/>
    </row>
    <row r="126" ht="14.25" customHeight="1">
      <c r="A126" s="49"/>
      <c r="C126" s="50" t="s">
        <v>25</v>
      </c>
      <c r="D126" s="51"/>
      <c r="E126" s="55"/>
      <c r="F126" s="55"/>
      <c r="G126" s="52"/>
      <c r="H126" s="52"/>
      <c r="I126" s="55"/>
      <c r="J126" s="55"/>
      <c r="K126" s="54"/>
      <c r="L126" s="55"/>
      <c r="M126" s="55"/>
      <c r="N126" s="55"/>
      <c r="O126" s="55"/>
      <c r="P126" s="55"/>
    </row>
    <row r="127" ht="14.25" customHeight="1">
      <c r="A127" s="56"/>
      <c r="B127" s="57"/>
      <c r="C127" s="50" t="s">
        <v>26</v>
      </c>
      <c r="D127" s="51"/>
      <c r="E127" s="55"/>
      <c r="F127" s="55"/>
      <c r="G127" s="52"/>
      <c r="H127" s="52"/>
      <c r="I127" s="55"/>
      <c r="J127" s="55"/>
      <c r="K127" s="54"/>
      <c r="L127" s="55"/>
      <c r="M127" s="55"/>
      <c r="N127" s="55"/>
      <c r="O127" s="55"/>
      <c r="P127" s="55"/>
    </row>
    <row r="128" ht="14.25" customHeight="1">
      <c r="A128" s="41">
        <v>45135.0</v>
      </c>
      <c r="B128" s="42" t="s">
        <v>44</v>
      </c>
      <c r="C128" s="43" t="s">
        <v>20</v>
      </c>
      <c r="D128" s="44"/>
      <c r="E128" s="58">
        <v>1.0</v>
      </c>
      <c r="F128" s="58">
        <v>1.0</v>
      </c>
      <c r="G128" s="59"/>
      <c r="H128" s="59"/>
      <c r="I128" s="58">
        <v>2.0</v>
      </c>
      <c r="J128" s="58"/>
      <c r="K128" s="47"/>
      <c r="L128" s="45"/>
      <c r="M128" s="45"/>
      <c r="N128" s="58">
        <v>2.0</v>
      </c>
      <c r="O128" s="45"/>
      <c r="P128" s="45"/>
    </row>
    <row r="129" ht="14.25" customHeight="1">
      <c r="A129" s="49"/>
      <c r="C129" s="50" t="s">
        <v>21</v>
      </c>
      <c r="D129" s="51"/>
      <c r="E129" s="2">
        <v>3.0</v>
      </c>
      <c r="F129" s="2"/>
      <c r="G129" s="52"/>
      <c r="H129" s="53">
        <v>1.0</v>
      </c>
      <c r="I129" s="2">
        <v>2.0</v>
      </c>
      <c r="J129" s="2"/>
      <c r="K129" s="54"/>
      <c r="L129" s="55"/>
      <c r="M129" s="55"/>
      <c r="N129" s="2"/>
      <c r="O129" s="55"/>
      <c r="P129" s="55"/>
    </row>
    <row r="130" ht="14.25" customHeight="1">
      <c r="A130" s="49"/>
      <c r="C130" s="50" t="s">
        <v>22</v>
      </c>
      <c r="D130" s="51"/>
      <c r="E130" s="55"/>
      <c r="F130" s="55"/>
      <c r="G130" s="52"/>
      <c r="H130" s="52"/>
      <c r="I130" s="55"/>
      <c r="J130" s="55"/>
      <c r="K130" s="54"/>
      <c r="L130" s="55"/>
      <c r="M130" s="55"/>
      <c r="N130" s="55"/>
      <c r="O130" s="55"/>
      <c r="P130" s="55"/>
    </row>
    <row r="131" ht="14.25" customHeight="1">
      <c r="A131" s="49"/>
      <c r="C131" s="50" t="s">
        <v>23</v>
      </c>
      <c r="D131" s="51"/>
      <c r="E131" s="2"/>
      <c r="F131" s="55"/>
      <c r="G131" s="52"/>
      <c r="H131" s="53"/>
      <c r="I131" s="55"/>
      <c r="J131" s="55"/>
      <c r="K131" s="54"/>
      <c r="L131" s="55"/>
      <c r="M131" s="55"/>
      <c r="N131" s="55"/>
      <c r="O131" s="55"/>
      <c r="P131" s="55"/>
    </row>
    <row r="132" ht="14.25" customHeight="1">
      <c r="A132" s="49"/>
      <c r="C132" s="50" t="s">
        <v>24</v>
      </c>
      <c r="D132" s="51"/>
      <c r="E132" s="55"/>
      <c r="F132" s="55"/>
      <c r="G132" s="52"/>
      <c r="H132" s="52"/>
      <c r="I132" s="55"/>
      <c r="J132" s="55"/>
      <c r="K132" s="54"/>
      <c r="L132" s="55"/>
      <c r="M132" s="55"/>
      <c r="N132" s="55"/>
      <c r="O132" s="55"/>
      <c r="P132" s="55"/>
    </row>
    <row r="133" ht="14.25" customHeight="1">
      <c r="A133" s="49"/>
      <c r="C133" s="50" t="s">
        <v>25</v>
      </c>
      <c r="D133" s="51"/>
      <c r="E133" s="55"/>
      <c r="F133" s="55"/>
      <c r="G133" s="52"/>
      <c r="H133" s="52"/>
      <c r="I133" s="55"/>
      <c r="J133" s="55"/>
      <c r="K133" s="54"/>
      <c r="L133" s="55"/>
      <c r="M133" s="55"/>
      <c r="N133" s="55"/>
      <c r="O133" s="55"/>
      <c r="P133" s="55"/>
    </row>
    <row r="134" ht="14.25" customHeight="1">
      <c r="A134" s="56"/>
      <c r="B134" s="57"/>
      <c r="C134" s="50" t="s">
        <v>26</v>
      </c>
      <c r="D134" s="51"/>
      <c r="E134" s="55"/>
      <c r="F134" s="55"/>
      <c r="G134" s="52"/>
      <c r="H134" s="52"/>
      <c r="I134" s="55"/>
      <c r="J134" s="55"/>
      <c r="K134" s="54"/>
      <c r="L134" s="55"/>
      <c r="M134" s="55"/>
      <c r="N134" s="55"/>
      <c r="O134" s="55"/>
      <c r="P134" s="55"/>
    </row>
    <row r="135" ht="14.25" customHeight="1">
      <c r="A135" s="41">
        <v>45138.0</v>
      </c>
      <c r="B135" s="42" t="s">
        <v>43</v>
      </c>
      <c r="C135" s="43" t="s">
        <v>20</v>
      </c>
      <c r="D135" s="44">
        <v>9.0</v>
      </c>
      <c r="E135" s="58">
        <v>1.0</v>
      </c>
      <c r="F135" s="58">
        <v>2.0</v>
      </c>
      <c r="G135" s="59"/>
      <c r="H135" s="59">
        <v>1.0</v>
      </c>
      <c r="I135" s="58">
        <v>1.0</v>
      </c>
      <c r="J135" s="58">
        <v>1.0</v>
      </c>
      <c r="K135" s="47"/>
      <c r="L135" s="45"/>
      <c r="M135" s="45"/>
      <c r="N135" s="58">
        <v>1.0</v>
      </c>
      <c r="O135" s="58">
        <v>1.0</v>
      </c>
      <c r="P135" s="45"/>
    </row>
    <row r="136" ht="14.25" customHeight="1">
      <c r="A136" s="49"/>
      <c r="C136" s="50" t="s">
        <v>21</v>
      </c>
      <c r="D136" s="51"/>
      <c r="E136" s="2"/>
      <c r="F136" s="2"/>
      <c r="G136" s="52"/>
      <c r="H136" s="53"/>
      <c r="I136" s="2"/>
      <c r="J136" s="2"/>
      <c r="K136" s="54"/>
      <c r="L136" s="55"/>
      <c r="M136" s="55"/>
      <c r="N136" s="2"/>
      <c r="O136" s="55"/>
      <c r="P136" s="55"/>
    </row>
    <row r="137" ht="14.25" customHeight="1">
      <c r="A137" s="49"/>
      <c r="C137" s="50" t="s">
        <v>22</v>
      </c>
      <c r="D137" s="51"/>
      <c r="E137" s="55"/>
      <c r="F137" s="55"/>
      <c r="G137" s="52"/>
      <c r="H137" s="52"/>
      <c r="I137" s="55"/>
      <c r="J137" s="55"/>
      <c r="K137" s="54"/>
      <c r="L137" s="55"/>
      <c r="M137" s="55"/>
      <c r="N137" s="55"/>
      <c r="O137" s="55"/>
      <c r="P137" s="55"/>
    </row>
    <row r="138" ht="14.25" customHeight="1">
      <c r="A138" s="49"/>
      <c r="C138" s="50" t="s">
        <v>23</v>
      </c>
      <c r="D138" s="51"/>
      <c r="E138" s="2"/>
      <c r="F138" s="55"/>
      <c r="G138" s="52"/>
      <c r="H138" s="53"/>
      <c r="I138" s="55"/>
      <c r="J138" s="55"/>
      <c r="K138" s="54"/>
      <c r="L138" s="55"/>
      <c r="M138" s="55"/>
      <c r="N138" s="55"/>
      <c r="O138" s="55"/>
      <c r="P138" s="55"/>
    </row>
    <row r="139" ht="14.25" customHeight="1">
      <c r="A139" s="49"/>
      <c r="C139" s="50" t="s">
        <v>24</v>
      </c>
      <c r="D139" s="51"/>
      <c r="E139" s="55"/>
      <c r="F139" s="55"/>
      <c r="G139" s="52"/>
      <c r="H139" s="52"/>
      <c r="I139" s="55"/>
      <c r="J139" s="55"/>
      <c r="K139" s="54"/>
      <c r="L139" s="55"/>
      <c r="M139" s="55"/>
      <c r="N139" s="55"/>
      <c r="O139" s="55"/>
      <c r="P139" s="55"/>
    </row>
    <row r="140" ht="14.25" customHeight="1">
      <c r="A140" s="49"/>
      <c r="C140" s="50" t="s">
        <v>25</v>
      </c>
      <c r="D140" s="51"/>
      <c r="E140" s="55"/>
      <c r="F140" s="55"/>
      <c r="G140" s="52"/>
      <c r="H140" s="52"/>
      <c r="I140" s="55"/>
      <c r="J140" s="55"/>
      <c r="K140" s="54"/>
      <c r="L140" s="55"/>
      <c r="M140" s="55"/>
      <c r="N140" s="55"/>
      <c r="O140" s="55"/>
      <c r="P140" s="55"/>
    </row>
    <row r="141" ht="14.25" customHeight="1">
      <c r="A141" s="56"/>
      <c r="B141" s="57"/>
      <c r="C141" s="50" t="s">
        <v>26</v>
      </c>
      <c r="D141" s="51"/>
      <c r="E141" s="55"/>
      <c r="F141" s="55"/>
      <c r="G141" s="52"/>
      <c r="H141" s="52"/>
      <c r="I141" s="55"/>
      <c r="J141" s="55"/>
      <c r="K141" s="54"/>
      <c r="L141" s="55"/>
      <c r="M141" s="55"/>
      <c r="N141" s="55"/>
      <c r="O141" s="55"/>
      <c r="P141" s="55"/>
    </row>
    <row r="142" ht="14.25" customHeight="1">
      <c r="A142" s="41">
        <v>45138.0</v>
      </c>
      <c r="B142" s="42" t="s">
        <v>44</v>
      </c>
      <c r="C142" s="43" t="s">
        <v>20</v>
      </c>
      <c r="D142" s="44">
        <v>4.0</v>
      </c>
      <c r="E142" s="58">
        <v>2.0</v>
      </c>
      <c r="F142" s="58">
        <v>2.0</v>
      </c>
      <c r="G142" s="59"/>
      <c r="H142" s="59">
        <v>1.0</v>
      </c>
      <c r="I142" s="58">
        <v>1.0</v>
      </c>
      <c r="J142" s="58">
        <v>2.0</v>
      </c>
      <c r="K142" s="47"/>
      <c r="L142" s="45"/>
      <c r="M142" s="45"/>
      <c r="N142" s="58">
        <v>1.0</v>
      </c>
      <c r="O142" s="58">
        <v>1.0</v>
      </c>
      <c r="P142" s="45"/>
    </row>
    <row r="143" ht="14.25" customHeight="1">
      <c r="A143" s="49"/>
      <c r="C143" s="50" t="s">
        <v>21</v>
      </c>
      <c r="D143" s="51"/>
      <c r="E143" s="2"/>
      <c r="F143" s="2"/>
      <c r="G143" s="52"/>
      <c r="H143" s="53"/>
      <c r="I143" s="2"/>
      <c r="J143" s="2"/>
      <c r="K143" s="54"/>
      <c r="L143" s="55"/>
      <c r="M143" s="55"/>
      <c r="N143" s="2"/>
      <c r="O143" s="55"/>
      <c r="P143" s="55"/>
    </row>
    <row r="144" ht="14.25" customHeight="1">
      <c r="A144" s="49"/>
      <c r="C144" s="50" t="s">
        <v>22</v>
      </c>
      <c r="D144" s="51"/>
      <c r="E144" s="55"/>
      <c r="F144" s="55"/>
      <c r="G144" s="52"/>
      <c r="H144" s="52"/>
      <c r="I144" s="55"/>
      <c r="J144" s="55"/>
      <c r="K144" s="54"/>
      <c r="L144" s="55"/>
      <c r="M144" s="55"/>
      <c r="N144" s="55"/>
      <c r="O144" s="55"/>
      <c r="P144" s="55"/>
    </row>
    <row r="145" ht="14.25" customHeight="1">
      <c r="A145" s="49"/>
      <c r="C145" s="50" t="s">
        <v>23</v>
      </c>
      <c r="D145" s="51"/>
      <c r="E145" s="2"/>
      <c r="F145" s="55"/>
      <c r="G145" s="52"/>
      <c r="H145" s="53"/>
      <c r="I145" s="55"/>
      <c r="J145" s="55"/>
      <c r="K145" s="54"/>
      <c r="L145" s="55"/>
      <c r="M145" s="55"/>
      <c r="N145" s="55"/>
      <c r="O145" s="55"/>
      <c r="P145" s="55"/>
    </row>
    <row r="146" ht="14.25" customHeight="1">
      <c r="A146" s="49"/>
      <c r="C146" s="50" t="s">
        <v>24</v>
      </c>
      <c r="D146" s="51"/>
      <c r="E146" s="55"/>
      <c r="F146" s="55"/>
      <c r="G146" s="52"/>
      <c r="H146" s="52"/>
      <c r="I146" s="55"/>
      <c r="J146" s="55"/>
      <c r="K146" s="54"/>
      <c r="L146" s="55"/>
      <c r="M146" s="55"/>
      <c r="N146" s="55"/>
      <c r="O146" s="55"/>
      <c r="P146" s="55"/>
    </row>
    <row r="147" ht="14.25" customHeight="1">
      <c r="A147" s="49"/>
      <c r="C147" s="50" t="s">
        <v>25</v>
      </c>
      <c r="D147" s="51"/>
      <c r="E147" s="55"/>
      <c r="F147" s="55"/>
      <c r="G147" s="52"/>
      <c r="H147" s="52"/>
      <c r="I147" s="55"/>
      <c r="J147" s="55"/>
      <c r="K147" s="54"/>
      <c r="L147" s="55"/>
      <c r="M147" s="55"/>
      <c r="N147" s="55"/>
      <c r="O147" s="55"/>
      <c r="P147" s="55"/>
    </row>
    <row r="148" ht="14.25" customHeight="1">
      <c r="A148" s="56"/>
      <c r="B148" s="57"/>
      <c r="C148" s="50" t="s">
        <v>26</v>
      </c>
      <c r="D148" s="51"/>
      <c r="E148" s="55"/>
      <c r="F148" s="55"/>
      <c r="G148" s="52"/>
      <c r="H148" s="52"/>
      <c r="I148" s="55"/>
      <c r="J148" s="55"/>
      <c r="K148" s="54"/>
      <c r="L148" s="55"/>
      <c r="M148" s="55"/>
      <c r="N148" s="55"/>
      <c r="O148" s="55"/>
      <c r="P148" s="55"/>
    </row>
    <row r="149" ht="14.25" customHeight="1">
      <c r="A149" s="41">
        <v>45139.0</v>
      </c>
      <c r="B149" s="42" t="s">
        <v>42</v>
      </c>
      <c r="C149" s="43" t="s">
        <v>20</v>
      </c>
      <c r="D149" s="44"/>
      <c r="E149" s="58">
        <v>1.0</v>
      </c>
      <c r="F149" s="58">
        <v>2.0</v>
      </c>
      <c r="G149" s="59"/>
      <c r="H149" s="59">
        <v>1.0</v>
      </c>
      <c r="I149" s="58">
        <v>1.0</v>
      </c>
      <c r="J149" s="58"/>
      <c r="K149" s="60">
        <v>1.0</v>
      </c>
      <c r="L149" s="45"/>
      <c r="M149" s="45"/>
      <c r="N149" s="58">
        <v>2.0</v>
      </c>
      <c r="O149" s="58">
        <v>2.0</v>
      </c>
      <c r="P149" s="45"/>
    </row>
    <row r="150" ht="14.25" customHeight="1">
      <c r="A150" s="49"/>
      <c r="C150" s="50" t="s">
        <v>21</v>
      </c>
      <c r="D150" s="51">
        <v>1.0</v>
      </c>
      <c r="E150" s="2"/>
      <c r="F150" s="2"/>
      <c r="G150" s="52"/>
      <c r="H150" s="53"/>
      <c r="I150" s="2"/>
      <c r="J150" s="2"/>
      <c r="K150" s="54"/>
      <c r="L150" s="55"/>
      <c r="M150" s="55"/>
      <c r="N150" s="2"/>
      <c r="O150" s="55"/>
      <c r="P150" s="55"/>
    </row>
    <row r="151" ht="14.25" customHeight="1">
      <c r="A151" s="49"/>
      <c r="C151" s="50" t="s">
        <v>22</v>
      </c>
      <c r="D151" s="51"/>
      <c r="E151" s="55"/>
      <c r="F151" s="55"/>
      <c r="G151" s="52"/>
      <c r="H151" s="52"/>
      <c r="I151" s="55"/>
      <c r="J151" s="55"/>
      <c r="K151" s="54"/>
      <c r="L151" s="55"/>
      <c r="M151" s="55"/>
      <c r="N151" s="55"/>
      <c r="O151" s="55"/>
      <c r="P151" s="55"/>
    </row>
    <row r="152" ht="14.25" customHeight="1">
      <c r="A152" s="49"/>
      <c r="C152" s="50" t="s">
        <v>23</v>
      </c>
      <c r="D152" s="51"/>
      <c r="E152" s="2"/>
      <c r="F152" s="55"/>
      <c r="G152" s="52"/>
      <c r="H152" s="53"/>
      <c r="I152" s="55"/>
      <c r="J152" s="55"/>
      <c r="K152" s="54"/>
      <c r="L152" s="55"/>
      <c r="M152" s="55"/>
      <c r="N152" s="55"/>
      <c r="O152" s="55"/>
      <c r="P152" s="55"/>
    </row>
    <row r="153" ht="14.25" customHeight="1">
      <c r="A153" s="49"/>
      <c r="C153" s="50" t="s">
        <v>24</v>
      </c>
      <c r="D153" s="51"/>
      <c r="E153" s="55"/>
      <c r="F153" s="55"/>
      <c r="G153" s="52"/>
      <c r="H153" s="52"/>
      <c r="I153" s="55"/>
      <c r="J153" s="55"/>
      <c r="K153" s="54"/>
      <c r="L153" s="55"/>
      <c r="M153" s="55"/>
      <c r="N153" s="55"/>
      <c r="O153" s="55"/>
      <c r="P153" s="55"/>
    </row>
    <row r="154" ht="14.25" customHeight="1">
      <c r="A154" s="49"/>
      <c r="C154" s="50" t="s">
        <v>25</v>
      </c>
      <c r="D154" s="51"/>
      <c r="E154" s="55"/>
      <c r="F154" s="55"/>
      <c r="G154" s="52"/>
      <c r="H154" s="52"/>
      <c r="I154" s="55"/>
      <c r="J154" s="55"/>
      <c r="K154" s="54"/>
      <c r="L154" s="55"/>
      <c r="M154" s="55"/>
      <c r="N154" s="55"/>
      <c r="O154" s="55"/>
      <c r="P154" s="55"/>
    </row>
    <row r="155" ht="14.25" customHeight="1">
      <c r="A155" s="56"/>
      <c r="B155" s="57"/>
      <c r="C155" s="50" t="s">
        <v>26</v>
      </c>
      <c r="D155" s="51"/>
      <c r="E155" s="55"/>
      <c r="F155" s="55"/>
      <c r="G155" s="52"/>
      <c r="H155" s="52"/>
      <c r="I155" s="55"/>
      <c r="J155" s="55"/>
      <c r="K155" s="54"/>
      <c r="L155" s="55"/>
      <c r="M155" s="55"/>
      <c r="N155" s="55"/>
      <c r="O155" s="55"/>
      <c r="P155" s="55"/>
    </row>
    <row r="156" ht="14.25" customHeight="1">
      <c r="A156" s="41">
        <v>45139.0</v>
      </c>
      <c r="B156" s="42" t="s">
        <v>41</v>
      </c>
      <c r="C156" s="43" t="s">
        <v>20</v>
      </c>
      <c r="D156" s="44"/>
      <c r="E156" s="58"/>
      <c r="F156" s="58"/>
      <c r="G156" s="59"/>
      <c r="H156" s="59"/>
      <c r="I156" s="58">
        <v>4.0</v>
      </c>
      <c r="J156" s="58">
        <v>1.0</v>
      </c>
      <c r="K156" s="47"/>
      <c r="L156" s="45"/>
      <c r="M156" s="45"/>
      <c r="N156" s="58">
        <v>3.0</v>
      </c>
      <c r="O156" s="58">
        <v>3.0</v>
      </c>
      <c r="P156" s="45"/>
    </row>
    <row r="157" ht="14.25" customHeight="1">
      <c r="A157" s="49"/>
      <c r="C157" s="50" t="s">
        <v>21</v>
      </c>
      <c r="D157" s="51"/>
      <c r="E157" s="2"/>
      <c r="F157" s="2"/>
      <c r="G157" s="52"/>
      <c r="H157" s="53"/>
      <c r="I157" s="2"/>
      <c r="J157" s="2"/>
      <c r="K157" s="54"/>
      <c r="L157" s="55"/>
      <c r="M157" s="55"/>
      <c r="N157" s="2"/>
      <c r="O157" s="55"/>
      <c r="P157" s="55"/>
    </row>
    <row r="158" ht="14.25" customHeight="1">
      <c r="A158" s="49"/>
      <c r="C158" s="50" t="s">
        <v>22</v>
      </c>
      <c r="D158" s="51"/>
      <c r="E158" s="55"/>
      <c r="F158" s="55"/>
      <c r="G158" s="52"/>
      <c r="H158" s="52"/>
      <c r="I158" s="55"/>
      <c r="J158" s="55"/>
      <c r="K158" s="54"/>
      <c r="L158" s="55"/>
      <c r="M158" s="55"/>
      <c r="N158" s="55"/>
      <c r="O158" s="55"/>
      <c r="P158" s="55"/>
    </row>
    <row r="159" ht="14.25" customHeight="1">
      <c r="A159" s="49"/>
      <c r="C159" s="50" t="s">
        <v>23</v>
      </c>
      <c r="D159" s="51"/>
      <c r="E159" s="2"/>
      <c r="F159" s="55"/>
      <c r="G159" s="52"/>
      <c r="H159" s="53"/>
      <c r="I159" s="55"/>
      <c r="J159" s="55"/>
      <c r="K159" s="54"/>
      <c r="L159" s="55"/>
      <c r="M159" s="55"/>
      <c r="N159" s="55"/>
      <c r="O159" s="55"/>
      <c r="P159" s="55"/>
    </row>
    <row r="160" ht="14.25" customHeight="1">
      <c r="A160" s="49"/>
      <c r="C160" s="50" t="s">
        <v>24</v>
      </c>
      <c r="D160" s="51"/>
      <c r="E160" s="55"/>
      <c r="F160" s="55"/>
      <c r="G160" s="52"/>
      <c r="H160" s="52"/>
      <c r="I160" s="55"/>
      <c r="J160" s="55"/>
      <c r="K160" s="54"/>
      <c r="L160" s="55"/>
      <c r="M160" s="55"/>
      <c r="N160" s="55"/>
      <c r="O160" s="55"/>
      <c r="P160" s="55"/>
    </row>
    <row r="161" ht="14.25" customHeight="1">
      <c r="A161" s="49"/>
      <c r="C161" s="50" t="s">
        <v>25</v>
      </c>
      <c r="D161" s="51"/>
      <c r="E161" s="55"/>
      <c r="F161" s="55"/>
      <c r="G161" s="52"/>
      <c r="H161" s="52"/>
      <c r="I161" s="55"/>
      <c r="J161" s="55"/>
      <c r="K161" s="54"/>
      <c r="L161" s="55"/>
      <c r="M161" s="55"/>
      <c r="N161" s="55"/>
      <c r="O161" s="55"/>
      <c r="P161" s="55"/>
    </row>
    <row r="162" ht="14.25" customHeight="1">
      <c r="A162" s="56"/>
      <c r="B162" s="57"/>
      <c r="C162" s="50" t="s">
        <v>26</v>
      </c>
      <c r="D162" s="51"/>
      <c r="E162" s="55"/>
      <c r="F162" s="55"/>
      <c r="G162" s="52"/>
      <c r="H162" s="52"/>
      <c r="I162" s="55"/>
      <c r="J162" s="55"/>
      <c r="K162" s="54"/>
      <c r="L162" s="55"/>
      <c r="M162" s="55"/>
      <c r="N162" s="55"/>
      <c r="O162" s="55"/>
      <c r="P162" s="55"/>
    </row>
    <row r="163" ht="14.25" customHeight="1">
      <c r="A163" s="41">
        <v>45141.0</v>
      </c>
      <c r="B163" s="42" t="s">
        <v>44</v>
      </c>
      <c r="C163" s="43" t="s">
        <v>20</v>
      </c>
      <c r="D163" s="61">
        <v>2.0</v>
      </c>
      <c r="E163" s="58">
        <v>1.0</v>
      </c>
      <c r="F163" s="58">
        <v>1.0</v>
      </c>
      <c r="G163" s="59"/>
      <c r="H163" s="59"/>
      <c r="I163" s="58"/>
      <c r="J163" s="58">
        <v>1.0</v>
      </c>
      <c r="K163" s="47"/>
      <c r="L163" s="45"/>
      <c r="M163" s="45"/>
      <c r="N163" s="45"/>
      <c r="O163" s="58">
        <v>1.0</v>
      </c>
      <c r="P163" s="58">
        <v>1.0</v>
      </c>
    </row>
    <row r="164" ht="14.25" customHeight="1">
      <c r="A164" s="49"/>
      <c r="C164" s="50" t="s">
        <v>21</v>
      </c>
      <c r="D164" s="51">
        <v>1.0</v>
      </c>
      <c r="E164" s="2">
        <v>3.0</v>
      </c>
      <c r="F164" s="2">
        <v>11.0</v>
      </c>
      <c r="G164" s="52"/>
      <c r="H164" s="53">
        <v>1.0</v>
      </c>
      <c r="I164" s="2">
        <v>7.0</v>
      </c>
      <c r="J164" s="2">
        <v>6.0</v>
      </c>
      <c r="K164" s="54"/>
      <c r="L164" s="55"/>
      <c r="M164" s="55"/>
      <c r="N164" s="2">
        <v>1.0</v>
      </c>
      <c r="O164" s="2">
        <v>6.0</v>
      </c>
      <c r="P164" s="55"/>
    </row>
    <row r="165" ht="14.25" customHeight="1">
      <c r="A165" s="49"/>
      <c r="C165" s="50" t="s">
        <v>22</v>
      </c>
      <c r="D165" s="51"/>
      <c r="E165" s="55"/>
      <c r="F165" s="2">
        <v>1.0</v>
      </c>
      <c r="G165" s="52"/>
      <c r="H165" s="52"/>
      <c r="I165" s="55"/>
      <c r="J165" s="55"/>
      <c r="K165" s="54"/>
      <c r="L165" s="55"/>
      <c r="M165" s="55"/>
      <c r="N165" s="55"/>
      <c r="O165" s="2">
        <v>1.0</v>
      </c>
      <c r="P165" s="55"/>
    </row>
    <row r="166" ht="14.25" customHeight="1">
      <c r="A166" s="49"/>
      <c r="C166" s="50" t="s">
        <v>23</v>
      </c>
      <c r="D166" s="51"/>
      <c r="E166" s="2"/>
      <c r="F166" s="55"/>
      <c r="G166" s="52"/>
      <c r="H166" s="53"/>
      <c r="I166" s="55"/>
      <c r="J166" s="55"/>
      <c r="K166" s="54"/>
      <c r="L166" s="55"/>
      <c r="M166" s="55"/>
      <c r="N166" s="55"/>
      <c r="O166" s="55"/>
      <c r="P166" s="55"/>
    </row>
    <row r="167" ht="14.25" customHeight="1">
      <c r="A167" s="49"/>
      <c r="C167" s="50" t="s">
        <v>24</v>
      </c>
      <c r="D167" s="51"/>
      <c r="E167" s="55"/>
      <c r="F167" s="55"/>
      <c r="G167" s="52"/>
      <c r="H167" s="52"/>
      <c r="I167" s="55"/>
      <c r="J167" s="55"/>
      <c r="K167" s="54"/>
      <c r="L167" s="55"/>
      <c r="M167" s="55"/>
      <c r="N167" s="55"/>
      <c r="O167" s="55"/>
      <c r="P167" s="55"/>
    </row>
    <row r="168" ht="14.25" customHeight="1">
      <c r="A168" s="49"/>
      <c r="C168" s="50" t="s">
        <v>25</v>
      </c>
      <c r="D168" s="51"/>
      <c r="E168" s="55"/>
      <c r="F168" s="55"/>
      <c r="G168" s="52"/>
      <c r="H168" s="52"/>
      <c r="I168" s="55"/>
      <c r="J168" s="55"/>
      <c r="K168" s="54"/>
      <c r="L168" s="55"/>
      <c r="M168" s="55"/>
      <c r="N168" s="55"/>
      <c r="O168" s="55"/>
      <c r="P168" s="55"/>
    </row>
    <row r="169" ht="14.25" customHeight="1">
      <c r="A169" s="56"/>
      <c r="B169" s="57"/>
      <c r="C169" s="50" t="s">
        <v>26</v>
      </c>
      <c r="D169" s="51"/>
      <c r="E169" s="55"/>
      <c r="F169" s="55"/>
      <c r="G169" s="52"/>
      <c r="H169" s="52"/>
      <c r="I169" s="55"/>
      <c r="J169" s="55"/>
      <c r="K169" s="54"/>
      <c r="L169" s="55"/>
      <c r="M169" s="55"/>
      <c r="N169" s="55"/>
      <c r="O169" s="55"/>
      <c r="P169" s="55"/>
    </row>
    <row r="170" ht="14.25" customHeight="1">
      <c r="A170" s="41">
        <v>45141.0</v>
      </c>
      <c r="B170" s="42" t="s">
        <v>41</v>
      </c>
      <c r="C170" s="43" t="s">
        <v>20</v>
      </c>
      <c r="D170" s="44">
        <v>6.0</v>
      </c>
      <c r="E170" s="58">
        <v>6.0</v>
      </c>
      <c r="F170" s="58"/>
      <c r="G170" s="59"/>
      <c r="H170" s="59"/>
      <c r="I170" s="58">
        <v>1.0</v>
      </c>
      <c r="J170" s="58"/>
      <c r="K170" s="47"/>
      <c r="L170" s="45"/>
      <c r="M170" s="45"/>
      <c r="N170" s="58">
        <v>3.0</v>
      </c>
      <c r="O170" s="58">
        <v>3.0</v>
      </c>
      <c r="P170" s="45"/>
    </row>
    <row r="171" ht="14.25" customHeight="1">
      <c r="A171" s="49"/>
      <c r="C171" s="50" t="s">
        <v>21</v>
      </c>
      <c r="D171" s="51">
        <v>1.0</v>
      </c>
      <c r="E171" s="2">
        <v>5.0</v>
      </c>
      <c r="F171" s="2">
        <v>7.0</v>
      </c>
      <c r="G171" s="52"/>
      <c r="H171" s="61">
        <v>2.0</v>
      </c>
      <c r="I171" s="2">
        <v>3.0</v>
      </c>
      <c r="J171" s="2">
        <v>1.0</v>
      </c>
      <c r="K171" s="54"/>
      <c r="L171" s="55"/>
      <c r="M171" s="55"/>
      <c r="N171" s="2">
        <v>7.0</v>
      </c>
      <c r="O171" s="2">
        <v>6.0</v>
      </c>
      <c r="P171" s="55"/>
    </row>
    <row r="172" ht="14.25" customHeight="1">
      <c r="A172" s="49"/>
      <c r="C172" s="50" t="s">
        <v>22</v>
      </c>
      <c r="D172" s="51"/>
      <c r="E172" s="55"/>
      <c r="F172" s="55"/>
      <c r="G172" s="52"/>
      <c r="H172" s="52"/>
      <c r="I172" s="55"/>
      <c r="J172" s="55"/>
      <c r="K172" s="54"/>
      <c r="L172" s="55"/>
      <c r="M172" s="55"/>
      <c r="N172" s="55"/>
      <c r="O172" s="55"/>
      <c r="P172" s="55"/>
    </row>
    <row r="173" ht="14.25" customHeight="1">
      <c r="A173" s="49"/>
      <c r="C173" s="50" t="s">
        <v>23</v>
      </c>
      <c r="D173" s="51"/>
      <c r="E173" s="2">
        <v>1.0</v>
      </c>
      <c r="F173" s="55"/>
      <c r="G173" s="52"/>
      <c r="H173" s="53">
        <v>1.0</v>
      </c>
      <c r="I173" s="55"/>
      <c r="J173" s="55"/>
      <c r="K173" s="54"/>
      <c r="L173" s="55"/>
      <c r="M173" s="55"/>
      <c r="N173" s="55"/>
      <c r="O173" s="55"/>
      <c r="P173" s="55"/>
    </row>
    <row r="174" ht="14.25" customHeight="1">
      <c r="A174" s="49"/>
      <c r="C174" s="50" t="s">
        <v>24</v>
      </c>
      <c r="D174" s="51"/>
      <c r="E174" s="2">
        <v>1.0</v>
      </c>
      <c r="F174" s="55"/>
      <c r="G174" s="52"/>
      <c r="H174" s="53">
        <v>1.0</v>
      </c>
      <c r="I174" s="55"/>
      <c r="J174" s="55"/>
      <c r="K174" s="54"/>
      <c r="L174" s="55"/>
      <c r="M174" s="55"/>
      <c r="N174" s="55"/>
      <c r="O174" s="55"/>
      <c r="P174" s="55"/>
    </row>
    <row r="175" ht="14.25" customHeight="1">
      <c r="A175" s="49"/>
      <c r="C175" s="50" t="s">
        <v>25</v>
      </c>
      <c r="D175" s="51"/>
      <c r="E175" s="55"/>
      <c r="F175" s="55"/>
      <c r="G175" s="52"/>
      <c r="H175" s="52"/>
      <c r="I175" s="55"/>
      <c r="J175" s="55"/>
      <c r="K175" s="54"/>
      <c r="L175" s="55"/>
      <c r="M175" s="55"/>
      <c r="N175" s="55"/>
      <c r="O175" s="55"/>
      <c r="P175" s="55"/>
    </row>
    <row r="176" ht="14.25" customHeight="1">
      <c r="A176" s="56"/>
      <c r="B176" s="57"/>
      <c r="C176" s="50" t="s">
        <v>26</v>
      </c>
      <c r="D176" s="51"/>
      <c r="E176" s="55"/>
      <c r="F176" s="55"/>
      <c r="G176" s="52"/>
      <c r="H176" s="52"/>
      <c r="I176" s="55"/>
      <c r="J176" s="55"/>
      <c r="K176" s="54"/>
      <c r="L176" s="55"/>
      <c r="M176" s="55"/>
      <c r="N176" s="55"/>
      <c r="O176" s="55"/>
      <c r="P176" s="55"/>
    </row>
    <row r="177" ht="14.25" customHeight="1">
      <c r="A177" s="41">
        <v>45252.0</v>
      </c>
      <c r="B177" s="42" t="s">
        <v>42</v>
      </c>
      <c r="C177" s="43" t="s">
        <v>20</v>
      </c>
      <c r="D177" s="58">
        <v>5.0</v>
      </c>
      <c r="E177" s="58">
        <v>1.0</v>
      </c>
      <c r="F177" s="58">
        <v>2.0</v>
      </c>
      <c r="G177" s="59">
        <v>1.0</v>
      </c>
      <c r="H177" s="59"/>
      <c r="I177" s="58">
        <v>3.0</v>
      </c>
      <c r="J177" s="58">
        <v>2.0</v>
      </c>
      <c r="K177" s="47"/>
      <c r="L177" s="45"/>
      <c r="M177" s="45"/>
      <c r="N177" s="45"/>
      <c r="O177" s="45"/>
      <c r="P177" s="45"/>
    </row>
    <row r="178" ht="14.25" customHeight="1">
      <c r="A178" s="49"/>
      <c r="C178" s="50" t="s">
        <v>21</v>
      </c>
      <c r="D178" s="51">
        <v>1.0</v>
      </c>
      <c r="E178" s="2"/>
      <c r="F178" s="2">
        <v>2.0</v>
      </c>
      <c r="G178" s="52"/>
      <c r="H178" s="53"/>
      <c r="I178" s="2"/>
      <c r="J178" s="2">
        <v>2.0</v>
      </c>
      <c r="K178" s="54"/>
      <c r="L178" s="55"/>
      <c r="M178" s="55"/>
      <c r="N178" s="2"/>
      <c r="O178" s="55"/>
      <c r="P178" s="55"/>
    </row>
    <row r="179" ht="14.25" customHeight="1">
      <c r="A179" s="49"/>
      <c r="C179" s="50" t="s">
        <v>22</v>
      </c>
      <c r="D179" s="51"/>
      <c r="E179" s="55"/>
      <c r="F179" s="55"/>
      <c r="G179" s="52"/>
      <c r="H179" s="52"/>
      <c r="I179" s="55"/>
      <c r="J179" s="55"/>
      <c r="K179" s="54"/>
      <c r="L179" s="55"/>
      <c r="M179" s="55"/>
      <c r="N179" s="55"/>
      <c r="O179" s="55"/>
      <c r="P179" s="55"/>
    </row>
    <row r="180" ht="14.25" customHeight="1">
      <c r="A180" s="49"/>
      <c r="C180" s="50" t="s">
        <v>23</v>
      </c>
      <c r="D180" s="51"/>
      <c r="E180" s="2"/>
      <c r="F180" s="55"/>
      <c r="G180" s="52"/>
      <c r="H180" s="53"/>
      <c r="I180" s="55"/>
      <c r="J180" s="55"/>
      <c r="K180" s="54"/>
      <c r="L180" s="55"/>
      <c r="M180" s="55"/>
      <c r="N180" s="55"/>
      <c r="O180" s="55"/>
      <c r="P180" s="55"/>
    </row>
    <row r="181" ht="14.25" customHeight="1">
      <c r="A181" s="49"/>
      <c r="C181" s="50" t="s">
        <v>24</v>
      </c>
      <c r="D181" s="51"/>
      <c r="E181" s="55"/>
      <c r="F181" s="55"/>
      <c r="G181" s="52"/>
      <c r="H181" s="52"/>
      <c r="I181" s="55"/>
      <c r="J181" s="55"/>
      <c r="K181" s="54"/>
      <c r="L181" s="55"/>
      <c r="M181" s="55"/>
      <c r="N181" s="55"/>
      <c r="O181" s="55"/>
      <c r="P181" s="55"/>
    </row>
    <row r="182" ht="14.25" customHeight="1">
      <c r="A182" s="49"/>
      <c r="C182" s="50" t="s">
        <v>25</v>
      </c>
      <c r="D182" s="51"/>
      <c r="E182" s="55"/>
      <c r="F182" s="55"/>
      <c r="G182" s="52"/>
      <c r="H182" s="52"/>
      <c r="I182" s="55"/>
      <c r="J182" s="55"/>
      <c r="K182" s="54"/>
      <c r="L182" s="55"/>
      <c r="M182" s="55"/>
      <c r="N182" s="55"/>
      <c r="O182" s="55"/>
      <c r="P182" s="55"/>
    </row>
    <row r="183" ht="14.25" customHeight="1">
      <c r="A183" s="56"/>
      <c r="B183" s="57"/>
      <c r="C183" s="50" t="s">
        <v>26</v>
      </c>
      <c r="D183" s="51"/>
      <c r="E183" s="55"/>
      <c r="F183" s="55"/>
      <c r="G183" s="52"/>
      <c r="H183" s="52"/>
      <c r="I183" s="55"/>
      <c r="J183" s="55"/>
      <c r="K183" s="54"/>
      <c r="L183" s="55"/>
      <c r="M183" s="55"/>
      <c r="N183" s="55"/>
      <c r="O183" s="55"/>
      <c r="P183" s="55"/>
    </row>
    <row r="184" ht="14.25" customHeight="1">
      <c r="A184" s="41">
        <v>45265.0</v>
      </c>
      <c r="B184" s="42" t="s">
        <v>42</v>
      </c>
      <c r="C184" s="43" t="s">
        <v>20</v>
      </c>
      <c r="D184" s="44">
        <v>8.0</v>
      </c>
      <c r="E184" s="58">
        <v>1.0</v>
      </c>
      <c r="F184" s="58">
        <v>2.0</v>
      </c>
      <c r="G184" s="59">
        <v>0.0</v>
      </c>
      <c r="H184" s="59">
        <v>2.0</v>
      </c>
      <c r="I184" s="58"/>
      <c r="J184" s="58"/>
      <c r="K184" s="47"/>
      <c r="L184" s="45"/>
      <c r="M184" s="45"/>
      <c r="N184" s="45"/>
      <c r="O184" s="58">
        <v>2.0</v>
      </c>
      <c r="P184" s="45"/>
    </row>
    <row r="185" ht="14.25" customHeight="1">
      <c r="A185" s="49"/>
      <c r="C185" s="50" t="s">
        <v>21</v>
      </c>
      <c r="D185" s="51"/>
      <c r="E185" s="2"/>
      <c r="F185" s="2">
        <v>2.0</v>
      </c>
      <c r="G185" s="52"/>
      <c r="H185" s="53"/>
      <c r="I185" s="2"/>
      <c r="J185" s="2"/>
      <c r="K185" s="54"/>
      <c r="L185" s="55"/>
      <c r="M185" s="55"/>
      <c r="N185" s="2"/>
      <c r="O185" s="55"/>
      <c r="P185" s="55"/>
    </row>
    <row r="186" ht="14.25" customHeight="1">
      <c r="A186" s="49"/>
      <c r="C186" s="50" t="s">
        <v>22</v>
      </c>
      <c r="D186" s="51"/>
      <c r="E186" s="55"/>
      <c r="F186" s="55"/>
      <c r="G186" s="52"/>
      <c r="H186" s="52"/>
      <c r="I186" s="2">
        <v>1.0</v>
      </c>
      <c r="J186" s="2">
        <v>1.0</v>
      </c>
      <c r="K186" s="54"/>
      <c r="L186" s="55"/>
      <c r="M186" s="55"/>
      <c r="N186" s="55"/>
      <c r="O186" s="55"/>
      <c r="P186" s="55"/>
    </row>
    <row r="187" ht="14.25" customHeight="1">
      <c r="A187" s="49"/>
      <c r="C187" s="50" t="s">
        <v>23</v>
      </c>
      <c r="D187" s="51"/>
      <c r="E187" s="2"/>
      <c r="F187" s="2">
        <v>2.0</v>
      </c>
      <c r="G187" s="52"/>
      <c r="H187" s="53"/>
      <c r="I187" s="55"/>
      <c r="J187" s="2">
        <v>2.0</v>
      </c>
      <c r="K187" s="54"/>
      <c r="L187" s="55"/>
      <c r="M187" s="55"/>
      <c r="N187" s="55"/>
      <c r="O187" s="55"/>
      <c r="P187" s="55"/>
    </row>
    <row r="188" ht="14.25" customHeight="1">
      <c r="A188" s="49"/>
      <c r="C188" s="50" t="s">
        <v>24</v>
      </c>
      <c r="D188" s="51"/>
      <c r="E188" s="55"/>
      <c r="F188" s="55"/>
      <c r="G188" s="52"/>
      <c r="H188" s="52"/>
      <c r="I188" s="55"/>
      <c r="J188" s="55"/>
      <c r="K188" s="54"/>
      <c r="L188" s="55"/>
      <c r="M188" s="55"/>
      <c r="N188" s="55"/>
      <c r="O188" s="55"/>
      <c r="P188" s="55"/>
    </row>
    <row r="189" ht="14.25" customHeight="1">
      <c r="A189" s="49"/>
      <c r="C189" s="50" t="s">
        <v>25</v>
      </c>
      <c r="D189" s="51"/>
      <c r="E189" s="55"/>
      <c r="F189" s="55"/>
      <c r="G189" s="52"/>
      <c r="H189" s="52"/>
      <c r="I189" s="55"/>
      <c r="J189" s="55"/>
      <c r="K189" s="54"/>
      <c r="L189" s="55"/>
      <c r="M189" s="55"/>
      <c r="N189" s="55"/>
      <c r="O189" s="55"/>
      <c r="P189" s="55"/>
    </row>
    <row r="190" ht="14.25" customHeight="1">
      <c r="A190" s="56"/>
      <c r="B190" s="57"/>
      <c r="C190" s="50" t="s">
        <v>26</v>
      </c>
      <c r="D190" s="51"/>
      <c r="E190" s="55"/>
      <c r="F190" s="55"/>
      <c r="G190" s="52"/>
      <c r="H190" s="52"/>
      <c r="I190" s="55"/>
      <c r="J190" s="55"/>
      <c r="K190" s="54"/>
      <c r="L190" s="55"/>
      <c r="M190" s="55"/>
      <c r="N190" s="55"/>
      <c r="O190" s="55"/>
      <c r="P190" s="55"/>
    </row>
    <row r="191" ht="14.25" customHeight="1">
      <c r="A191" s="41">
        <v>45268.0</v>
      </c>
      <c r="B191" s="42" t="s">
        <v>42</v>
      </c>
      <c r="C191" s="43" t="s">
        <v>20</v>
      </c>
      <c r="D191" s="44">
        <v>1.0</v>
      </c>
      <c r="E191" s="58"/>
      <c r="F191" s="58">
        <v>1.0</v>
      </c>
      <c r="G191" s="59"/>
      <c r="H191" s="59"/>
      <c r="I191" s="58"/>
      <c r="J191" s="58"/>
      <c r="K191" s="47"/>
      <c r="L191" s="45"/>
      <c r="M191" s="45"/>
      <c r="N191" s="58">
        <v>1.0</v>
      </c>
      <c r="O191" s="45"/>
      <c r="P191" s="45"/>
    </row>
    <row r="192" ht="14.25" customHeight="1">
      <c r="A192" s="49"/>
      <c r="C192" s="50" t="s">
        <v>21</v>
      </c>
      <c r="D192" s="51"/>
      <c r="E192" s="2"/>
      <c r="F192" s="2"/>
      <c r="G192" s="53">
        <v>3.0</v>
      </c>
      <c r="H192" s="53"/>
      <c r="I192" s="2"/>
      <c r="J192" s="2"/>
      <c r="K192" s="54"/>
      <c r="L192" s="55"/>
      <c r="M192" s="55"/>
      <c r="N192" s="2"/>
      <c r="O192" s="55"/>
      <c r="P192" s="55"/>
    </row>
    <row r="193" ht="14.25" customHeight="1">
      <c r="A193" s="49"/>
      <c r="C193" s="50" t="s">
        <v>22</v>
      </c>
      <c r="D193" s="51"/>
      <c r="E193" s="55"/>
      <c r="F193" s="55"/>
      <c r="G193" s="52"/>
      <c r="H193" s="52"/>
      <c r="I193" s="55"/>
      <c r="J193" s="55"/>
      <c r="K193" s="54"/>
      <c r="L193" s="55"/>
      <c r="M193" s="55"/>
      <c r="N193" s="55"/>
      <c r="O193" s="55"/>
      <c r="P193" s="55"/>
    </row>
    <row r="194" ht="14.25" customHeight="1">
      <c r="A194" s="49"/>
      <c r="C194" s="50" t="s">
        <v>23</v>
      </c>
      <c r="D194" s="51"/>
      <c r="E194" s="2"/>
      <c r="F194" s="55"/>
      <c r="G194" s="52"/>
      <c r="H194" s="53"/>
      <c r="I194" s="55"/>
      <c r="J194" s="55"/>
      <c r="K194" s="54"/>
      <c r="L194" s="55"/>
      <c r="M194" s="55"/>
      <c r="N194" s="55"/>
      <c r="O194" s="55"/>
      <c r="P194" s="55"/>
    </row>
    <row r="195" ht="14.25" customHeight="1">
      <c r="A195" s="49"/>
      <c r="C195" s="50" t="s">
        <v>24</v>
      </c>
      <c r="D195" s="51"/>
      <c r="E195" s="55"/>
      <c r="F195" s="55"/>
      <c r="G195" s="52"/>
      <c r="H195" s="52"/>
      <c r="I195" s="55"/>
      <c r="J195" s="55"/>
      <c r="K195" s="54"/>
      <c r="L195" s="55"/>
      <c r="M195" s="55"/>
      <c r="N195" s="55"/>
      <c r="O195" s="55"/>
      <c r="P195" s="55"/>
    </row>
    <row r="196" ht="14.25" customHeight="1">
      <c r="A196" s="49"/>
      <c r="C196" s="50" t="s">
        <v>25</v>
      </c>
      <c r="D196" s="51"/>
      <c r="E196" s="55"/>
      <c r="F196" s="55"/>
      <c r="G196" s="52"/>
      <c r="H196" s="52"/>
      <c r="I196" s="55"/>
      <c r="J196" s="55"/>
      <c r="K196" s="54"/>
      <c r="L196" s="55"/>
      <c r="M196" s="55"/>
      <c r="N196" s="55"/>
      <c r="O196" s="55"/>
      <c r="P196" s="55"/>
    </row>
    <row r="197" ht="14.25" customHeight="1">
      <c r="A197" s="56"/>
      <c r="B197" s="57"/>
      <c r="C197" s="50" t="s">
        <v>26</v>
      </c>
      <c r="D197" s="51"/>
      <c r="E197" s="55"/>
      <c r="F197" s="55"/>
      <c r="G197" s="52"/>
      <c r="H197" s="52"/>
      <c r="I197" s="55"/>
      <c r="J197" s="55"/>
      <c r="K197" s="54"/>
      <c r="L197" s="55"/>
      <c r="M197" s="55"/>
      <c r="N197" s="55"/>
      <c r="O197" s="55"/>
      <c r="P197" s="55"/>
    </row>
    <row r="198" ht="14.25" customHeight="1">
      <c r="A198" s="41">
        <v>45267.0</v>
      </c>
      <c r="B198" s="42" t="s">
        <v>42</v>
      </c>
      <c r="C198" s="43" t="s">
        <v>20</v>
      </c>
      <c r="D198" s="44">
        <v>1.0</v>
      </c>
      <c r="E198" s="58">
        <v>1.0</v>
      </c>
      <c r="F198" s="58">
        <v>2.0</v>
      </c>
      <c r="G198" s="59"/>
      <c r="H198" s="59">
        <v>3.0</v>
      </c>
      <c r="I198" s="58">
        <v>1.0</v>
      </c>
      <c r="J198" s="58"/>
      <c r="K198" s="47"/>
      <c r="L198" s="45"/>
      <c r="M198" s="45"/>
      <c r="N198" s="58"/>
      <c r="O198" s="58"/>
      <c r="P198" s="45"/>
    </row>
    <row r="199" ht="14.25" customHeight="1">
      <c r="A199" s="49"/>
      <c r="C199" s="50" t="s">
        <v>21</v>
      </c>
      <c r="D199" s="51"/>
      <c r="E199" s="2"/>
      <c r="F199" s="2"/>
      <c r="G199" s="52"/>
      <c r="H199" s="53"/>
      <c r="I199" s="2"/>
      <c r="J199" s="2"/>
      <c r="K199" s="54"/>
      <c r="L199" s="55"/>
      <c r="M199" s="55"/>
      <c r="N199" s="2"/>
      <c r="O199" s="55"/>
      <c r="P199" s="55"/>
    </row>
    <row r="200" ht="14.25" customHeight="1">
      <c r="A200" s="49"/>
      <c r="C200" s="50" t="s">
        <v>22</v>
      </c>
      <c r="D200" s="51"/>
      <c r="E200" s="55"/>
      <c r="F200" s="55"/>
      <c r="G200" s="52"/>
      <c r="H200" s="52"/>
      <c r="I200" s="55"/>
      <c r="J200" s="55"/>
      <c r="K200" s="54"/>
      <c r="L200" s="55"/>
      <c r="M200" s="55"/>
      <c r="N200" s="55"/>
      <c r="O200" s="55"/>
      <c r="P200" s="55"/>
    </row>
    <row r="201" ht="14.25" customHeight="1">
      <c r="A201" s="49"/>
      <c r="C201" s="50" t="s">
        <v>23</v>
      </c>
      <c r="D201" s="51"/>
      <c r="E201" s="2"/>
      <c r="F201" s="55"/>
      <c r="G201" s="52"/>
      <c r="H201" s="53"/>
      <c r="I201" s="55"/>
      <c r="J201" s="55"/>
      <c r="K201" s="54"/>
      <c r="L201" s="55"/>
      <c r="M201" s="55"/>
      <c r="N201" s="55"/>
      <c r="O201" s="55"/>
      <c r="P201" s="55"/>
    </row>
    <row r="202" ht="14.25" customHeight="1">
      <c r="A202" s="49"/>
      <c r="C202" s="50" t="s">
        <v>24</v>
      </c>
      <c r="D202" s="51"/>
      <c r="E202" s="55"/>
      <c r="F202" s="55"/>
      <c r="G202" s="52"/>
      <c r="H202" s="52"/>
      <c r="I202" s="55"/>
      <c r="J202" s="55"/>
      <c r="K202" s="54"/>
      <c r="L202" s="55"/>
      <c r="M202" s="55"/>
      <c r="N202" s="55"/>
      <c r="O202" s="55"/>
      <c r="P202" s="55"/>
    </row>
    <row r="203" ht="14.25" customHeight="1">
      <c r="A203" s="49"/>
      <c r="C203" s="50" t="s">
        <v>25</v>
      </c>
      <c r="D203" s="51"/>
      <c r="E203" s="55"/>
      <c r="F203" s="55"/>
      <c r="G203" s="52"/>
      <c r="H203" s="52"/>
      <c r="I203" s="55"/>
      <c r="J203" s="55"/>
      <c r="K203" s="54"/>
      <c r="L203" s="55"/>
      <c r="M203" s="55"/>
      <c r="N203" s="55"/>
      <c r="O203" s="55"/>
      <c r="P203" s="55"/>
    </row>
    <row r="204" ht="14.25" customHeight="1">
      <c r="A204" s="56"/>
      <c r="B204" s="57"/>
      <c r="C204" s="50" t="s">
        <v>26</v>
      </c>
      <c r="D204" s="51"/>
      <c r="E204" s="55"/>
      <c r="F204" s="55"/>
      <c r="G204" s="52"/>
      <c r="H204" s="52"/>
      <c r="I204" s="55"/>
      <c r="J204" s="55"/>
      <c r="K204" s="54"/>
      <c r="L204" s="55"/>
      <c r="M204" s="55"/>
      <c r="N204" s="55"/>
      <c r="O204" s="55"/>
      <c r="P204" s="55"/>
    </row>
    <row r="205" ht="14.25" customHeight="1">
      <c r="A205" s="41">
        <v>45287.0</v>
      </c>
      <c r="B205" s="42" t="s">
        <v>42</v>
      </c>
      <c r="C205" s="43" t="s">
        <v>20</v>
      </c>
      <c r="D205" s="44">
        <v>3.0</v>
      </c>
      <c r="E205" s="58"/>
      <c r="F205" s="58">
        <v>1.0</v>
      </c>
      <c r="G205" s="59"/>
      <c r="H205" s="59"/>
      <c r="I205" s="58"/>
      <c r="J205" s="58"/>
      <c r="K205" s="47"/>
      <c r="L205" s="45"/>
      <c r="M205" s="45"/>
      <c r="N205" s="58"/>
      <c r="O205" s="45"/>
      <c r="P205" s="45"/>
    </row>
    <row r="206" ht="14.25" customHeight="1">
      <c r="A206" s="49"/>
      <c r="C206" s="50" t="s">
        <v>21</v>
      </c>
      <c r="D206" s="51">
        <v>2.0</v>
      </c>
      <c r="E206" s="2"/>
      <c r="F206" s="2"/>
      <c r="G206" s="52"/>
      <c r="H206" s="53"/>
      <c r="I206" s="2"/>
      <c r="J206" s="2"/>
      <c r="K206" s="54"/>
      <c r="L206" s="55"/>
      <c r="M206" s="55"/>
      <c r="N206" s="2"/>
      <c r="O206" s="55"/>
      <c r="P206" s="55"/>
    </row>
    <row r="207" ht="14.25" customHeight="1">
      <c r="A207" s="49"/>
      <c r="C207" s="50" t="s">
        <v>22</v>
      </c>
      <c r="D207" s="51"/>
      <c r="E207" s="55"/>
      <c r="F207" s="55"/>
      <c r="G207" s="52"/>
      <c r="H207" s="52"/>
      <c r="I207" s="55"/>
      <c r="J207" s="55"/>
      <c r="K207" s="54"/>
      <c r="L207" s="55"/>
      <c r="M207" s="55"/>
      <c r="N207" s="55"/>
      <c r="O207" s="55"/>
      <c r="P207" s="55"/>
    </row>
    <row r="208" ht="14.25" customHeight="1">
      <c r="A208" s="49"/>
      <c r="C208" s="50" t="s">
        <v>23</v>
      </c>
      <c r="D208" s="51"/>
      <c r="E208" s="2"/>
      <c r="F208" s="55"/>
      <c r="G208" s="52"/>
      <c r="H208" s="53"/>
      <c r="I208" s="55"/>
      <c r="J208" s="55"/>
      <c r="K208" s="54"/>
      <c r="L208" s="55"/>
      <c r="M208" s="55"/>
      <c r="N208" s="55"/>
      <c r="O208" s="55"/>
      <c r="P208" s="55"/>
    </row>
    <row r="209" ht="14.25" customHeight="1">
      <c r="A209" s="49"/>
      <c r="C209" s="50" t="s">
        <v>24</v>
      </c>
      <c r="D209" s="51"/>
      <c r="E209" s="55"/>
      <c r="F209" s="55"/>
      <c r="G209" s="52"/>
      <c r="H209" s="52"/>
      <c r="I209" s="55"/>
      <c r="J209" s="55"/>
      <c r="K209" s="54"/>
      <c r="L209" s="55"/>
      <c r="M209" s="55"/>
      <c r="N209" s="55"/>
      <c r="O209" s="55"/>
      <c r="P209" s="55"/>
    </row>
    <row r="210" ht="14.25" customHeight="1">
      <c r="A210" s="49"/>
      <c r="C210" s="50" t="s">
        <v>25</v>
      </c>
      <c r="D210" s="51"/>
      <c r="E210" s="55"/>
      <c r="F210" s="55"/>
      <c r="G210" s="52"/>
      <c r="H210" s="52"/>
      <c r="I210" s="55"/>
      <c r="J210" s="55"/>
      <c r="K210" s="54"/>
      <c r="L210" s="55"/>
      <c r="M210" s="55"/>
      <c r="N210" s="55"/>
      <c r="O210" s="55"/>
      <c r="P210" s="55"/>
    </row>
    <row r="211" ht="14.25" customHeight="1">
      <c r="A211" s="56"/>
      <c r="B211" s="57"/>
      <c r="C211" s="50" t="s">
        <v>26</v>
      </c>
      <c r="D211" s="51"/>
      <c r="E211" s="55"/>
      <c r="F211" s="55"/>
      <c r="G211" s="52"/>
      <c r="H211" s="52"/>
      <c r="I211" s="55"/>
      <c r="J211" s="55"/>
      <c r="K211" s="54"/>
      <c r="L211" s="55"/>
      <c r="M211" s="55"/>
      <c r="N211" s="55"/>
      <c r="O211" s="55"/>
      <c r="P211" s="55"/>
    </row>
    <row r="212" ht="14.25" customHeight="1">
      <c r="A212" s="41">
        <v>45287.0</v>
      </c>
      <c r="B212" s="42" t="s">
        <v>43</v>
      </c>
      <c r="C212" s="43" t="s">
        <v>20</v>
      </c>
      <c r="D212" s="44">
        <v>6.0</v>
      </c>
      <c r="E212" s="58">
        <v>6.0</v>
      </c>
      <c r="F212" s="58"/>
      <c r="G212" s="59"/>
      <c r="H212" s="59">
        <v>5.0</v>
      </c>
      <c r="I212" s="58"/>
      <c r="J212" s="58"/>
      <c r="K212" s="47"/>
      <c r="L212" s="45"/>
      <c r="M212" s="45"/>
      <c r="N212" s="58">
        <v>6.0</v>
      </c>
      <c r="O212" s="45"/>
      <c r="P212" s="45"/>
    </row>
    <row r="213" ht="14.25" customHeight="1">
      <c r="A213" s="49"/>
      <c r="C213" s="50" t="s">
        <v>21</v>
      </c>
      <c r="D213" s="51">
        <v>4.0</v>
      </c>
      <c r="E213" s="2">
        <v>1.0</v>
      </c>
      <c r="F213" s="2"/>
      <c r="G213" s="52"/>
      <c r="H213" s="53"/>
      <c r="I213" s="2"/>
      <c r="J213" s="2"/>
      <c r="K213" s="54"/>
      <c r="L213" s="55"/>
      <c r="M213" s="55"/>
      <c r="N213" s="2">
        <v>1.0</v>
      </c>
      <c r="O213" s="55"/>
      <c r="P213" s="55"/>
    </row>
    <row r="214" ht="14.25" customHeight="1">
      <c r="A214" s="49"/>
      <c r="C214" s="50" t="s">
        <v>22</v>
      </c>
      <c r="D214" s="51"/>
      <c r="E214" s="55"/>
      <c r="F214" s="55"/>
      <c r="G214" s="52"/>
      <c r="H214" s="52"/>
      <c r="I214" s="55"/>
      <c r="J214" s="55"/>
      <c r="K214" s="54"/>
      <c r="L214" s="55"/>
      <c r="M214" s="55"/>
      <c r="N214" s="55"/>
      <c r="O214" s="55"/>
      <c r="P214" s="55"/>
    </row>
    <row r="215" ht="14.25" customHeight="1">
      <c r="A215" s="49"/>
      <c r="C215" s="50" t="s">
        <v>23</v>
      </c>
      <c r="D215" s="51"/>
      <c r="E215" s="2"/>
      <c r="F215" s="55"/>
      <c r="G215" s="52"/>
      <c r="H215" s="53"/>
      <c r="I215" s="55"/>
      <c r="J215" s="55"/>
      <c r="K215" s="54"/>
      <c r="L215" s="55"/>
      <c r="M215" s="55"/>
      <c r="N215" s="55"/>
      <c r="O215" s="55"/>
      <c r="P215" s="55"/>
    </row>
    <row r="216" ht="14.25" customHeight="1">
      <c r="A216" s="49"/>
      <c r="C216" s="50" t="s">
        <v>24</v>
      </c>
      <c r="D216" s="51"/>
      <c r="E216" s="55"/>
      <c r="F216" s="55"/>
      <c r="G216" s="52"/>
      <c r="H216" s="52"/>
      <c r="I216" s="55"/>
      <c r="J216" s="55"/>
      <c r="K216" s="54"/>
      <c r="L216" s="55"/>
      <c r="M216" s="55"/>
      <c r="N216" s="55"/>
      <c r="O216" s="55"/>
      <c r="P216" s="55"/>
    </row>
    <row r="217" ht="14.25" customHeight="1">
      <c r="A217" s="49"/>
      <c r="C217" s="50" t="s">
        <v>25</v>
      </c>
      <c r="D217" s="51"/>
      <c r="E217" s="55"/>
      <c r="F217" s="55"/>
      <c r="G217" s="52"/>
      <c r="H217" s="52"/>
      <c r="I217" s="55"/>
      <c r="J217" s="55"/>
      <c r="K217" s="54"/>
      <c r="L217" s="55"/>
      <c r="M217" s="55"/>
      <c r="N217" s="55"/>
      <c r="O217" s="55"/>
      <c r="P217" s="55"/>
    </row>
    <row r="218" ht="14.25" customHeight="1">
      <c r="A218" s="56"/>
      <c r="B218" s="57"/>
      <c r="C218" s="50" t="s">
        <v>26</v>
      </c>
      <c r="D218" s="51"/>
      <c r="E218" s="55"/>
      <c r="F218" s="55"/>
      <c r="G218" s="52"/>
      <c r="H218" s="52"/>
      <c r="I218" s="55"/>
      <c r="J218" s="55"/>
      <c r="K218" s="54"/>
      <c r="L218" s="55"/>
      <c r="M218" s="55"/>
      <c r="N218" s="55"/>
      <c r="O218" s="55"/>
      <c r="P218" s="55"/>
    </row>
    <row r="219" ht="14.25" customHeight="1">
      <c r="A219" s="41">
        <v>45288.0</v>
      </c>
      <c r="B219" s="42" t="s">
        <v>45</v>
      </c>
      <c r="C219" s="43" t="s">
        <v>20</v>
      </c>
      <c r="D219" s="44">
        <v>1.0</v>
      </c>
      <c r="E219" s="58"/>
      <c r="F219" s="58"/>
      <c r="G219" s="59"/>
      <c r="H219" s="59"/>
      <c r="I219" s="58"/>
      <c r="J219" s="58"/>
      <c r="K219" s="47"/>
      <c r="L219" s="45"/>
      <c r="M219" s="45"/>
      <c r="N219" s="45"/>
      <c r="O219" s="45"/>
      <c r="P219" s="45"/>
    </row>
    <row r="220" ht="14.25" customHeight="1">
      <c r="A220" s="49"/>
      <c r="C220" s="50" t="s">
        <v>21</v>
      </c>
      <c r="D220" s="51"/>
      <c r="E220" s="2"/>
      <c r="F220" s="2">
        <v>1.0</v>
      </c>
      <c r="G220" s="52"/>
      <c r="H220" s="53"/>
      <c r="I220" s="2"/>
      <c r="J220" s="2">
        <v>1.0</v>
      </c>
      <c r="K220" s="54"/>
      <c r="L220" s="55"/>
      <c r="M220" s="55"/>
      <c r="N220" s="2">
        <v>1.0</v>
      </c>
      <c r="O220" s="55"/>
      <c r="P220" s="55"/>
    </row>
    <row r="221" ht="14.25" customHeight="1">
      <c r="A221" s="49"/>
      <c r="C221" s="50" t="s">
        <v>22</v>
      </c>
      <c r="D221" s="51"/>
      <c r="E221" s="55"/>
      <c r="F221" s="55"/>
      <c r="G221" s="52"/>
      <c r="H221" s="52"/>
      <c r="I221" s="55"/>
      <c r="J221" s="55"/>
      <c r="K221" s="54"/>
      <c r="L221" s="55"/>
      <c r="M221" s="55"/>
      <c r="N221" s="55"/>
      <c r="O221" s="55"/>
      <c r="P221" s="55"/>
    </row>
    <row r="222" ht="14.25" customHeight="1">
      <c r="A222" s="49"/>
      <c r="C222" s="50" t="s">
        <v>23</v>
      </c>
      <c r="D222" s="51"/>
      <c r="E222" s="2"/>
      <c r="F222" s="55"/>
      <c r="G222" s="52"/>
      <c r="H222" s="53"/>
      <c r="I222" s="55"/>
      <c r="J222" s="55"/>
      <c r="K222" s="54"/>
      <c r="L222" s="55"/>
      <c r="M222" s="55"/>
      <c r="N222" s="55"/>
      <c r="O222" s="55"/>
      <c r="P222" s="55"/>
    </row>
    <row r="223" ht="14.25" customHeight="1">
      <c r="A223" s="49"/>
      <c r="C223" s="50" t="s">
        <v>24</v>
      </c>
      <c r="D223" s="51"/>
      <c r="E223" s="55"/>
      <c r="F223" s="55"/>
      <c r="G223" s="52"/>
      <c r="H223" s="52"/>
      <c r="I223" s="55"/>
      <c r="J223" s="55"/>
      <c r="K223" s="54"/>
      <c r="L223" s="55"/>
      <c r="M223" s="55"/>
      <c r="N223" s="55"/>
      <c r="O223" s="55"/>
      <c r="P223" s="55"/>
    </row>
    <row r="224" ht="14.25" customHeight="1">
      <c r="A224" s="49"/>
      <c r="C224" s="50" t="s">
        <v>25</v>
      </c>
      <c r="D224" s="51"/>
      <c r="E224" s="55"/>
      <c r="F224" s="55"/>
      <c r="G224" s="52"/>
      <c r="H224" s="52"/>
      <c r="I224" s="55"/>
      <c r="J224" s="55"/>
      <c r="K224" s="54"/>
      <c r="L224" s="55"/>
      <c r="M224" s="55"/>
      <c r="N224" s="55"/>
      <c r="O224" s="55"/>
      <c r="P224" s="55"/>
    </row>
    <row r="225" ht="14.25" customHeight="1">
      <c r="A225" s="56"/>
      <c r="B225" s="57"/>
      <c r="C225" s="50" t="s">
        <v>26</v>
      </c>
      <c r="D225" s="51"/>
      <c r="E225" s="55"/>
      <c r="F225" s="55"/>
      <c r="G225" s="52"/>
      <c r="H225" s="52"/>
      <c r="I225" s="55"/>
      <c r="J225" s="55"/>
      <c r="K225" s="54"/>
      <c r="L225" s="55"/>
      <c r="M225" s="55"/>
      <c r="N225" s="55"/>
      <c r="O225" s="55"/>
      <c r="P225" s="55"/>
    </row>
    <row r="226" ht="14.25" customHeight="1">
      <c r="A226" s="41">
        <v>45288.0</v>
      </c>
      <c r="B226" s="42" t="s">
        <v>42</v>
      </c>
      <c r="C226" s="43" t="s">
        <v>20</v>
      </c>
      <c r="D226" s="44">
        <v>5.0</v>
      </c>
      <c r="E226" s="58">
        <v>1.0</v>
      </c>
      <c r="F226" s="58">
        <v>1.0</v>
      </c>
      <c r="G226" s="59"/>
      <c r="H226" s="59">
        <v>1.0</v>
      </c>
      <c r="I226" s="58"/>
      <c r="J226" s="58"/>
      <c r="K226" s="47"/>
      <c r="L226" s="45"/>
      <c r="M226" s="45"/>
      <c r="N226" s="58">
        <v>1.0</v>
      </c>
      <c r="O226" s="45"/>
      <c r="P226" s="45"/>
    </row>
    <row r="227" ht="14.25" customHeight="1">
      <c r="A227" s="49"/>
      <c r="C227" s="50" t="s">
        <v>21</v>
      </c>
      <c r="D227" s="51"/>
      <c r="E227" s="2"/>
      <c r="F227" s="2"/>
      <c r="G227" s="52"/>
      <c r="H227" s="53"/>
      <c r="I227" s="2"/>
      <c r="J227" s="2"/>
      <c r="K227" s="54"/>
      <c r="L227" s="55"/>
      <c r="M227" s="55"/>
      <c r="N227" s="2"/>
      <c r="O227" s="55"/>
      <c r="P227" s="55"/>
    </row>
    <row r="228" ht="14.25" customHeight="1">
      <c r="A228" s="49"/>
      <c r="C228" s="50" t="s">
        <v>22</v>
      </c>
      <c r="D228" s="51"/>
      <c r="E228" s="55"/>
      <c r="F228" s="55"/>
      <c r="G228" s="52"/>
      <c r="H228" s="52"/>
      <c r="I228" s="55"/>
      <c r="J228" s="55"/>
      <c r="K228" s="54"/>
      <c r="L228" s="55"/>
      <c r="M228" s="55"/>
      <c r="N228" s="55"/>
      <c r="O228" s="55"/>
      <c r="P228" s="55"/>
    </row>
    <row r="229" ht="14.25" customHeight="1">
      <c r="A229" s="49"/>
      <c r="C229" s="50" t="s">
        <v>23</v>
      </c>
      <c r="D229" s="51"/>
      <c r="E229" s="2"/>
      <c r="F229" s="55"/>
      <c r="G229" s="52"/>
      <c r="H229" s="53"/>
      <c r="I229" s="55"/>
      <c r="J229" s="55"/>
      <c r="K229" s="54"/>
      <c r="L229" s="55"/>
      <c r="M229" s="55"/>
      <c r="N229" s="55"/>
      <c r="O229" s="55"/>
      <c r="P229" s="55"/>
    </row>
    <row r="230" ht="14.25" customHeight="1">
      <c r="A230" s="49"/>
      <c r="C230" s="50" t="s">
        <v>24</v>
      </c>
      <c r="D230" s="51"/>
      <c r="E230" s="55"/>
      <c r="F230" s="55"/>
      <c r="G230" s="52"/>
      <c r="H230" s="52"/>
      <c r="I230" s="55"/>
      <c r="J230" s="55"/>
      <c r="K230" s="54"/>
      <c r="L230" s="55"/>
      <c r="M230" s="55"/>
      <c r="N230" s="55"/>
      <c r="O230" s="55"/>
      <c r="P230" s="55"/>
    </row>
    <row r="231" ht="14.25" customHeight="1">
      <c r="A231" s="49"/>
      <c r="C231" s="50" t="s">
        <v>25</v>
      </c>
      <c r="D231" s="51"/>
      <c r="E231" s="55"/>
      <c r="F231" s="55"/>
      <c r="G231" s="52"/>
      <c r="H231" s="52"/>
      <c r="I231" s="55"/>
      <c r="J231" s="55"/>
      <c r="K231" s="54"/>
      <c r="L231" s="55"/>
      <c r="M231" s="55"/>
      <c r="N231" s="55"/>
      <c r="O231" s="55"/>
      <c r="P231" s="55"/>
    </row>
    <row r="232" ht="14.25" customHeight="1">
      <c r="A232" s="56"/>
      <c r="B232" s="57"/>
      <c r="C232" s="50" t="s">
        <v>26</v>
      </c>
      <c r="D232" s="51"/>
      <c r="E232" s="55"/>
      <c r="F232" s="55"/>
      <c r="G232" s="52"/>
      <c r="H232" s="52"/>
      <c r="I232" s="55"/>
      <c r="J232" s="55"/>
      <c r="K232" s="54"/>
      <c r="L232" s="55"/>
      <c r="M232" s="55"/>
      <c r="N232" s="55"/>
      <c r="O232" s="55"/>
      <c r="P232" s="55"/>
    </row>
    <row r="233" ht="14.25" customHeight="1">
      <c r="A233" s="41">
        <v>45288.0</v>
      </c>
      <c r="B233" s="42" t="s">
        <v>64</v>
      </c>
      <c r="C233" s="43" t="s">
        <v>20</v>
      </c>
      <c r="D233" s="44">
        <v>12.0</v>
      </c>
      <c r="E233" s="58">
        <v>6.0</v>
      </c>
      <c r="F233" s="58">
        <v>1.0</v>
      </c>
      <c r="G233" s="59"/>
      <c r="H233" s="59">
        <v>4.0</v>
      </c>
      <c r="I233" s="58"/>
      <c r="J233" s="58"/>
      <c r="K233" s="47"/>
      <c r="L233" s="45"/>
      <c r="M233" s="45"/>
      <c r="N233" s="58">
        <v>5.0</v>
      </c>
      <c r="O233" s="58">
        <v>1.0</v>
      </c>
      <c r="P233" s="45"/>
    </row>
    <row r="234" ht="14.25" customHeight="1">
      <c r="A234" s="49"/>
      <c r="C234" s="50" t="s">
        <v>21</v>
      </c>
      <c r="D234" s="51"/>
      <c r="E234" s="2"/>
      <c r="F234" s="2"/>
      <c r="G234" s="52"/>
      <c r="H234" s="53"/>
      <c r="I234" s="2"/>
      <c r="J234" s="2"/>
      <c r="K234" s="54"/>
      <c r="L234" s="55"/>
      <c r="M234" s="55"/>
      <c r="N234" s="2"/>
      <c r="O234" s="55"/>
      <c r="P234" s="55"/>
    </row>
    <row r="235" ht="14.25" customHeight="1">
      <c r="A235" s="49"/>
      <c r="C235" s="50" t="s">
        <v>22</v>
      </c>
      <c r="D235" s="51"/>
      <c r="E235" s="55"/>
      <c r="F235" s="55"/>
      <c r="G235" s="52"/>
      <c r="H235" s="52"/>
      <c r="I235" s="55"/>
      <c r="J235" s="55"/>
      <c r="K235" s="54"/>
      <c r="L235" s="55"/>
      <c r="M235" s="55"/>
      <c r="N235" s="55"/>
      <c r="O235" s="55"/>
      <c r="P235" s="55"/>
    </row>
    <row r="236" ht="14.25" customHeight="1">
      <c r="A236" s="49"/>
      <c r="C236" s="50" t="s">
        <v>23</v>
      </c>
      <c r="D236" s="51"/>
      <c r="E236" s="2"/>
      <c r="F236" s="55"/>
      <c r="G236" s="52"/>
      <c r="H236" s="53"/>
      <c r="I236" s="55"/>
      <c r="J236" s="55"/>
      <c r="K236" s="54"/>
      <c r="L236" s="55"/>
      <c r="M236" s="55"/>
      <c r="N236" s="55"/>
      <c r="O236" s="55"/>
      <c r="P236" s="55"/>
    </row>
    <row r="237" ht="14.25" customHeight="1">
      <c r="A237" s="49"/>
      <c r="C237" s="50" t="s">
        <v>24</v>
      </c>
      <c r="D237" s="51"/>
      <c r="E237" s="55"/>
      <c r="F237" s="55"/>
      <c r="G237" s="52"/>
      <c r="H237" s="52"/>
      <c r="I237" s="55"/>
      <c r="J237" s="55"/>
      <c r="K237" s="54"/>
      <c r="L237" s="55"/>
      <c r="M237" s="55"/>
      <c r="N237" s="55"/>
      <c r="O237" s="55"/>
      <c r="P237" s="55"/>
    </row>
    <row r="238" ht="14.25" customHeight="1">
      <c r="A238" s="49"/>
      <c r="C238" s="50" t="s">
        <v>25</v>
      </c>
      <c r="D238" s="51"/>
      <c r="E238" s="55"/>
      <c r="F238" s="55"/>
      <c r="G238" s="52"/>
      <c r="H238" s="52"/>
      <c r="I238" s="55"/>
      <c r="J238" s="55"/>
      <c r="K238" s="54"/>
      <c r="L238" s="55"/>
      <c r="M238" s="55"/>
      <c r="N238" s="55"/>
      <c r="O238" s="55"/>
      <c r="P238" s="55"/>
    </row>
    <row r="239" ht="14.25" customHeight="1">
      <c r="A239" s="56"/>
      <c r="B239" s="57"/>
      <c r="C239" s="50" t="s">
        <v>26</v>
      </c>
      <c r="D239" s="51"/>
      <c r="E239" s="55"/>
      <c r="F239" s="55"/>
      <c r="G239" s="52"/>
      <c r="H239" s="52"/>
      <c r="I239" s="55"/>
      <c r="J239" s="55"/>
      <c r="K239" s="54"/>
      <c r="L239" s="55"/>
      <c r="M239" s="55"/>
      <c r="N239" s="55"/>
      <c r="O239" s="55"/>
      <c r="P239" s="55"/>
    </row>
    <row r="240" ht="14.25" customHeight="1">
      <c r="A240" s="41">
        <v>45292.0</v>
      </c>
      <c r="B240" s="42" t="s">
        <v>42</v>
      </c>
      <c r="C240" s="43" t="s">
        <v>20</v>
      </c>
      <c r="D240" s="44">
        <v>5.0</v>
      </c>
      <c r="E240" s="58">
        <v>1.0</v>
      </c>
      <c r="F240" s="58"/>
      <c r="G240" s="59"/>
      <c r="H240" s="59">
        <v>1.0</v>
      </c>
      <c r="I240" s="58"/>
      <c r="J240" s="58"/>
      <c r="K240" s="47"/>
      <c r="L240" s="45"/>
      <c r="M240" s="45"/>
      <c r="N240" s="45"/>
      <c r="O240" s="45"/>
      <c r="P240" s="45"/>
    </row>
    <row r="241" ht="14.25" customHeight="1">
      <c r="A241" s="49"/>
      <c r="C241" s="50" t="s">
        <v>21</v>
      </c>
      <c r="D241" s="51"/>
      <c r="E241" s="2"/>
      <c r="F241" s="2"/>
      <c r="G241" s="52"/>
      <c r="H241" s="53"/>
      <c r="I241" s="2"/>
      <c r="J241" s="2"/>
      <c r="K241" s="54"/>
      <c r="L241" s="55"/>
      <c r="M241" s="55"/>
      <c r="N241" s="2"/>
      <c r="O241" s="55"/>
      <c r="P241" s="55"/>
    </row>
    <row r="242" ht="14.25" customHeight="1">
      <c r="A242" s="49"/>
      <c r="C242" s="50" t="s">
        <v>22</v>
      </c>
      <c r="D242" s="51"/>
      <c r="E242" s="55"/>
      <c r="F242" s="55"/>
      <c r="G242" s="52"/>
      <c r="H242" s="52"/>
      <c r="I242" s="55"/>
      <c r="J242" s="55"/>
      <c r="K242" s="54"/>
      <c r="L242" s="55"/>
      <c r="M242" s="55"/>
      <c r="N242" s="55"/>
      <c r="O242" s="55"/>
      <c r="P242" s="55"/>
    </row>
    <row r="243" ht="14.25" customHeight="1">
      <c r="A243" s="49"/>
      <c r="C243" s="50" t="s">
        <v>23</v>
      </c>
      <c r="D243" s="51"/>
      <c r="E243" s="2"/>
      <c r="F243" s="55"/>
      <c r="G243" s="52"/>
      <c r="H243" s="53"/>
      <c r="I243" s="55"/>
      <c r="J243" s="55"/>
      <c r="K243" s="54"/>
      <c r="L243" s="55"/>
      <c r="M243" s="55"/>
      <c r="N243" s="55"/>
      <c r="O243" s="55"/>
      <c r="P243" s="55"/>
    </row>
    <row r="244" ht="14.25" customHeight="1">
      <c r="A244" s="49"/>
      <c r="C244" s="50" t="s">
        <v>24</v>
      </c>
      <c r="D244" s="51"/>
      <c r="E244" s="55"/>
      <c r="F244" s="55"/>
      <c r="G244" s="52"/>
      <c r="H244" s="52"/>
      <c r="I244" s="55"/>
      <c r="J244" s="55"/>
      <c r="K244" s="54"/>
      <c r="L244" s="55"/>
      <c r="M244" s="55"/>
      <c r="N244" s="55"/>
      <c r="O244" s="55"/>
      <c r="P244" s="55"/>
    </row>
    <row r="245" ht="14.25" customHeight="1">
      <c r="A245" s="49"/>
      <c r="C245" s="50" t="s">
        <v>25</v>
      </c>
      <c r="D245" s="51"/>
      <c r="E245" s="55"/>
      <c r="F245" s="55"/>
      <c r="G245" s="52"/>
      <c r="H245" s="52"/>
      <c r="I245" s="55"/>
      <c r="J245" s="55"/>
      <c r="K245" s="54"/>
      <c r="L245" s="55"/>
      <c r="M245" s="55"/>
      <c r="N245" s="55"/>
      <c r="O245" s="55"/>
      <c r="P245" s="55"/>
    </row>
    <row r="246" ht="14.25" customHeight="1">
      <c r="A246" s="56"/>
      <c r="B246" s="57"/>
      <c r="C246" s="50" t="s">
        <v>26</v>
      </c>
      <c r="D246" s="51"/>
      <c r="E246" s="55"/>
      <c r="F246" s="55"/>
      <c r="G246" s="52"/>
      <c r="H246" s="52"/>
      <c r="I246" s="55"/>
      <c r="J246" s="55"/>
      <c r="K246" s="54"/>
      <c r="L246" s="55"/>
      <c r="M246" s="55"/>
      <c r="N246" s="55"/>
      <c r="O246" s="55"/>
      <c r="P246" s="55"/>
    </row>
    <row r="247" ht="14.25" customHeight="1">
      <c r="A247" s="41">
        <v>45292.0</v>
      </c>
      <c r="B247" s="42" t="s">
        <v>41</v>
      </c>
      <c r="C247" s="43" t="s">
        <v>20</v>
      </c>
      <c r="D247" s="44"/>
      <c r="E247" s="58"/>
      <c r="F247" s="58">
        <v>2.0</v>
      </c>
      <c r="G247" s="59"/>
      <c r="H247" s="59">
        <v>1.0</v>
      </c>
      <c r="I247" s="58"/>
      <c r="J247" s="58">
        <v>1.0</v>
      </c>
      <c r="K247" s="47"/>
      <c r="L247" s="45"/>
      <c r="M247" s="45"/>
      <c r="N247" s="58">
        <v>2.0</v>
      </c>
      <c r="O247" s="58"/>
      <c r="P247" s="45"/>
    </row>
    <row r="248" ht="14.25" customHeight="1">
      <c r="A248" s="49"/>
      <c r="C248" s="50" t="s">
        <v>21</v>
      </c>
      <c r="D248" s="51"/>
      <c r="E248" s="2"/>
      <c r="F248" s="2"/>
      <c r="G248" s="52"/>
      <c r="H248" s="53"/>
      <c r="I248" s="2"/>
      <c r="J248" s="2"/>
      <c r="K248" s="54"/>
      <c r="L248" s="55"/>
      <c r="M248" s="55"/>
      <c r="N248" s="2"/>
      <c r="O248" s="55"/>
      <c r="P248" s="55"/>
    </row>
    <row r="249" ht="14.25" customHeight="1">
      <c r="A249" s="49"/>
      <c r="C249" s="50" t="s">
        <v>22</v>
      </c>
      <c r="D249" s="51"/>
      <c r="E249" s="55"/>
      <c r="F249" s="55"/>
      <c r="G249" s="52"/>
      <c r="H249" s="52"/>
      <c r="I249" s="55"/>
      <c r="J249" s="55"/>
      <c r="K249" s="54"/>
      <c r="L249" s="55"/>
      <c r="M249" s="55"/>
      <c r="N249" s="55"/>
      <c r="O249" s="55"/>
      <c r="P249" s="55"/>
    </row>
    <row r="250" ht="14.25" customHeight="1">
      <c r="A250" s="49"/>
      <c r="C250" s="50" t="s">
        <v>23</v>
      </c>
      <c r="D250" s="51"/>
      <c r="E250" s="2"/>
      <c r="F250" s="55"/>
      <c r="G250" s="52"/>
      <c r="H250" s="53"/>
      <c r="I250" s="55"/>
      <c r="J250" s="55"/>
      <c r="K250" s="54"/>
      <c r="L250" s="55"/>
      <c r="M250" s="55"/>
      <c r="N250" s="55"/>
      <c r="O250" s="55"/>
      <c r="P250" s="55"/>
    </row>
    <row r="251" ht="14.25" customHeight="1">
      <c r="A251" s="49"/>
      <c r="C251" s="50" t="s">
        <v>24</v>
      </c>
      <c r="D251" s="51"/>
      <c r="E251" s="55"/>
      <c r="F251" s="55"/>
      <c r="G251" s="52"/>
      <c r="H251" s="52"/>
      <c r="I251" s="55"/>
      <c r="J251" s="55"/>
      <c r="K251" s="54"/>
      <c r="L251" s="55"/>
      <c r="M251" s="55"/>
      <c r="N251" s="55"/>
      <c r="O251" s="55"/>
      <c r="P251" s="55"/>
    </row>
    <row r="252" ht="14.25" customHeight="1">
      <c r="A252" s="49"/>
      <c r="C252" s="50" t="s">
        <v>25</v>
      </c>
      <c r="D252" s="51"/>
      <c r="E252" s="55"/>
      <c r="F252" s="55"/>
      <c r="G252" s="52"/>
      <c r="H252" s="52"/>
      <c r="I252" s="55"/>
      <c r="J252" s="55"/>
      <c r="K252" s="54"/>
      <c r="L252" s="55"/>
      <c r="M252" s="55"/>
      <c r="N252" s="55"/>
      <c r="O252" s="55"/>
      <c r="P252" s="55"/>
    </row>
    <row r="253" ht="14.25" customHeight="1">
      <c r="A253" s="56"/>
      <c r="B253" s="57"/>
      <c r="C253" s="50" t="s">
        <v>26</v>
      </c>
      <c r="D253" s="51"/>
      <c r="E253" s="55"/>
      <c r="F253" s="55"/>
      <c r="G253" s="52"/>
      <c r="H253" s="52"/>
      <c r="I253" s="55"/>
      <c r="J253" s="55"/>
      <c r="K253" s="54"/>
      <c r="L253" s="55"/>
      <c r="M253" s="55"/>
      <c r="N253" s="55"/>
      <c r="O253" s="55"/>
      <c r="P253" s="55"/>
    </row>
    <row r="254" ht="14.25" customHeight="1">
      <c r="A254" s="41">
        <v>45293.0</v>
      </c>
      <c r="B254" s="42" t="s">
        <v>45</v>
      </c>
      <c r="C254" s="43" t="s">
        <v>20</v>
      </c>
      <c r="D254" s="44">
        <v>2.0</v>
      </c>
      <c r="E254" s="58"/>
      <c r="F254" s="58">
        <v>2.0</v>
      </c>
      <c r="G254" s="59"/>
      <c r="H254" s="59"/>
      <c r="I254" s="58"/>
      <c r="J254" s="58">
        <v>2.0</v>
      </c>
      <c r="K254" s="47"/>
      <c r="L254" s="45"/>
      <c r="M254" s="45"/>
      <c r="N254" s="58">
        <v>2.0</v>
      </c>
      <c r="O254" s="58">
        <v>2.0</v>
      </c>
      <c r="P254" s="45"/>
    </row>
    <row r="255" ht="14.25" customHeight="1">
      <c r="A255" s="49"/>
      <c r="C255" s="50" t="s">
        <v>21</v>
      </c>
      <c r="D255" s="51"/>
      <c r="E255" s="2">
        <v>1.0</v>
      </c>
      <c r="F255" s="2"/>
      <c r="G255" s="52"/>
      <c r="H255" s="53"/>
      <c r="I255" s="2"/>
      <c r="J255" s="2">
        <v>1.0</v>
      </c>
      <c r="K255" s="54"/>
      <c r="L255" s="55"/>
      <c r="M255" s="55"/>
      <c r="N255" s="2">
        <v>1.0</v>
      </c>
      <c r="O255" s="55"/>
      <c r="P255" s="55"/>
    </row>
    <row r="256" ht="14.25" customHeight="1">
      <c r="A256" s="49"/>
      <c r="C256" s="50" t="s">
        <v>22</v>
      </c>
      <c r="D256" s="51"/>
      <c r="E256" s="55"/>
      <c r="F256" s="55"/>
      <c r="G256" s="52"/>
      <c r="H256" s="52"/>
      <c r="I256" s="55"/>
      <c r="J256" s="55"/>
      <c r="K256" s="54"/>
      <c r="L256" s="55"/>
      <c r="M256" s="55"/>
      <c r="N256" s="55"/>
      <c r="O256" s="55"/>
      <c r="P256" s="55"/>
    </row>
    <row r="257" ht="14.25" customHeight="1">
      <c r="A257" s="49"/>
      <c r="C257" s="50" t="s">
        <v>23</v>
      </c>
      <c r="D257" s="51"/>
      <c r="E257" s="2"/>
      <c r="F257" s="55"/>
      <c r="G257" s="52"/>
      <c r="H257" s="53"/>
      <c r="I257" s="55"/>
      <c r="J257" s="55"/>
      <c r="K257" s="54"/>
      <c r="L257" s="55"/>
      <c r="M257" s="55"/>
      <c r="N257" s="55"/>
      <c r="O257" s="55"/>
      <c r="P257" s="55"/>
    </row>
    <row r="258" ht="14.25" customHeight="1">
      <c r="A258" s="49"/>
      <c r="C258" s="50" t="s">
        <v>24</v>
      </c>
      <c r="D258" s="51"/>
      <c r="E258" s="55"/>
      <c r="F258" s="55"/>
      <c r="G258" s="52"/>
      <c r="H258" s="52"/>
      <c r="I258" s="55"/>
      <c r="J258" s="55"/>
      <c r="K258" s="54"/>
      <c r="L258" s="55"/>
      <c r="M258" s="55"/>
      <c r="N258" s="55"/>
      <c r="O258" s="55"/>
      <c r="P258" s="55"/>
    </row>
    <row r="259" ht="14.25" customHeight="1">
      <c r="A259" s="49"/>
      <c r="C259" s="50" t="s">
        <v>25</v>
      </c>
      <c r="D259" s="51"/>
      <c r="E259" s="55"/>
      <c r="F259" s="55"/>
      <c r="G259" s="52"/>
      <c r="H259" s="52"/>
      <c r="I259" s="55"/>
      <c r="J259" s="55"/>
      <c r="K259" s="54"/>
      <c r="L259" s="55"/>
      <c r="M259" s="55"/>
      <c r="N259" s="55"/>
      <c r="O259" s="55"/>
      <c r="P259" s="55"/>
    </row>
    <row r="260" ht="14.25" customHeight="1">
      <c r="A260" s="56"/>
      <c r="B260" s="57"/>
      <c r="C260" s="50" t="s">
        <v>26</v>
      </c>
      <c r="D260" s="51"/>
      <c r="E260" s="55"/>
      <c r="F260" s="55"/>
      <c r="G260" s="52"/>
      <c r="H260" s="52"/>
      <c r="I260" s="55"/>
      <c r="J260" s="55"/>
      <c r="K260" s="54"/>
      <c r="L260" s="55"/>
      <c r="M260" s="55"/>
      <c r="N260" s="55"/>
      <c r="O260" s="55"/>
      <c r="P260" s="55"/>
    </row>
    <row r="261" ht="14.25" customHeight="1">
      <c r="A261" s="41">
        <v>45293.0</v>
      </c>
      <c r="B261" s="42" t="s">
        <v>64</v>
      </c>
      <c r="C261" s="43" t="s">
        <v>20</v>
      </c>
      <c r="D261" s="44">
        <v>4.0</v>
      </c>
      <c r="E261" s="58">
        <v>6.0</v>
      </c>
      <c r="F261" s="58">
        <v>4.0</v>
      </c>
      <c r="G261" s="59"/>
      <c r="H261" s="59">
        <v>7.0</v>
      </c>
      <c r="I261" s="58"/>
      <c r="J261" s="58">
        <v>1.0</v>
      </c>
      <c r="K261" s="47"/>
      <c r="L261" s="45"/>
      <c r="M261" s="45"/>
      <c r="N261" s="58">
        <v>5.0</v>
      </c>
      <c r="O261" s="58">
        <v>6.0</v>
      </c>
      <c r="P261" s="45"/>
    </row>
    <row r="262" ht="14.25" customHeight="1">
      <c r="A262" s="49"/>
      <c r="C262" s="50" t="s">
        <v>21</v>
      </c>
      <c r="D262" s="51"/>
      <c r="E262" s="2"/>
      <c r="F262" s="2"/>
      <c r="G262" s="52"/>
      <c r="H262" s="53"/>
      <c r="I262" s="2"/>
      <c r="J262" s="2"/>
      <c r="K262" s="54"/>
      <c r="L262" s="55"/>
      <c r="M262" s="55"/>
      <c r="N262" s="2"/>
      <c r="O262" s="55"/>
      <c r="P262" s="55"/>
    </row>
    <row r="263" ht="14.25" customHeight="1">
      <c r="A263" s="49"/>
      <c r="C263" s="50" t="s">
        <v>22</v>
      </c>
      <c r="D263" s="51"/>
      <c r="E263" s="55"/>
      <c r="F263" s="55"/>
      <c r="G263" s="52"/>
      <c r="H263" s="52"/>
      <c r="I263" s="55"/>
      <c r="J263" s="55"/>
      <c r="K263" s="54"/>
      <c r="L263" s="55"/>
      <c r="M263" s="55"/>
      <c r="N263" s="55"/>
      <c r="O263" s="55"/>
      <c r="P263" s="55"/>
    </row>
    <row r="264" ht="14.25" customHeight="1">
      <c r="A264" s="49"/>
      <c r="C264" s="50" t="s">
        <v>23</v>
      </c>
      <c r="D264" s="51"/>
      <c r="E264" s="2"/>
      <c r="F264" s="55"/>
      <c r="G264" s="52"/>
      <c r="H264" s="53"/>
      <c r="I264" s="55"/>
      <c r="J264" s="55"/>
      <c r="K264" s="54"/>
      <c r="L264" s="55"/>
      <c r="M264" s="55"/>
      <c r="N264" s="55"/>
      <c r="O264" s="55"/>
      <c r="P264" s="55"/>
    </row>
    <row r="265" ht="14.25" customHeight="1">
      <c r="A265" s="49"/>
      <c r="C265" s="50" t="s">
        <v>24</v>
      </c>
      <c r="D265" s="51"/>
      <c r="E265" s="55"/>
      <c r="F265" s="55"/>
      <c r="G265" s="52"/>
      <c r="H265" s="52"/>
      <c r="I265" s="55"/>
      <c r="J265" s="55"/>
      <c r="K265" s="54"/>
      <c r="L265" s="55"/>
      <c r="M265" s="55"/>
      <c r="N265" s="55"/>
      <c r="O265" s="55"/>
      <c r="P265" s="55"/>
    </row>
    <row r="266" ht="14.25" customHeight="1">
      <c r="A266" s="49"/>
      <c r="C266" s="50" t="s">
        <v>25</v>
      </c>
      <c r="D266" s="51"/>
      <c r="E266" s="55"/>
      <c r="F266" s="55"/>
      <c r="G266" s="52"/>
      <c r="H266" s="52"/>
      <c r="I266" s="55"/>
      <c r="J266" s="55"/>
      <c r="K266" s="54"/>
      <c r="L266" s="55"/>
      <c r="M266" s="55"/>
      <c r="N266" s="55"/>
      <c r="O266" s="55"/>
      <c r="P266" s="55"/>
    </row>
    <row r="267" ht="14.25" customHeight="1">
      <c r="A267" s="56"/>
      <c r="B267" s="57"/>
      <c r="C267" s="50" t="s">
        <v>26</v>
      </c>
      <c r="D267" s="51"/>
      <c r="E267" s="55"/>
      <c r="F267" s="55"/>
      <c r="G267" s="52"/>
      <c r="H267" s="52"/>
      <c r="I267" s="55"/>
      <c r="J267" s="55"/>
      <c r="K267" s="54"/>
      <c r="L267" s="55"/>
      <c r="M267" s="55"/>
      <c r="N267" s="55"/>
      <c r="O267" s="55"/>
      <c r="P267" s="55"/>
    </row>
    <row r="268" ht="14.25" customHeight="1">
      <c r="A268" s="41">
        <v>45294.0</v>
      </c>
      <c r="B268" s="42" t="s">
        <v>44</v>
      </c>
      <c r="C268" s="43" t="s">
        <v>20</v>
      </c>
      <c r="D268" s="44">
        <v>2.0</v>
      </c>
      <c r="E268" s="58">
        <v>1.0</v>
      </c>
      <c r="F268" s="58"/>
      <c r="G268" s="59"/>
      <c r="H268" s="59">
        <v>1.0</v>
      </c>
      <c r="I268" s="58"/>
      <c r="J268" s="58"/>
      <c r="K268" s="47"/>
      <c r="L268" s="45"/>
      <c r="M268" s="45"/>
      <c r="N268" s="58">
        <v>1.0</v>
      </c>
      <c r="O268" s="58"/>
      <c r="P268" s="45"/>
    </row>
    <row r="269" ht="14.25" customHeight="1">
      <c r="A269" s="49"/>
      <c r="C269" s="50" t="s">
        <v>21</v>
      </c>
      <c r="D269" s="51"/>
      <c r="E269" s="2"/>
      <c r="F269" s="2">
        <v>2.0</v>
      </c>
      <c r="G269" s="53">
        <v>3.0</v>
      </c>
      <c r="H269" s="53"/>
      <c r="I269" s="2"/>
      <c r="J269" s="2">
        <v>2.0</v>
      </c>
      <c r="K269" s="54"/>
      <c r="L269" s="55"/>
      <c r="M269" s="55"/>
      <c r="N269" s="2">
        <v>2.0</v>
      </c>
      <c r="O269" s="2">
        <v>1.0</v>
      </c>
      <c r="P269" s="55"/>
    </row>
    <row r="270" ht="14.25" customHeight="1">
      <c r="A270" s="49"/>
      <c r="C270" s="50" t="s">
        <v>22</v>
      </c>
      <c r="D270" s="51"/>
      <c r="E270" s="55"/>
      <c r="F270" s="55"/>
      <c r="G270" s="52"/>
      <c r="H270" s="52"/>
      <c r="I270" s="55"/>
      <c r="J270" s="55"/>
      <c r="K270" s="54"/>
      <c r="L270" s="55"/>
      <c r="M270" s="55"/>
      <c r="N270" s="55"/>
      <c r="O270" s="55"/>
      <c r="P270" s="55"/>
    </row>
    <row r="271" ht="14.25" customHeight="1">
      <c r="A271" s="49"/>
      <c r="C271" s="50" t="s">
        <v>23</v>
      </c>
      <c r="D271" s="51"/>
      <c r="E271" s="2"/>
      <c r="F271" s="55"/>
      <c r="G271" s="52"/>
      <c r="H271" s="53"/>
      <c r="I271" s="55"/>
      <c r="J271" s="55"/>
      <c r="K271" s="54"/>
      <c r="L271" s="55"/>
      <c r="M271" s="55"/>
      <c r="N271" s="55"/>
      <c r="O271" s="55"/>
      <c r="P271" s="55"/>
    </row>
    <row r="272" ht="14.25" customHeight="1">
      <c r="A272" s="49"/>
      <c r="C272" s="50" t="s">
        <v>24</v>
      </c>
      <c r="D272" s="51"/>
      <c r="E272" s="55"/>
      <c r="F272" s="55"/>
      <c r="G272" s="52"/>
      <c r="H272" s="52"/>
      <c r="I272" s="55"/>
      <c r="J272" s="55"/>
      <c r="K272" s="54"/>
      <c r="L272" s="55"/>
      <c r="M272" s="55"/>
      <c r="N272" s="55"/>
      <c r="O272" s="55"/>
      <c r="P272" s="55"/>
    </row>
    <row r="273" ht="14.25" customHeight="1">
      <c r="A273" s="49"/>
      <c r="C273" s="50" t="s">
        <v>25</v>
      </c>
      <c r="D273" s="51"/>
      <c r="E273" s="55"/>
      <c r="F273" s="55"/>
      <c r="G273" s="52"/>
      <c r="H273" s="52"/>
      <c r="I273" s="55"/>
      <c r="J273" s="55"/>
      <c r="K273" s="54"/>
      <c r="L273" s="55"/>
      <c r="M273" s="55"/>
      <c r="N273" s="55"/>
      <c r="O273" s="55"/>
      <c r="P273" s="55"/>
    </row>
    <row r="274" ht="14.25" customHeight="1">
      <c r="A274" s="56"/>
      <c r="B274" s="57"/>
      <c r="C274" s="50" t="s">
        <v>26</v>
      </c>
      <c r="D274" s="51"/>
      <c r="E274" s="55"/>
      <c r="F274" s="55"/>
      <c r="G274" s="52"/>
      <c r="H274" s="52"/>
      <c r="I274" s="55"/>
      <c r="J274" s="55"/>
      <c r="K274" s="54"/>
      <c r="L274" s="55"/>
      <c r="M274" s="55"/>
      <c r="N274" s="55"/>
      <c r="O274" s="55"/>
      <c r="P274" s="55"/>
    </row>
    <row r="275" ht="14.25" customHeight="1">
      <c r="A275" s="41">
        <v>45294.0</v>
      </c>
      <c r="B275" s="42" t="s">
        <v>41</v>
      </c>
      <c r="C275" s="43" t="s">
        <v>20</v>
      </c>
      <c r="D275" s="44">
        <v>5.0</v>
      </c>
      <c r="E275" s="58"/>
      <c r="F275" s="58">
        <v>2.0</v>
      </c>
      <c r="G275" s="59"/>
      <c r="H275" s="59">
        <v>1.0</v>
      </c>
      <c r="I275" s="58"/>
      <c r="J275" s="58"/>
      <c r="K275" s="47"/>
      <c r="L275" s="45"/>
      <c r="M275" s="45"/>
      <c r="N275" s="58">
        <v>2.0</v>
      </c>
      <c r="O275" s="58">
        <v>2.0</v>
      </c>
      <c r="P275" s="45"/>
    </row>
    <row r="276" ht="14.25" customHeight="1">
      <c r="A276" s="49"/>
      <c r="C276" s="50" t="s">
        <v>21</v>
      </c>
      <c r="D276" s="51"/>
      <c r="E276" s="2"/>
      <c r="F276" s="2">
        <v>2.0</v>
      </c>
      <c r="G276" s="53">
        <v>2.0</v>
      </c>
      <c r="H276" s="53"/>
      <c r="I276" s="2"/>
      <c r="J276" s="2">
        <v>3.0</v>
      </c>
      <c r="K276" s="54"/>
      <c r="L276" s="55"/>
      <c r="M276" s="55"/>
      <c r="N276" s="2">
        <v>2.0</v>
      </c>
      <c r="O276" s="55"/>
      <c r="P276" s="55"/>
    </row>
    <row r="277" ht="14.25" customHeight="1">
      <c r="A277" s="49"/>
      <c r="C277" s="50" t="s">
        <v>22</v>
      </c>
      <c r="D277" s="51"/>
      <c r="E277" s="55"/>
      <c r="F277" s="55"/>
      <c r="G277" s="52"/>
      <c r="H277" s="52"/>
      <c r="I277" s="55"/>
      <c r="J277" s="55"/>
      <c r="K277" s="54"/>
      <c r="L277" s="55"/>
      <c r="M277" s="55"/>
      <c r="N277" s="55"/>
      <c r="O277" s="55"/>
      <c r="P277" s="55"/>
    </row>
    <row r="278" ht="14.25" customHeight="1">
      <c r="A278" s="49"/>
      <c r="C278" s="50" t="s">
        <v>23</v>
      </c>
      <c r="D278" s="51"/>
      <c r="E278" s="2"/>
      <c r="F278" s="55"/>
      <c r="G278" s="52"/>
      <c r="H278" s="53"/>
      <c r="I278" s="55"/>
      <c r="J278" s="55"/>
      <c r="K278" s="54"/>
      <c r="L278" s="55"/>
      <c r="M278" s="55"/>
      <c r="N278" s="55"/>
      <c r="O278" s="55"/>
      <c r="P278" s="55"/>
    </row>
    <row r="279" ht="14.25" customHeight="1">
      <c r="A279" s="49"/>
      <c r="C279" s="50" t="s">
        <v>24</v>
      </c>
      <c r="D279" s="51"/>
      <c r="E279" s="55"/>
      <c r="F279" s="55"/>
      <c r="G279" s="52"/>
      <c r="H279" s="52"/>
      <c r="I279" s="55"/>
      <c r="J279" s="55"/>
      <c r="K279" s="54"/>
      <c r="L279" s="55"/>
      <c r="M279" s="55"/>
      <c r="N279" s="55"/>
      <c r="O279" s="55"/>
      <c r="P279" s="55"/>
    </row>
    <row r="280" ht="14.25" customHeight="1">
      <c r="A280" s="49"/>
      <c r="C280" s="50" t="s">
        <v>25</v>
      </c>
      <c r="D280" s="51"/>
      <c r="E280" s="55"/>
      <c r="F280" s="55"/>
      <c r="G280" s="52"/>
      <c r="H280" s="52"/>
      <c r="I280" s="55"/>
      <c r="J280" s="55"/>
      <c r="K280" s="54"/>
      <c r="L280" s="55"/>
      <c r="M280" s="55"/>
      <c r="N280" s="55"/>
      <c r="O280" s="55"/>
      <c r="P280" s="55"/>
    </row>
    <row r="281" ht="14.25" customHeight="1">
      <c r="A281" s="56"/>
      <c r="B281" s="57"/>
      <c r="C281" s="50" t="s">
        <v>26</v>
      </c>
      <c r="D281" s="51"/>
      <c r="E281" s="55"/>
      <c r="F281" s="55"/>
      <c r="G281" s="52"/>
      <c r="H281" s="52"/>
      <c r="I281" s="55"/>
      <c r="J281" s="55"/>
      <c r="K281" s="54"/>
      <c r="L281" s="55"/>
      <c r="M281" s="55"/>
      <c r="N281" s="55"/>
      <c r="O281" s="55"/>
      <c r="P281" s="55"/>
    </row>
    <row r="282" ht="14.25" customHeight="1">
      <c r="A282" s="62">
        <v>45297.0</v>
      </c>
      <c r="B282" s="63" t="s">
        <v>42</v>
      </c>
      <c r="C282" s="64" t="s">
        <v>20</v>
      </c>
      <c r="D282" s="65"/>
      <c r="E282" s="66">
        <v>1.0</v>
      </c>
      <c r="F282" s="67"/>
      <c r="G282" s="68"/>
      <c r="H282" s="67"/>
      <c r="I282" s="66">
        <v>1.0</v>
      </c>
      <c r="J282" s="67"/>
      <c r="K282" s="65"/>
      <c r="L282" s="67"/>
      <c r="M282" s="67"/>
      <c r="N282" s="67"/>
      <c r="O282" s="67"/>
      <c r="P282" s="67"/>
    </row>
    <row r="283" ht="14.25" customHeight="1">
      <c r="A283" s="49"/>
      <c r="C283" s="69" t="s">
        <v>21</v>
      </c>
      <c r="D283" s="70"/>
      <c r="E283" s="36"/>
      <c r="F283" s="36"/>
      <c r="G283" s="71"/>
      <c r="H283" s="36"/>
      <c r="I283" s="36"/>
      <c r="J283" s="36"/>
      <c r="K283" s="70"/>
      <c r="L283" s="36"/>
      <c r="M283" s="36"/>
      <c r="N283" s="36"/>
      <c r="O283" s="36"/>
      <c r="P283" s="36"/>
    </row>
    <row r="284" ht="14.25" customHeight="1">
      <c r="A284" s="49"/>
      <c r="C284" s="69" t="s">
        <v>22</v>
      </c>
      <c r="D284" s="70"/>
      <c r="E284" s="36"/>
      <c r="F284" s="36"/>
      <c r="G284" s="71"/>
      <c r="H284" s="36"/>
      <c r="I284" s="36"/>
      <c r="J284" s="36"/>
      <c r="K284" s="70"/>
      <c r="L284" s="36"/>
      <c r="M284" s="36"/>
      <c r="N284" s="36"/>
      <c r="O284" s="36"/>
      <c r="P284" s="36"/>
    </row>
    <row r="285" ht="14.25" customHeight="1">
      <c r="A285" s="49"/>
      <c r="C285" s="69" t="s">
        <v>23</v>
      </c>
      <c r="D285" s="70"/>
      <c r="E285" s="36"/>
      <c r="F285" s="36"/>
      <c r="G285" s="71"/>
      <c r="H285" s="36"/>
      <c r="I285" s="36"/>
      <c r="J285" s="36"/>
      <c r="K285" s="70"/>
      <c r="L285" s="36"/>
      <c r="M285" s="36"/>
      <c r="N285" s="36"/>
      <c r="O285" s="36"/>
      <c r="P285" s="36"/>
    </row>
    <row r="286" ht="14.25" customHeight="1">
      <c r="A286" s="49"/>
      <c r="C286" s="69" t="s">
        <v>24</v>
      </c>
      <c r="D286" s="70"/>
      <c r="E286" s="36"/>
      <c r="F286" s="36"/>
      <c r="G286" s="71"/>
      <c r="H286" s="36"/>
      <c r="I286" s="36"/>
      <c r="J286" s="36"/>
      <c r="K286" s="70"/>
      <c r="L286" s="36"/>
      <c r="M286" s="36"/>
      <c r="N286" s="36"/>
      <c r="O286" s="36"/>
      <c r="P286" s="36"/>
    </row>
    <row r="287" ht="14.25" customHeight="1">
      <c r="A287" s="49"/>
      <c r="C287" s="69" t="s">
        <v>25</v>
      </c>
      <c r="D287" s="70"/>
      <c r="E287" s="36"/>
      <c r="F287" s="36"/>
      <c r="G287" s="71"/>
      <c r="H287" s="36"/>
      <c r="I287" s="36"/>
      <c r="J287" s="36"/>
      <c r="K287" s="70"/>
      <c r="L287" s="36"/>
      <c r="M287" s="36"/>
      <c r="N287" s="36"/>
      <c r="O287" s="36"/>
      <c r="P287" s="36"/>
    </row>
    <row r="288" ht="14.25" customHeight="1">
      <c r="A288" s="56"/>
      <c r="B288" s="57"/>
      <c r="C288" s="69" t="s">
        <v>26</v>
      </c>
      <c r="D288" s="70"/>
      <c r="E288" s="36"/>
      <c r="F288" s="36"/>
      <c r="G288" s="71"/>
      <c r="H288" s="36"/>
      <c r="I288" s="36"/>
      <c r="J288" s="36"/>
      <c r="K288" s="70"/>
      <c r="L288" s="36"/>
      <c r="M288" s="36"/>
      <c r="N288" s="36"/>
      <c r="O288" s="36"/>
      <c r="P288" s="36"/>
    </row>
    <row r="289" ht="14.25" customHeight="1">
      <c r="A289" s="62">
        <v>45297.0</v>
      </c>
      <c r="B289" s="63" t="s">
        <v>42</v>
      </c>
      <c r="C289" s="64" t="s">
        <v>20</v>
      </c>
      <c r="D289" s="65"/>
      <c r="E289" s="66">
        <v>1.0</v>
      </c>
      <c r="F289" s="67"/>
      <c r="G289" s="68"/>
      <c r="H289" s="67"/>
      <c r="I289" s="66">
        <v>1.0</v>
      </c>
      <c r="J289" s="67"/>
      <c r="K289" s="65"/>
      <c r="L289" s="67"/>
      <c r="M289" s="67"/>
      <c r="N289" s="66">
        <v>1.0</v>
      </c>
      <c r="O289" s="67"/>
      <c r="P289" s="67"/>
    </row>
    <row r="290" ht="14.25" customHeight="1">
      <c r="A290" s="49"/>
      <c r="C290" s="69" t="s">
        <v>21</v>
      </c>
      <c r="D290" s="70"/>
      <c r="E290" s="36"/>
      <c r="F290" s="36"/>
      <c r="G290" s="71"/>
      <c r="H290" s="36"/>
      <c r="I290" s="36"/>
      <c r="J290" s="36"/>
      <c r="K290" s="70"/>
      <c r="L290" s="36"/>
      <c r="M290" s="36"/>
      <c r="N290" s="36"/>
      <c r="O290" s="36"/>
      <c r="P290" s="36"/>
    </row>
    <row r="291" ht="14.25" customHeight="1">
      <c r="A291" s="49"/>
      <c r="C291" s="69" t="s">
        <v>22</v>
      </c>
      <c r="D291" s="70"/>
      <c r="E291" s="36"/>
      <c r="F291" s="36"/>
      <c r="G291" s="71"/>
      <c r="H291" s="36"/>
      <c r="I291" s="36"/>
      <c r="J291" s="36"/>
      <c r="K291" s="70"/>
      <c r="L291" s="36"/>
      <c r="M291" s="36"/>
      <c r="N291" s="36"/>
      <c r="O291" s="36"/>
      <c r="P291" s="36"/>
    </row>
    <row r="292" ht="14.25" customHeight="1">
      <c r="A292" s="49"/>
      <c r="C292" s="69" t="s">
        <v>23</v>
      </c>
      <c r="D292" s="70"/>
      <c r="E292" s="36"/>
      <c r="F292" s="36"/>
      <c r="G292" s="71"/>
      <c r="H292" s="36"/>
      <c r="I292" s="36"/>
      <c r="J292" s="36"/>
      <c r="K292" s="70"/>
      <c r="L292" s="36"/>
      <c r="M292" s="36"/>
      <c r="N292" s="36"/>
      <c r="O292" s="36"/>
      <c r="P292" s="36"/>
    </row>
    <row r="293" ht="14.25" customHeight="1">
      <c r="A293" s="49"/>
      <c r="C293" s="69" t="s">
        <v>24</v>
      </c>
      <c r="D293" s="70"/>
      <c r="E293" s="36"/>
      <c r="F293" s="36"/>
      <c r="G293" s="71"/>
      <c r="H293" s="36"/>
      <c r="I293" s="36"/>
      <c r="J293" s="36"/>
      <c r="K293" s="70"/>
      <c r="L293" s="36"/>
      <c r="M293" s="36"/>
      <c r="N293" s="36"/>
      <c r="O293" s="36"/>
      <c r="P293" s="36"/>
    </row>
    <row r="294" ht="14.25" customHeight="1">
      <c r="A294" s="49"/>
      <c r="C294" s="69" t="s">
        <v>25</v>
      </c>
      <c r="D294" s="70"/>
      <c r="E294" s="36"/>
      <c r="F294" s="36"/>
      <c r="G294" s="71"/>
      <c r="H294" s="36"/>
      <c r="I294" s="36"/>
      <c r="J294" s="36"/>
      <c r="K294" s="70"/>
      <c r="L294" s="36"/>
      <c r="M294" s="36"/>
      <c r="N294" s="36"/>
      <c r="O294" s="36"/>
      <c r="P294" s="36"/>
    </row>
    <row r="295" ht="14.25" customHeight="1">
      <c r="A295" s="56"/>
      <c r="B295" s="57"/>
      <c r="C295" s="69" t="s">
        <v>26</v>
      </c>
      <c r="D295" s="72"/>
      <c r="E295" s="73"/>
      <c r="F295" s="73"/>
      <c r="G295" s="74"/>
      <c r="H295" s="73"/>
      <c r="I295" s="73"/>
      <c r="J295" s="73"/>
      <c r="K295" s="72"/>
      <c r="L295" s="73"/>
      <c r="M295" s="73"/>
      <c r="N295" s="73"/>
      <c r="O295" s="73"/>
      <c r="P295" s="73"/>
    </row>
    <row r="296" ht="14.25" customHeight="1">
      <c r="A296" s="62">
        <v>45299.0</v>
      </c>
      <c r="B296" s="63" t="s">
        <v>42</v>
      </c>
      <c r="C296" s="64" t="s">
        <v>20</v>
      </c>
      <c r="D296" s="65"/>
      <c r="E296" s="66">
        <v>1.0</v>
      </c>
      <c r="F296" s="67"/>
      <c r="G296" s="64">
        <v>2.0</v>
      </c>
      <c r="H296" s="67"/>
      <c r="I296" s="67"/>
      <c r="J296" s="67"/>
      <c r="K296" s="65"/>
      <c r="L296" s="67"/>
      <c r="M296" s="67"/>
      <c r="N296" s="66">
        <v>2.0</v>
      </c>
      <c r="O296" s="67"/>
      <c r="P296" s="67"/>
    </row>
    <row r="297" ht="14.25" customHeight="1">
      <c r="A297" s="49"/>
      <c r="C297" s="69" t="s">
        <v>21</v>
      </c>
      <c r="D297" s="70"/>
      <c r="E297" s="16">
        <v>2.0</v>
      </c>
      <c r="F297" s="36"/>
      <c r="G297" s="71"/>
      <c r="H297" s="36"/>
      <c r="I297" s="16">
        <v>2.0</v>
      </c>
      <c r="J297" s="36"/>
      <c r="K297" s="70"/>
      <c r="L297" s="36"/>
      <c r="M297" s="36"/>
      <c r="N297" s="36"/>
      <c r="O297" s="36"/>
      <c r="P297" s="36"/>
    </row>
    <row r="298" ht="14.25" customHeight="1">
      <c r="A298" s="49"/>
      <c r="C298" s="69" t="s">
        <v>22</v>
      </c>
      <c r="D298" s="70"/>
      <c r="E298" s="36"/>
      <c r="F298" s="36"/>
      <c r="G298" s="71"/>
      <c r="H298" s="36"/>
      <c r="I298" s="36"/>
      <c r="J298" s="36"/>
      <c r="K298" s="70"/>
      <c r="L298" s="36"/>
      <c r="M298" s="36"/>
      <c r="N298" s="36"/>
      <c r="O298" s="36"/>
      <c r="P298" s="36"/>
    </row>
    <row r="299" ht="14.25" customHeight="1">
      <c r="A299" s="49"/>
      <c r="C299" s="69" t="s">
        <v>23</v>
      </c>
      <c r="D299" s="70"/>
      <c r="E299" s="36"/>
      <c r="F299" s="36"/>
      <c r="G299" s="71"/>
      <c r="H299" s="36"/>
      <c r="I299" s="36"/>
      <c r="J299" s="36"/>
      <c r="K299" s="70"/>
      <c r="L299" s="36"/>
      <c r="M299" s="36"/>
      <c r="N299" s="36"/>
      <c r="O299" s="36"/>
      <c r="P299" s="36"/>
    </row>
    <row r="300" ht="14.25" customHeight="1">
      <c r="A300" s="49"/>
      <c r="C300" s="69" t="s">
        <v>24</v>
      </c>
      <c r="D300" s="70"/>
      <c r="E300" s="36"/>
      <c r="F300" s="16">
        <v>1.0</v>
      </c>
      <c r="G300" s="71"/>
      <c r="H300" s="36"/>
      <c r="I300" s="16">
        <v>1.0</v>
      </c>
      <c r="J300" s="36"/>
      <c r="K300" s="70"/>
      <c r="L300" s="36"/>
      <c r="M300" s="36"/>
      <c r="N300" s="36"/>
      <c r="O300" s="36"/>
      <c r="P300" s="36"/>
    </row>
    <row r="301" ht="14.25" customHeight="1">
      <c r="A301" s="49"/>
      <c r="C301" s="69" t="s">
        <v>25</v>
      </c>
      <c r="D301" s="70"/>
      <c r="E301" s="36"/>
      <c r="F301" s="36"/>
      <c r="G301" s="71"/>
      <c r="H301" s="36"/>
      <c r="I301" s="36"/>
      <c r="J301" s="36"/>
      <c r="K301" s="70"/>
      <c r="L301" s="36"/>
      <c r="M301" s="36"/>
      <c r="N301" s="36"/>
      <c r="O301" s="36"/>
      <c r="P301" s="36"/>
    </row>
    <row r="302" ht="14.25" customHeight="1">
      <c r="A302" s="56"/>
      <c r="B302" s="57"/>
      <c r="C302" s="69" t="s">
        <v>26</v>
      </c>
      <c r="D302" s="70"/>
      <c r="E302" s="36"/>
      <c r="F302" s="36"/>
      <c r="G302" s="71"/>
      <c r="H302" s="36"/>
      <c r="I302" s="36"/>
      <c r="J302" s="36"/>
      <c r="K302" s="70"/>
      <c r="L302" s="36"/>
      <c r="M302" s="36"/>
      <c r="N302" s="36"/>
      <c r="O302" s="36"/>
      <c r="P302" s="36"/>
    </row>
    <row r="303" ht="14.25" customHeight="1">
      <c r="A303" s="62">
        <v>45299.0</v>
      </c>
      <c r="B303" s="63" t="s">
        <v>44</v>
      </c>
      <c r="C303" s="64" t="s">
        <v>20</v>
      </c>
      <c r="D303" s="65"/>
      <c r="E303" s="66">
        <v>2.0</v>
      </c>
      <c r="F303" s="66">
        <v>1.0</v>
      </c>
      <c r="G303" s="68"/>
      <c r="H303" s="67"/>
      <c r="I303" s="66">
        <v>2.0</v>
      </c>
      <c r="J303" s="67"/>
      <c r="K303" s="65"/>
      <c r="L303" s="67"/>
      <c r="M303" s="67"/>
      <c r="N303" s="67"/>
      <c r="O303" s="67"/>
      <c r="P303" s="67"/>
    </row>
    <row r="304" ht="14.25" customHeight="1">
      <c r="A304" s="49"/>
      <c r="C304" s="69" t="s">
        <v>21</v>
      </c>
      <c r="D304" s="70"/>
      <c r="E304" s="36"/>
      <c r="F304" s="16">
        <v>1.0</v>
      </c>
      <c r="G304" s="69">
        <v>1.0</v>
      </c>
      <c r="H304" s="36"/>
      <c r="I304" s="16">
        <v>1.0</v>
      </c>
      <c r="J304" s="36"/>
      <c r="K304" s="70"/>
      <c r="L304" s="36"/>
      <c r="M304" s="36"/>
      <c r="N304" s="36"/>
      <c r="O304" s="36"/>
      <c r="P304" s="36"/>
    </row>
    <row r="305" ht="14.25" customHeight="1">
      <c r="A305" s="49"/>
      <c r="C305" s="69" t="s">
        <v>22</v>
      </c>
      <c r="D305" s="70"/>
      <c r="E305" s="36"/>
      <c r="F305" s="36"/>
      <c r="G305" s="71"/>
      <c r="H305" s="36"/>
      <c r="I305" s="36"/>
      <c r="J305" s="36"/>
      <c r="K305" s="70"/>
      <c r="L305" s="36"/>
      <c r="M305" s="36"/>
      <c r="N305" s="36"/>
      <c r="O305" s="36"/>
      <c r="P305" s="36"/>
    </row>
    <row r="306" ht="14.25" customHeight="1">
      <c r="A306" s="49"/>
      <c r="C306" s="69" t="s">
        <v>23</v>
      </c>
      <c r="D306" s="70"/>
      <c r="E306" s="36"/>
      <c r="F306" s="36"/>
      <c r="G306" s="71"/>
      <c r="H306" s="36"/>
      <c r="I306" s="36"/>
      <c r="J306" s="36"/>
      <c r="K306" s="70"/>
      <c r="L306" s="36"/>
      <c r="M306" s="36"/>
      <c r="N306" s="36"/>
      <c r="O306" s="36"/>
      <c r="P306" s="36"/>
    </row>
    <row r="307" ht="14.25" customHeight="1">
      <c r="A307" s="49"/>
      <c r="C307" s="69" t="s">
        <v>24</v>
      </c>
      <c r="D307" s="70"/>
      <c r="E307" s="36"/>
      <c r="F307" s="36"/>
      <c r="G307" s="71"/>
      <c r="H307" s="36"/>
      <c r="I307" s="36"/>
      <c r="J307" s="36"/>
      <c r="K307" s="70"/>
      <c r="L307" s="36"/>
      <c r="M307" s="36"/>
      <c r="N307" s="36"/>
      <c r="O307" s="36"/>
      <c r="P307" s="36"/>
    </row>
    <row r="308" ht="14.25" customHeight="1">
      <c r="A308" s="49"/>
      <c r="C308" s="69" t="s">
        <v>25</v>
      </c>
      <c r="D308" s="70"/>
      <c r="E308" s="36"/>
      <c r="F308" s="36"/>
      <c r="G308" s="71"/>
      <c r="H308" s="36"/>
      <c r="I308" s="36"/>
      <c r="J308" s="36"/>
      <c r="K308" s="70"/>
      <c r="L308" s="36"/>
      <c r="M308" s="36"/>
      <c r="N308" s="36"/>
      <c r="O308" s="36"/>
      <c r="P308" s="36"/>
    </row>
    <row r="309" ht="14.25" customHeight="1">
      <c r="A309" s="56"/>
      <c r="B309" s="57"/>
      <c r="C309" s="69" t="s">
        <v>26</v>
      </c>
      <c r="D309" s="72"/>
      <c r="E309" s="73"/>
      <c r="F309" s="73"/>
      <c r="G309" s="74"/>
      <c r="H309" s="73"/>
      <c r="I309" s="73"/>
      <c r="J309" s="73"/>
      <c r="K309" s="72"/>
      <c r="L309" s="73"/>
      <c r="M309" s="73"/>
      <c r="N309" s="73"/>
      <c r="O309" s="73"/>
      <c r="P309" s="73"/>
    </row>
    <row r="310" ht="14.25" customHeight="1">
      <c r="A310" s="62">
        <v>45300.0</v>
      </c>
      <c r="B310" s="63" t="s">
        <v>43</v>
      </c>
      <c r="C310" s="64" t="s">
        <v>20</v>
      </c>
      <c r="D310" s="75">
        <v>1.0</v>
      </c>
      <c r="E310" s="66">
        <v>3.0</v>
      </c>
      <c r="F310" s="66">
        <v>3.0</v>
      </c>
      <c r="G310" s="68"/>
      <c r="H310" s="67"/>
      <c r="I310" s="66">
        <v>3.0</v>
      </c>
      <c r="J310" s="66">
        <v>2.0</v>
      </c>
      <c r="K310" s="65"/>
      <c r="L310" s="67"/>
      <c r="M310" s="67"/>
      <c r="N310" s="66">
        <v>2.0</v>
      </c>
      <c r="O310" s="66">
        <v>1.0</v>
      </c>
      <c r="P310" s="67"/>
    </row>
    <row r="311" ht="14.25" customHeight="1">
      <c r="A311" s="49"/>
      <c r="C311" s="69" t="s">
        <v>21</v>
      </c>
      <c r="D311" s="70"/>
      <c r="E311" s="36"/>
      <c r="F311" s="36"/>
      <c r="G311" s="71"/>
      <c r="H311" s="36"/>
      <c r="I311" s="36"/>
      <c r="J311" s="36"/>
      <c r="K311" s="70"/>
      <c r="L311" s="36"/>
      <c r="M311" s="36"/>
      <c r="N311" s="36"/>
      <c r="O311" s="36"/>
      <c r="P311" s="36"/>
    </row>
    <row r="312" ht="14.25" customHeight="1">
      <c r="A312" s="49"/>
      <c r="C312" s="69" t="s">
        <v>22</v>
      </c>
      <c r="D312" s="70"/>
      <c r="E312" s="36"/>
      <c r="F312" s="36"/>
      <c r="G312" s="71"/>
      <c r="H312" s="36"/>
      <c r="I312" s="36"/>
      <c r="J312" s="36"/>
      <c r="K312" s="70"/>
      <c r="L312" s="36"/>
      <c r="M312" s="36"/>
      <c r="N312" s="36"/>
      <c r="O312" s="36"/>
      <c r="P312" s="36"/>
    </row>
    <row r="313" ht="14.25" customHeight="1">
      <c r="A313" s="49"/>
      <c r="C313" s="69" t="s">
        <v>23</v>
      </c>
      <c r="D313" s="70"/>
      <c r="E313" s="36"/>
      <c r="F313" s="36"/>
      <c r="G313" s="71"/>
      <c r="H313" s="36"/>
      <c r="I313" s="36"/>
      <c r="J313" s="36"/>
      <c r="K313" s="70"/>
      <c r="L313" s="36"/>
      <c r="M313" s="36"/>
      <c r="N313" s="36"/>
      <c r="O313" s="36"/>
      <c r="P313" s="36"/>
    </row>
    <row r="314" ht="14.25" customHeight="1">
      <c r="A314" s="49"/>
      <c r="C314" s="69" t="s">
        <v>24</v>
      </c>
      <c r="D314" s="70"/>
      <c r="E314" s="36"/>
      <c r="F314" s="36"/>
      <c r="G314" s="71"/>
      <c r="H314" s="36"/>
      <c r="I314" s="36"/>
      <c r="J314" s="36"/>
      <c r="K314" s="70"/>
      <c r="L314" s="36"/>
      <c r="M314" s="36"/>
      <c r="N314" s="36"/>
      <c r="O314" s="36"/>
      <c r="P314" s="36"/>
    </row>
    <row r="315" ht="14.25" customHeight="1">
      <c r="A315" s="49"/>
      <c r="C315" s="69" t="s">
        <v>25</v>
      </c>
      <c r="D315" s="70"/>
      <c r="E315" s="36"/>
      <c r="F315" s="36"/>
      <c r="G315" s="71"/>
      <c r="H315" s="36"/>
      <c r="I315" s="36"/>
      <c r="J315" s="36"/>
      <c r="K315" s="70"/>
      <c r="L315" s="36"/>
      <c r="M315" s="36"/>
      <c r="N315" s="36"/>
      <c r="O315" s="36"/>
      <c r="P315" s="36"/>
    </row>
    <row r="316" ht="14.25" customHeight="1">
      <c r="A316" s="56"/>
      <c r="B316" s="57"/>
      <c r="C316" s="69" t="s">
        <v>26</v>
      </c>
      <c r="D316" s="70"/>
      <c r="E316" s="36"/>
      <c r="F316" s="36"/>
      <c r="G316" s="71"/>
      <c r="H316" s="36"/>
      <c r="I316" s="36"/>
      <c r="J316" s="36"/>
      <c r="K316" s="70"/>
      <c r="L316" s="36"/>
      <c r="M316" s="36"/>
      <c r="N316" s="36"/>
      <c r="O316" s="36"/>
      <c r="P316" s="36"/>
    </row>
    <row r="317" ht="14.25" customHeight="1">
      <c r="A317" s="62">
        <v>45300.0</v>
      </c>
      <c r="B317" s="63" t="s">
        <v>41</v>
      </c>
      <c r="C317" s="64" t="s">
        <v>20</v>
      </c>
      <c r="D317" s="75">
        <v>1.0</v>
      </c>
      <c r="E317" s="66">
        <v>3.0</v>
      </c>
      <c r="F317" s="67"/>
      <c r="G317" s="68"/>
      <c r="H317" s="67"/>
      <c r="I317" s="67"/>
      <c r="J317" s="67"/>
      <c r="K317" s="65"/>
      <c r="L317" s="67"/>
      <c r="M317" s="67"/>
      <c r="N317" s="67"/>
      <c r="O317" s="66">
        <v>1.0</v>
      </c>
      <c r="P317" s="67"/>
    </row>
    <row r="318" ht="14.25" customHeight="1">
      <c r="A318" s="49"/>
      <c r="C318" s="69" t="s">
        <v>21</v>
      </c>
      <c r="D318" s="70"/>
      <c r="E318" s="36"/>
      <c r="F318" s="16">
        <v>2.0</v>
      </c>
      <c r="G318" s="71"/>
      <c r="H318" s="36"/>
      <c r="I318" s="36"/>
      <c r="J318" s="16">
        <v>1.0</v>
      </c>
      <c r="K318" s="70"/>
      <c r="L318" s="36"/>
      <c r="M318" s="36"/>
      <c r="N318" s="16">
        <v>1.0</v>
      </c>
      <c r="O318" s="36"/>
      <c r="P318" s="36"/>
    </row>
    <row r="319" ht="14.25" customHeight="1">
      <c r="A319" s="49"/>
      <c r="C319" s="69" t="s">
        <v>22</v>
      </c>
      <c r="D319" s="70"/>
      <c r="E319" s="36"/>
      <c r="F319" s="36"/>
      <c r="G319" s="71"/>
      <c r="H319" s="36"/>
      <c r="I319" s="36"/>
      <c r="J319" s="36"/>
      <c r="K319" s="70"/>
      <c r="L319" s="36"/>
      <c r="M319" s="36"/>
      <c r="N319" s="36"/>
      <c r="O319" s="36"/>
      <c r="P319" s="36"/>
    </row>
    <row r="320" ht="14.25" customHeight="1">
      <c r="A320" s="49"/>
      <c r="C320" s="69" t="s">
        <v>23</v>
      </c>
      <c r="D320" s="70"/>
      <c r="E320" s="36"/>
      <c r="F320" s="36"/>
      <c r="G320" s="71"/>
      <c r="H320" s="36"/>
      <c r="I320" s="36"/>
      <c r="J320" s="36"/>
      <c r="K320" s="70"/>
      <c r="L320" s="36"/>
      <c r="M320" s="36"/>
      <c r="N320" s="36"/>
      <c r="O320" s="36"/>
      <c r="P320" s="36"/>
    </row>
    <row r="321" ht="14.25" customHeight="1">
      <c r="A321" s="49"/>
      <c r="C321" s="69" t="s">
        <v>24</v>
      </c>
      <c r="D321" s="70"/>
      <c r="E321" s="36"/>
      <c r="F321" s="36"/>
      <c r="G321" s="71"/>
      <c r="H321" s="36"/>
      <c r="I321" s="36"/>
      <c r="J321" s="36"/>
      <c r="K321" s="70"/>
      <c r="L321" s="36"/>
      <c r="M321" s="36"/>
      <c r="N321" s="36"/>
      <c r="O321" s="36"/>
      <c r="P321" s="36"/>
    </row>
    <row r="322" ht="14.25" customHeight="1">
      <c r="A322" s="49"/>
      <c r="C322" s="69" t="s">
        <v>25</v>
      </c>
      <c r="D322" s="70"/>
      <c r="E322" s="36"/>
      <c r="F322" s="36"/>
      <c r="G322" s="71"/>
      <c r="H322" s="36"/>
      <c r="I322" s="36"/>
      <c r="J322" s="36"/>
      <c r="K322" s="70"/>
      <c r="L322" s="36"/>
      <c r="M322" s="36"/>
      <c r="N322" s="36"/>
      <c r="O322" s="36"/>
      <c r="P322" s="36"/>
    </row>
    <row r="323" ht="14.25" customHeight="1">
      <c r="A323" s="56"/>
      <c r="B323" s="57"/>
      <c r="C323" s="69" t="s">
        <v>26</v>
      </c>
      <c r="D323" s="72"/>
      <c r="E323" s="73"/>
      <c r="F323" s="73"/>
      <c r="G323" s="74"/>
      <c r="H323" s="73"/>
      <c r="I323" s="73"/>
      <c r="J323" s="73"/>
      <c r="K323" s="72"/>
      <c r="L323" s="73"/>
      <c r="M323" s="73"/>
      <c r="N323" s="73"/>
      <c r="O323" s="73"/>
      <c r="P323" s="73"/>
    </row>
    <row r="324" ht="14.25" customHeight="1">
      <c r="A324" s="62">
        <v>45301.0</v>
      </c>
      <c r="B324" s="63" t="s">
        <v>41</v>
      </c>
      <c r="C324" s="64" t="s">
        <v>20</v>
      </c>
      <c r="D324" s="65"/>
      <c r="E324" s="66">
        <v>3.0</v>
      </c>
      <c r="F324" s="66">
        <v>2.0</v>
      </c>
      <c r="G324" s="68"/>
      <c r="H324" s="67"/>
      <c r="I324" s="66">
        <v>2.0</v>
      </c>
      <c r="J324" s="67"/>
      <c r="K324" s="65"/>
      <c r="L324" s="67"/>
      <c r="M324" s="67"/>
      <c r="N324" s="66">
        <v>3.0</v>
      </c>
      <c r="O324" s="66">
        <v>1.0</v>
      </c>
      <c r="P324" s="67"/>
    </row>
    <row r="325" ht="14.25" customHeight="1">
      <c r="A325" s="49"/>
      <c r="C325" s="69" t="s">
        <v>21</v>
      </c>
      <c r="D325" s="70"/>
      <c r="E325" s="16">
        <v>1.0</v>
      </c>
      <c r="F325" s="16">
        <v>2.0</v>
      </c>
      <c r="G325" s="71"/>
      <c r="H325" s="36"/>
      <c r="I325" s="16">
        <v>1.0</v>
      </c>
      <c r="J325" s="16">
        <v>2.0</v>
      </c>
      <c r="K325" s="70"/>
      <c r="L325" s="36"/>
      <c r="M325" s="36"/>
      <c r="N325" s="16">
        <v>2.0</v>
      </c>
      <c r="O325" s="36"/>
      <c r="P325" s="36"/>
    </row>
    <row r="326" ht="14.25" customHeight="1">
      <c r="A326" s="49"/>
      <c r="C326" s="69" t="s">
        <v>22</v>
      </c>
      <c r="D326" s="70"/>
      <c r="E326" s="36"/>
      <c r="F326" s="36"/>
      <c r="G326" s="71"/>
      <c r="H326" s="36"/>
      <c r="I326" s="36"/>
      <c r="J326" s="36"/>
      <c r="K326" s="70"/>
      <c r="L326" s="36"/>
      <c r="M326" s="36"/>
      <c r="N326" s="36"/>
      <c r="O326" s="36"/>
      <c r="P326" s="36"/>
    </row>
    <row r="327" ht="14.25" customHeight="1">
      <c r="A327" s="49"/>
      <c r="C327" s="69" t="s">
        <v>23</v>
      </c>
      <c r="D327" s="70"/>
      <c r="E327" s="36"/>
      <c r="F327" s="36"/>
      <c r="G327" s="71"/>
      <c r="H327" s="36"/>
      <c r="I327" s="36"/>
      <c r="J327" s="36"/>
      <c r="K327" s="70"/>
      <c r="L327" s="36"/>
      <c r="M327" s="36"/>
      <c r="N327" s="36"/>
      <c r="O327" s="36"/>
      <c r="P327" s="36"/>
    </row>
    <row r="328" ht="14.25" customHeight="1">
      <c r="A328" s="49"/>
      <c r="C328" s="69" t="s">
        <v>24</v>
      </c>
      <c r="D328" s="70"/>
      <c r="E328" s="36"/>
      <c r="F328" s="36"/>
      <c r="G328" s="71"/>
      <c r="H328" s="36"/>
      <c r="I328" s="36"/>
      <c r="J328" s="36"/>
      <c r="K328" s="70"/>
      <c r="L328" s="36"/>
      <c r="M328" s="36"/>
      <c r="N328" s="36"/>
      <c r="O328" s="36"/>
      <c r="P328" s="36"/>
    </row>
    <row r="329" ht="14.25" customHeight="1">
      <c r="A329" s="49"/>
      <c r="C329" s="69" t="s">
        <v>25</v>
      </c>
      <c r="D329" s="70"/>
      <c r="E329" s="36"/>
      <c r="F329" s="36"/>
      <c r="G329" s="71"/>
      <c r="H329" s="36"/>
      <c r="I329" s="36"/>
      <c r="J329" s="36"/>
      <c r="K329" s="70"/>
      <c r="L329" s="36"/>
      <c r="M329" s="36"/>
      <c r="N329" s="36"/>
      <c r="O329" s="36"/>
      <c r="P329" s="36"/>
    </row>
    <row r="330" ht="14.25" customHeight="1">
      <c r="A330" s="56"/>
      <c r="B330" s="57"/>
      <c r="C330" s="69" t="s">
        <v>26</v>
      </c>
      <c r="D330" s="70"/>
      <c r="E330" s="36"/>
      <c r="F330" s="36"/>
      <c r="G330" s="71"/>
      <c r="H330" s="36"/>
      <c r="I330" s="36"/>
      <c r="J330" s="36"/>
      <c r="K330" s="70"/>
      <c r="L330" s="36"/>
      <c r="M330" s="36"/>
      <c r="N330" s="36"/>
      <c r="O330" s="36"/>
      <c r="P330" s="36"/>
    </row>
    <row r="331" ht="14.25" customHeight="1">
      <c r="A331" s="62">
        <v>45301.0</v>
      </c>
      <c r="B331" s="63" t="s">
        <v>44</v>
      </c>
      <c r="C331" s="64" t="s">
        <v>20</v>
      </c>
      <c r="D331" s="65"/>
      <c r="E331" s="66">
        <v>1.0</v>
      </c>
      <c r="F331" s="67"/>
      <c r="G331" s="64">
        <v>1.0</v>
      </c>
      <c r="H331" s="67"/>
      <c r="I331" s="66">
        <v>1.0</v>
      </c>
      <c r="J331" s="67"/>
      <c r="K331" s="65"/>
      <c r="L331" s="67"/>
      <c r="M331" s="67"/>
      <c r="N331" s="66">
        <v>2.0</v>
      </c>
      <c r="O331" s="66">
        <v>1.0</v>
      </c>
      <c r="P331" s="67"/>
    </row>
    <row r="332" ht="14.25" customHeight="1">
      <c r="A332" s="49"/>
      <c r="C332" s="69" t="s">
        <v>21</v>
      </c>
      <c r="D332" s="70"/>
      <c r="E332" s="16">
        <v>2.0</v>
      </c>
      <c r="F332" s="16">
        <v>6.0</v>
      </c>
      <c r="G332" s="69">
        <v>1.0</v>
      </c>
      <c r="H332" s="16">
        <v>1.0</v>
      </c>
      <c r="I332" s="16">
        <v>2.0</v>
      </c>
      <c r="J332" s="16">
        <v>1.0</v>
      </c>
      <c r="K332" s="70"/>
      <c r="L332" s="36"/>
      <c r="M332" s="36"/>
      <c r="N332" s="16">
        <v>4.0</v>
      </c>
      <c r="O332" s="36"/>
      <c r="P332" s="36"/>
    </row>
    <row r="333" ht="14.25" customHeight="1">
      <c r="A333" s="49"/>
      <c r="C333" s="69" t="s">
        <v>22</v>
      </c>
      <c r="D333" s="70"/>
      <c r="E333" s="36"/>
      <c r="F333" s="36"/>
      <c r="G333" s="71"/>
      <c r="H333" s="36"/>
      <c r="I333" s="36"/>
      <c r="J333" s="36"/>
      <c r="K333" s="70"/>
      <c r="L333" s="36"/>
      <c r="M333" s="36"/>
      <c r="N333" s="36"/>
      <c r="O333" s="36"/>
      <c r="P333" s="36"/>
    </row>
    <row r="334" ht="14.25" customHeight="1">
      <c r="A334" s="49"/>
      <c r="C334" s="69" t="s">
        <v>23</v>
      </c>
      <c r="D334" s="70"/>
      <c r="E334" s="36"/>
      <c r="F334" s="36"/>
      <c r="G334" s="71"/>
      <c r="H334" s="36"/>
      <c r="I334" s="36"/>
      <c r="J334" s="36"/>
      <c r="K334" s="70"/>
      <c r="L334" s="36"/>
      <c r="M334" s="36"/>
      <c r="N334" s="36"/>
      <c r="O334" s="36"/>
      <c r="P334" s="36"/>
    </row>
    <row r="335" ht="14.25" customHeight="1">
      <c r="A335" s="49"/>
      <c r="C335" s="69" t="s">
        <v>24</v>
      </c>
      <c r="D335" s="70"/>
      <c r="E335" s="36"/>
      <c r="F335" s="36"/>
      <c r="G335" s="71"/>
      <c r="H335" s="36"/>
      <c r="I335" s="36"/>
      <c r="J335" s="36"/>
      <c r="K335" s="70"/>
      <c r="L335" s="36"/>
      <c r="M335" s="36"/>
      <c r="N335" s="36"/>
      <c r="O335" s="36"/>
      <c r="P335" s="36"/>
    </row>
    <row r="336" ht="14.25" customHeight="1">
      <c r="A336" s="49"/>
      <c r="C336" s="69" t="s">
        <v>25</v>
      </c>
      <c r="D336" s="70"/>
      <c r="E336" s="36"/>
      <c r="F336" s="36"/>
      <c r="G336" s="71"/>
      <c r="H336" s="36"/>
      <c r="I336" s="36"/>
      <c r="J336" s="36"/>
      <c r="K336" s="70"/>
      <c r="L336" s="36"/>
      <c r="M336" s="36"/>
      <c r="N336" s="36"/>
      <c r="O336" s="36"/>
      <c r="P336" s="36"/>
    </row>
    <row r="337" ht="14.25" customHeight="1">
      <c r="A337" s="56"/>
      <c r="B337" s="57"/>
      <c r="C337" s="69" t="s">
        <v>26</v>
      </c>
      <c r="D337" s="72"/>
      <c r="E337" s="73"/>
      <c r="F337" s="73"/>
      <c r="G337" s="74"/>
      <c r="H337" s="73"/>
      <c r="I337" s="73"/>
      <c r="J337" s="73"/>
      <c r="K337" s="72"/>
      <c r="L337" s="73"/>
      <c r="M337" s="73"/>
      <c r="N337" s="73"/>
      <c r="O337" s="73"/>
      <c r="P337" s="73"/>
    </row>
    <row r="338" ht="14.25" customHeight="1">
      <c r="A338" s="62">
        <v>45303.0</v>
      </c>
      <c r="B338" s="63" t="s">
        <v>43</v>
      </c>
      <c r="C338" s="64" t="s">
        <v>20</v>
      </c>
      <c r="D338" s="75">
        <v>3.0</v>
      </c>
      <c r="E338" s="66">
        <v>4.0</v>
      </c>
      <c r="F338" s="66">
        <v>1.0</v>
      </c>
      <c r="G338" s="68"/>
      <c r="H338" s="67"/>
      <c r="I338" s="66">
        <v>4.0</v>
      </c>
      <c r="J338" s="67"/>
      <c r="K338" s="65"/>
      <c r="L338" s="67"/>
      <c r="M338" s="67"/>
      <c r="N338" s="66">
        <v>1.0</v>
      </c>
      <c r="O338" s="67"/>
      <c r="P338" s="66">
        <v>1.0</v>
      </c>
    </row>
    <row r="339" ht="14.25" customHeight="1">
      <c r="A339" s="49"/>
      <c r="C339" s="69" t="s">
        <v>21</v>
      </c>
      <c r="D339" s="70"/>
      <c r="E339" s="36"/>
      <c r="F339" s="36"/>
      <c r="G339" s="71"/>
      <c r="H339" s="36"/>
      <c r="I339" s="36"/>
      <c r="J339" s="36"/>
      <c r="K339" s="70"/>
      <c r="L339" s="36"/>
      <c r="M339" s="36"/>
      <c r="N339" s="36"/>
      <c r="O339" s="36"/>
      <c r="P339" s="36"/>
    </row>
    <row r="340" ht="14.25" customHeight="1">
      <c r="A340" s="49"/>
      <c r="C340" s="69" t="s">
        <v>22</v>
      </c>
      <c r="D340" s="70"/>
      <c r="E340" s="36"/>
      <c r="F340" s="36"/>
      <c r="G340" s="71"/>
      <c r="H340" s="36"/>
      <c r="I340" s="36"/>
      <c r="J340" s="36"/>
      <c r="K340" s="70"/>
      <c r="L340" s="36"/>
      <c r="M340" s="36"/>
      <c r="N340" s="36"/>
      <c r="O340" s="36"/>
      <c r="P340" s="36"/>
    </row>
    <row r="341" ht="14.25" customHeight="1">
      <c r="A341" s="49"/>
      <c r="C341" s="69" t="s">
        <v>23</v>
      </c>
      <c r="D341" s="70"/>
      <c r="E341" s="36"/>
      <c r="F341" s="36"/>
      <c r="G341" s="71"/>
      <c r="H341" s="36"/>
      <c r="I341" s="36"/>
      <c r="J341" s="36"/>
      <c r="K341" s="70"/>
      <c r="L341" s="36"/>
      <c r="M341" s="36"/>
      <c r="N341" s="36"/>
      <c r="O341" s="36"/>
      <c r="P341" s="36"/>
    </row>
    <row r="342" ht="14.25" customHeight="1">
      <c r="A342" s="49"/>
      <c r="C342" s="69" t="s">
        <v>24</v>
      </c>
      <c r="D342" s="70"/>
      <c r="E342" s="36"/>
      <c r="F342" s="36"/>
      <c r="G342" s="71"/>
      <c r="H342" s="36"/>
      <c r="I342" s="36"/>
      <c r="J342" s="36"/>
      <c r="K342" s="70"/>
      <c r="L342" s="36"/>
      <c r="M342" s="36"/>
      <c r="N342" s="36"/>
      <c r="O342" s="36"/>
      <c r="P342" s="36"/>
    </row>
    <row r="343" ht="14.25" customHeight="1">
      <c r="A343" s="49"/>
      <c r="C343" s="69" t="s">
        <v>25</v>
      </c>
      <c r="D343" s="70"/>
      <c r="E343" s="36"/>
      <c r="F343" s="36"/>
      <c r="G343" s="71"/>
      <c r="H343" s="36"/>
      <c r="I343" s="36"/>
      <c r="J343" s="36"/>
      <c r="K343" s="70"/>
      <c r="L343" s="36"/>
      <c r="M343" s="36"/>
      <c r="N343" s="36"/>
      <c r="O343" s="36"/>
      <c r="P343" s="36"/>
    </row>
    <row r="344" ht="14.25" customHeight="1">
      <c r="A344" s="56"/>
      <c r="B344" s="57"/>
      <c r="C344" s="69" t="s">
        <v>26</v>
      </c>
      <c r="D344" s="70"/>
      <c r="E344" s="36"/>
      <c r="F344" s="36"/>
      <c r="G344" s="71"/>
      <c r="H344" s="36"/>
      <c r="I344" s="36"/>
      <c r="J344" s="36"/>
      <c r="K344" s="70"/>
      <c r="L344" s="36"/>
      <c r="M344" s="36"/>
      <c r="N344" s="36"/>
      <c r="O344" s="36"/>
      <c r="P344" s="36"/>
    </row>
    <row r="345" ht="14.25" customHeight="1">
      <c r="A345" s="62">
        <v>45303.0</v>
      </c>
      <c r="B345" s="63" t="s">
        <v>41</v>
      </c>
      <c r="C345" s="64" t="s">
        <v>20</v>
      </c>
      <c r="D345" s="75">
        <v>1.0</v>
      </c>
      <c r="E345" s="66">
        <v>7.0</v>
      </c>
      <c r="F345" s="66">
        <v>2.0</v>
      </c>
      <c r="G345" s="68"/>
      <c r="H345" s="67"/>
      <c r="I345" s="66">
        <v>4.0</v>
      </c>
      <c r="J345" s="66">
        <v>2.0</v>
      </c>
      <c r="K345" s="65"/>
      <c r="L345" s="67"/>
      <c r="M345" s="67"/>
      <c r="N345" s="66">
        <v>4.0</v>
      </c>
      <c r="O345" s="66">
        <v>2.0</v>
      </c>
      <c r="P345" s="67"/>
    </row>
    <row r="346" ht="14.25" customHeight="1">
      <c r="A346" s="49"/>
      <c r="C346" s="69" t="s">
        <v>21</v>
      </c>
      <c r="D346" s="70"/>
      <c r="E346" s="36"/>
      <c r="F346" s="36"/>
      <c r="G346" s="71"/>
      <c r="H346" s="36"/>
      <c r="I346" s="36"/>
      <c r="J346" s="36"/>
      <c r="K346" s="70"/>
      <c r="L346" s="36"/>
      <c r="M346" s="36"/>
      <c r="N346" s="36"/>
      <c r="O346" s="36"/>
      <c r="P346" s="36"/>
    </row>
    <row r="347" ht="14.25" customHeight="1">
      <c r="A347" s="49"/>
      <c r="C347" s="69" t="s">
        <v>22</v>
      </c>
      <c r="D347" s="70"/>
      <c r="E347" s="36"/>
      <c r="F347" s="36"/>
      <c r="G347" s="71"/>
      <c r="H347" s="36"/>
      <c r="I347" s="36"/>
      <c r="J347" s="36"/>
      <c r="K347" s="70"/>
      <c r="L347" s="36"/>
      <c r="M347" s="36"/>
      <c r="N347" s="36"/>
      <c r="O347" s="36"/>
      <c r="P347" s="36"/>
    </row>
    <row r="348" ht="14.25" customHeight="1">
      <c r="A348" s="49"/>
      <c r="C348" s="69" t="s">
        <v>23</v>
      </c>
      <c r="D348" s="70"/>
      <c r="E348" s="36"/>
      <c r="F348" s="36"/>
      <c r="G348" s="71"/>
      <c r="H348" s="36"/>
      <c r="I348" s="36"/>
      <c r="J348" s="36"/>
      <c r="K348" s="70"/>
      <c r="L348" s="36"/>
      <c r="M348" s="36"/>
      <c r="N348" s="36"/>
      <c r="O348" s="36"/>
      <c r="P348" s="36"/>
    </row>
    <row r="349" ht="14.25" customHeight="1">
      <c r="A349" s="49"/>
      <c r="C349" s="69" t="s">
        <v>24</v>
      </c>
      <c r="D349" s="70"/>
      <c r="E349" s="36"/>
      <c r="F349" s="16">
        <v>1.0</v>
      </c>
      <c r="G349" s="71"/>
      <c r="H349" s="36"/>
      <c r="I349" s="36"/>
      <c r="J349" s="16">
        <v>1.0</v>
      </c>
      <c r="K349" s="70"/>
      <c r="L349" s="36"/>
      <c r="M349" s="36"/>
      <c r="N349" s="36"/>
      <c r="O349" s="36"/>
      <c r="P349" s="36"/>
    </row>
    <row r="350" ht="14.25" customHeight="1">
      <c r="A350" s="49"/>
      <c r="C350" s="69" t="s">
        <v>25</v>
      </c>
      <c r="D350" s="70"/>
      <c r="E350" s="36"/>
      <c r="F350" s="36"/>
      <c r="G350" s="71"/>
      <c r="H350" s="36"/>
      <c r="I350" s="36"/>
      <c r="J350" s="36"/>
      <c r="K350" s="70"/>
      <c r="L350" s="36"/>
      <c r="M350" s="36"/>
      <c r="N350" s="36"/>
      <c r="O350" s="36"/>
      <c r="P350" s="36"/>
    </row>
    <row r="351" ht="14.25" customHeight="1">
      <c r="A351" s="56"/>
      <c r="B351" s="57"/>
      <c r="C351" s="69" t="s">
        <v>26</v>
      </c>
      <c r="D351" s="72"/>
      <c r="E351" s="73"/>
      <c r="F351" s="73"/>
      <c r="G351" s="74"/>
      <c r="H351" s="73"/>
      <c r="I351" s="73"/>
      <c r="J351" s="73"/>
      <c r="K351" s="72"/>
      <c r="L351" s="73"/>
      <c r="M351" s="73"/>
      <c r="N351" s="73"/>
      <c r="O351" s="73"/>
      <c r="P351" s="73"/>
    </row>
    <row r="352" ht="14.25" customHeight="1">
      <c r="A352" s="62">
        <v>45317.0</v>
      </c>
      <c r="B352" s="63" t="s">
        <v>43</v>
      </c>
      <c r="C352" s="64" t="s">
        <v>20</v>
      </c>
      <c r="D352" s="75">
        <v>5.0</v>
      </c>
      <c r="E352" s="67"/>
      <c r="F352" s="67"/>
      <c r="G352" s="68"/>
      <c r="H352" s="67"/>
      <c r="I352" s="67"/>
      <c r="J352" s="67"/>
      <c r="K352" s="65"/>
      <c r="L352" s="67"/>
      <c r="M352" s="67"/>
      <c r="N352" s="67"/>
      <c r="O352" s="67"/>
      <c r="P352" s="67"/>
    </row>
    <row r="353" ht="14.25" customHeight="1">
      <c r="A353" s="49"/>
      <c r="C353" s="69" t="s">
        <v>21</v>
      </c>
      <c r="D353" s="76">
        <v>1.0</v>
      </c>
      <c r="E353" s="36"/>
      <c r="F353" s="36"/>
      <c r="G353" s="71"/>
      <c r="H353" s="36"/>
      <c r="I353" s="36"/>
      <c r="J353" s="36"/>
      <c r="K353" s="70"/>
      <c r="L353" s="36"/>
      <c r="M353" s="36"/>
      <c r="N353" s="36"/>
      <c r="O353" s="36"/>
      <c r="P353" s="36"/>
    </row>
    <row r="354" ht="14.25" customHeight="1">
      <c r="A354" s="49"/>
      <c r="C354" s="69" t="s">
        <v>22</v>
      </c>
      <c r="D354" s="70"/>
      <c r="E354" s="36"/>
      <c r="F354" s="36"/>
      <c r="G354" s="71"/>
      <c r="H354" s="36"/>
      <c r="I354" s="36"/>
      <c r="J354" s="36"/>
      <c r="K354" s="70"/>
      <c r="L354" s="36"/>
      <c r="M354" s="36"/>
      <c r="N354" s="36"/>
      <c r="O354" s="36"/>
      <c r="P354" s="36"/>
    </row>
    <row r="355" ht="14.25" customHeight="1">
      <c r="A355" s="49"/>
      <c r="C355" s="69" t="s">
        <v>23</v>
      </c>
      <c r="D355" s="70"/>
      <c r="E355" s="36"/>
      <c r="F355" s="36"/>
      <c r="G355" s="71"/>
      <c r="H355" s="36"/>
      <c r="I355" s="36"/>
      <c r="J355" s="36"/>
      <c r="K355" s="70"/>
      <c r="L355" s="36"/>
      <c r="M355" s="36"/>
      <c r="N355" s="36"/>
      <c r="O355" s="36"/>
      <c r="P355" s="36"/>
    </row>
    <row r="356" ht="14.25" customHeight="1">
      <c r="A356" s="49"/>
      <c r="C356" s="69" t="s">
        <v>24</v>
      </c>
      <c r="D356" s="70"/>
      <c r="E356" s="36"/>
      <c r="F356" s="36"/>
      <c r="G356" s="71"/>
      <c r="H356" s="36"/>
      <c r="I356" s="36"/>
      <c r="J356" s="36"/>
      <c r="K356" s="70"/>
      <c r="L356" s="36"/>
      <c r="M356" s="36"/>
      <c r="N356" s="36"/>
      <c r="O356" s="36"/>
      <c r="P356" s="36"/>
    </row>
    <row r="357" ht="14.25" customHeight="1">
      <c r="A357" s="49"/>
      <c r="C357" s="69" t="s">
        <v>25</v>
      </c>
      <c r="D357" s="76">
        <v>1.0</v>
      </c>
      <c r="E357" s="36"/>
      <c r="F357" s="36"/>
      <c r="G357" s="71"/>
      <c r="H357" s="36"/>
      <c r="I357" s="36"/>
      <c r="J357" s="36"/>
      <c r="K357" s="70"/>
      <c r="L357" s="36"/>
      <c r="M357" s="36"/>
      <c r="N357" s="36"/>
      <c r="O357" s="36"/>
      <c r="P357" s="36"/>
    </row>
    <row r="358" ht="14.25" customHeight="1">
      <c r="A358" s="56"/>
      <c r="B358" s="57"/>
      <c r="C358" s="69" t="s">
        <v>26</v>
      </c>
      <c r="D358" s="70"/>
      <c r="E358" s="36"/>
      <c r="F358" s="36"/>
      <c r="G358" s="71"/>
      <c r="H358" s="36"/>
      <c r="I358" s="36"/>
      <c r="J358" s="36"/>
      <c r="K358" s="70"/>
      <c r="L358" s="36"/>
      <c r="M358" s="36"/>
      <c r="N358" s="36"/>
      <c r="O358" s="36"/>
      <c r="P358" s="36"/>
    </row>
    <row r="359" ht="14.25" customHeight="1">
      <c r="A359" s="62">
        <v>45320.0</v>
      </c>
      <c r="B359" s="63" t="s">
        <v>41</v>
      </c>
      <c r="C359" s="64" t="s">
        <v>20</v>
      </c>
      <c r="D359" s="75">
        <v>1.0</v>
      </c>
      <c r="E359" s="67"/>
      <c r="F359" s="67"/>
      <c r="G359" s="68"/>
      <c r="H359" s="67"/>
      <c r="I359" s="67"/>
      <c r="J359" s="67"/>
      <c r="K359" s="65"/>
      <c r="L359" s="67"/>
      <c r="M359" s="67"/>
      <c r="N359" s="67"/>
      <c r="O359" s="67"/>
      <c r="P359" s="67"/>
    </row>
    <row r="360" ht="14.25" customHeight="1">
      <c r="A360" s="49"/>
      <c r="C360" s="69" t="s">
        <v>21</v>
      </c>
      <c r="D360" s="70"/>
      <c r="E360" s="16">
        <v>1.0</v>
      </c>
      <c r="F360" s="36"/>
      <c r="G360" s="71"/>
      <c r="H360" s="36"/>
      <c r="I360" s="16">
        <v>1.0</v>
      </c>
      <c r="J360" s="36"/>
      <c r="K360" s="70"/>
      <c r="L360" s="36"/>
      <c r="M360" s="36"/>
      <c r="N360" s="36"/>
      <c r="O360" s="36"/>
      <c r="P360" s="36"/>
    </row>
    <row r="361" ht="14.25" customHeight="1">
      <c r="A361" s="49"/>
      <c r="C361" s="69" t="s">
        <v>22</v>
      </c>
      <c r="D361" s="70"/>
      <c r="E361" s="36"/>
      <c r="F361" s="36"/>
      <c r="G361" s="71"/>
      <c r="H361" s="36"/>
      <c r="I361" s="36"/>
      <c r="J361" s="36"/>
      <c r="K361" s="70"/>
      <c r="L361" s="36"/>
      <c r="M361" s="36"/>
      <c r="N361" s="36"/>
      <c r="O361" s="36"/>
      <c r="P361" s="36"/>
    </row>
    <row r="362" ht="14.25" customHeight="1">
      <c r="A362" s="49"/>
      <c r="C362" s="69" t="s">
        <v>23</v>
      </c>
      <c r="D362" s="70"/>
      <c r="E362" s="36"/>
      <c r="F362" s="36"/>
      <c r="G362" s="71"/>
      <c r="H362" s="36"/>
      <c r="I362" s="36"/>
      <c r="J362" s="36"/>
      <c r="K362" s="70"/>
      <c r="L362" s="36"/>
      <c r="M362" s="36"/>
      <c r="N362" s="36"/>
      <c r="O362" s="36"/>
      <c r="P362" s="36"/>
    </row>
    <row r="363" ht="14.25" customHeight="1">
      <c r="A363" s="49"/>
      <c r="C363" s="69" t="s">
        <v>24</v>
      </c>
      <c r="D363" s="70"/>
      <c r="E363" s="36"/>
      <c r="F363" s="36"/>
      <c r="G363" s="71"/>
      <c r="H363" s="36"/>
      <c r="I363" s="36"/>
      <c r="J363" s="36"/>
      <c r="K363" s="70"/>
      <c r="L363" s="36"/>
      <c r="M363" s="36"/>
      <c r="N363" s="36"/>
      <c r="O363" s="36"/>
      <c r="P363" s="36"/>
    </row>
    <row r="364" ht="14.25" customHeight="1">
      <c r="A364" s="49"/>
      <c r="C364" s="69" t="s">
        <v>25</v>
      </c>
      <c r="D364" s="70"/>
      <c r="E364" s="36"/>
      <c r="F364" s="36"/>
      <c r="G364" s="71"/>
      <c r="H364" s="36"/>
      <c r="I364" s="36"/>
      <c r="J364" s="36"/>
      <c r="K364" s="70"/>
      <c r="L364" s="36"/>
      <c r="M364" s="36"/>
      <c r="N364" s="36"/>
      <c r="O364" s="36"/>
      <c r="P364" s="36"/>
    </row>
    <row r="365" ht="14.25" customHeight="1">
      <c r="A365" s="56"/>
      <c r="B365" s="57"/>
      <c r="C365" s="69" t="s">
        <v>26</v>
      </c>
      <c r="D365" s="72"/>
      <c r="E365" s="73"/>
      <c r="F365" s="73"/>
      <c r="G365" s="74"/>
      <c r="H365" s="73"/>
      <c r="I365" s="73"/>
      <c r="J365" s="73"/>
      <c r="K365" s="72"/>
      <c r="L365" s="73"/>
      <c r="M365" s="73"/>
      <c r="N365" s="73"/>
      <c r="O365" s="73"/>
      <c r="P365" s="73"/>
    </row>
    <row r="366" ht="14.25" customHeight="1">
      <c r="A366" s="62">
        <v>45320.0</v>
      </c>
      <c r="B366" s="63" t="s">
        <v>45</v>
      </c>
      <c r="C366" s="64" t="s">
        <v>20</v>
      </c>
      <c r="D366" s="75">
        <v>1.0</v>
      </c>
      <c r="E366" s="66">
        <v>1.0</v>
      </c>
      <c r="F366" s="67"/>
      <c r="G366" s="68"/>
      <c r="H366" s="66">
        <v>1.0</v>
      </c>
      <c r="I366" s="67"/>
      <c r="J366" s="67"/>
      <c r="K366" s="65"/>
      <c r="L366" s="67"/>
      <c r="M366" s="67"/>
      <c r="N366" s="67"/>
      <c r="O366" s="67"/>
      <c r="P366" s="67"/>
    </row>
    <row r="367" ht="14.25" customHeight="1">
      <c r="A367" s="49"/>
      <c r="C367" s="69" t="s">
        <v>21</v>
      </c>
      <c r="D367" s="70"/>
      <c r="E367" s="36"/>
      <c r="F367" s="36"/>
      <c r="G367" s="71"/>
      <c r="H367" s="36"/>
      <c r="I367" s="36"/>
      <c r="J367" s="36"/>
      <c r="K367" s="70"/>
      <c r="L367" s="36"/>
      <c r="M367" s="36"/>
      <c r="N367" s="36"/>
      <c r="O367" s="36"/>
      <c r="P367" s="36"/>
    </row>
    <row r="368" ht="14.25" customHeight="1">
      <c r="A368" s="49"/>
      <c r="C368" s="69" t="s">
        <v>22</v>
      </c>
      <c r="D368" s="70"/>
      <c r="E368" s="36"/>
      <c r="F368" s="36"/>
      <c r="G368" s="71"/>
      <c r="H368" s="36"/>
      <c r="I368" s="36"/>
      <c r="J368" s="36"/>
      <c r="K368" s="70"/>
      <c r="L368" s="36"/>
      <c r="M368" s="36"/>
      <c r="N368" s="36"/>
      <c r="O368" s="36"/>
      <c r="P368" s="36"/>
    </row>
    <row r="369" ht="14.25" customHeight="1">
      <c r="A369" s="49"/>
      <c r="C369" s="69" t="s">
        <v>23</v>
      </c>
      <c r="D369" s="70"/>
      <c r="E369" s="36"/>
      <c r="F369" s="36"/>
      <c r="G369" s="71"/>
      <c r="H369" s="36"/>
      <c r="I369" s="36"/>
      <c r="J369" s="36"/>
      <c r="K369" s="70"/>
      <c r="L369" s="36"/>
      <c r="M369" s="36"/>
      <c r="N369" s="36"/>
      <c r="O369" s="36"/>
      <c r="P369" s="36"/>
    </row>
    <row r="370" ht="14.25" customHeight="1">
      <c r="A370" s="49"/>
      <c r="C370" s="69" t="s">
        <v>24</v>
      </c>
      <c r="D370" s="70"/>
      <c r="E370" s="36"/>
      <c r="F370" s="36"/>
      <c r="G370" s="71"/>
      <c r="H370" s="36"/>
      <c r="I370" s="36"/>
      <c r="J370" s="36"/>
      <c r="K370" s="70"/>
      <c r="L370" s="36"/>
      <c r="M370" s="36"/>
      <c r="N370" s="36"/>
      <c r="O370" s="36"/>
      <c r="P370" s="36"/>
    </row>
    <row r="371" ht="14.25" customHeight="1">
      <c r="A371" s="49"/>
      <c r="C371" s="69" t="s">
        <v>25</v>
      </c>
      <c r="D371" s="70"/>
      <c r="E371" s="36"/>
      <c r="F371" s="36"/>
      <c r="G371" s="71"/>
      <c r="H371" s="36"/>
      <c r="I371" s="36"/>
      <c r="J371" s="36"/>
      <c r="K371" s="70"/>
      <c r="L371" s="36"/>
      <c r="M371" s="36"/>
      <c r="N371" s="36"/>
      <c r="O371" s="36"/>
      <c r="P371" s="36"/>
    </row>
    <row r="372" ht="14.25" customHeight="1">
      <c r="A372" s="56"/>
      <c r="B372" s="57"/>
      <c r="C372" s="69" t="s">
        <v>26</v>
      </c>
      <c r="D372" s="70"/>
      <c r="E372" s="36"/>
      <c r="F372" s="36"/>
      <c r="G372" s="71"/>
      <c r="H372" s="36"/>
      <c r="I372" s="36"/>
      <c r="J372" s="36"/>
      <c r="K372" s="70"/>
      <c r="L372" s="36"/>
      <c r="M372" s="36"/>
      <c r="N372" s="36"/>
      <c r="O372" s="36"/>
      <c r="P372" s="36"/>
    </row>
    <row r="373" ht="14.25" customHeight="1">
      <c r="A373" s="62">
        <v>45321.0</v>
      </c>
      <c r="B373" s="63" t="s">
        <v>44</v>
      </c>
      <c r="C373" s="64" t="s">
        <v>20</v>
      </c>
      <c r="D373" s="75">
        <v>1.0</v>
      </c>
      <c r="E373" s="67"/>
      <c r="F373" s="66">
        <v>2.0</v>
      </c>
      <c r="G373" s="68"/>
      <c r="H373" s="66">
        <v>1.0</v>
      </c>
      <c r="I373" s="67"/>
      <c r="J373" s="67"/>
      <c r="K373" s="65"/>
      <c r="L373" s="67"/>
      <c r="M373" s="67"/>
      <c r="N373" s="67"/>
      <c r="O373" s="67"/>
      <c r="P373" s="67"/>
    </row>
    <row r="374" ht="14.25" customHeight="1">
      <c r="A374" s="49"/>
      <c r="C374" s="69" t="s">
        <v>21</v>
      </c>
      <c r="D374" s="76">
        <v>1.0</v>
      </c>
      <c r="E374" s="36"/>
      <c r="F374" s="16">
        <v>4.0</v>
      </c>
      <c r="G374" s="71"/>
      <c r="H374" s="36"/>
      <c r="I374" s="36"/>
      <c r="J374" s="36"/>
      <c r="K374" s="70"/>
      <c r="L374" s="36"/>
      <c r="M374" s="36"/>
      <c r="N374" s="16">
        <v>1.0</v>
      </c>
      <c r="O374" s="36"/>
      <c r="P374" s="36"/>
    </row>
    <row r="375" ht="14.25" customHeight="1">
      <c r="A375" s="49"/>
      <c r="C375" s="69" t="s">
        <v>22</v>
      </c>
      <c r="D375" s="70"/>
      <c r="E375" s="36"/>
      <c r="F375" s="36"/>
      <c r="G375" s="71"/>
      <c r="H375" s="36"/>
      <c r="I375" s="36"/>
      <c r="J375" s="36"/>
      <c r="K375" s="70"/>
      <c r="L375" s="36"/>
      <c r="M375" s="36"/>
      <c r="N375" s="36"/>
      <c r="O375" s="36"/>
      <c r="P375" s="36"/>
    </row>
    <row r="376" ht="14.25" customHeight="1">
      <c r="A376" s="49"/>
      <c r="C376" s="69" t="s">
        <v>23</v>
      </c>
      <c r="D376" s="70"/>
      <c r="E376" s="36"/>
      <c r="F376" s="36"/>
      <c r="G376" s="71"/>
      <c r="H376" s="36"/>
      <c r="I376" s="36"/>
      <c r="J376" s="36"/>
      <c r="K376" s="70"/>
      <c r="L376" s="36"/>
      <c r="M376" s="36"/>
      <c r="N376" s="36"/>
      <c r="O376" s="36"/>
      <c r="P376" s="36"/>
    </row>
    <row r="377" ht="14.25" customHeight="1">
      <c r="A377" s="49"/>
      <c r="C377" s="69" t="s">
        <v>24</v>
      </c>
      <c r="D377" s="70"/>
      <c r="E377" s="36"/>
      <c r="F377" s="36"/>
      <c r="G377" s="71"/>
      <c r="H377" s="36"/>
      <c r="I377" s="36"/>
      <c r="J377" s="36"/>
      <c r="K377" s="70"/>
      <c r="L377" s="36"/>
      <c r="M377" s="36"/>
      <c r="N377" s="36"/>
      <c r="O377" s="36"/>
      <c r="P377" s="36"/>
    </row>
    <row r="378" ht="14.25" customHeight="1">
      <c r="A378" s="49"/>
      <c r="C378" s="69" t="s">
        <v>25</v>
      </c>
      <c r="D378" s="70"/>
      <c r="E378" s="36"/>
      <c r="F378" s="36"/>
      <c r="G378" s="71"/>
      <c r="H378" s="36"/>
      <c r="I378" s="36"/>
      <c r="J378" s="36"/>
      <c r="K378" s="70"/>
      <c r="L378" s="36"/>
      <c r="M378" s="36"/>
      <c r="N378" s="36"/>
      <c r="O378" s="36"/>
      <c r="P378" s="36"/>
    </row>
    <row r="379" ht="14.25" customHeight="1">
      <c r="A379" s="56"/>
      <c r="B379" s="57"/>
      <c r="C379" s="77" t="s">
        <v>26</v>
      </c>
      <c r="D379" s="72"/>
      <c r="E379" s="73"/>
      <c r="F379" s="73"/>
      <c r="G379" s="74"/>
      <c r="H379" s="73"/>
      <c r="I379" s="73"/>
      <c r="J379" s="73"/>
      <c r="K379" s="72"/>
      <c r="L379" s="73"/>
      <c r="M379" s="73"/>
      <c r="N379" s="73"/>
      <c r="O379" s="73"/>
      <c r="P379" s="73"/>
    </row>
    <row r="380" ht="14.25" customHeight="1">
      <c r="A380" s="62">
        <v>45321.0</v>
      </c>
      <c r="B380" s="63" t="s">
        <v>43</v>
      </c>
      <c r="C380" s="64" t="s">
        <v>20</v>
      </c>
      <c r="D380" s="75">
        <v>4.0</v>
      </c>
      <c r="E380" s="66">
        <v>2.0</v>
      </c>
      <c r="F380" s="66">
        <v>2.0</v>
      </c>
      <c r="G380" s="68"/>
      <c r="H380" s="66">
        <v>1.0</v>
      </c>
      <c r="I380" s="66">
        <v>1.0</v>
      </c>
      <c r="J380" s="67"/>
      <c r="K380" s="65"/>
      <c r="L380" s="67"/>
      <c r="M380" s="67"/>
      <c r="N380" s="66">
        <v>1.0</v>
      </c>
      <c r="O380" s="67"/>
      <c r="P380" s="67"/>
    </row>
    <row r="381" ht="14.25" customHeight="1">
      <c r="A381" s="49"/>
      <c r="C381" s="69" t="s">
        <v>21</v>
      </c>
      <c r="D381" s="76">
        <v>1.0</v>
      </c>
      <c r="E381" s="16">
        <v>1.0</v>
      </c>
      <c r="F381" s="36"/>
      <c r="G381" s="71"/>
      <c r="H381" s="36"/>
      <c r="I381" s="16">
        <v>1.0</v>
      </c>
      <c r="J381" s="36"/>
      <c r="K381" s="70"/>
      <c r="L381" s="36"/>
      <c r="M381" s="36"/>
      <c r="N381" s="36"/>
      <c r="O381" s="36"/>
      <c r="P381" s="36"/>
    </row>
    <row r="382" ht="14.25" customHeight="1">
      <c r="A382" s="49"/>
      <c r="C382" s="69" t="s">
        <v>22</v>
      </c>
      <c r="D382" s="70"/>
      <c r="E382" s="36"/>
      <c r="F382" s="36"/>
      <c r="G382" s="71"/>
      <c r="H382" s="36"/>
      <c r="I382" s="36"/>
      <c r="J382" s="36"/>
      <c r="K382" s="70"/>
      <c r="L382" s="36"/>
      <c r="M382" s="36"/>
      <c r="N382" s="36"/>
      <c r="O382" s="36"/>
      <c r="P382" s="36"/>
    </row>
    <row r="383" ht="14.25" customHeight="1">
      <c r="A383" s="49"/>
      <c r="C383" s="69" t="s">
        <v>23</v>
      </c>
      <c r="D383" s="70"/>
      <c r="E383" s="36"/>
      <c r="F383" s="36"/>
      <c r="G383" s="71"/>
      <c r="H383" s="36"/>
      <c r="I383" s="36"/>
      <c r="J383" s="36"/>
      <c r="K383" s="70"/>
      <c r="L383" s="36"/>
      <c r="M383" s="36"/>
      <c r="N383" s="36"/>
      <c r="O383" s="36"/>
      <c r="P383" s="36"/>
    </row>
    <row r="384" ht="14.25" customHeight="1">
      <c r="A384" s="49"/>
      <c r="C384" s="69" t="s">
        <v>24</v>
      </c>
      <c r="D384" s="76">
        <v>1.0</v>
      </c>
      <c r="E384" s="36"/>
      <c r="F384" s="36"/>
      <c r="G384" s="71"/>
      <c r="H384" s="36"/>
      <c r="I384" s="36"/>
      <c r="J384" s="36"/>
      <c r="K384" s="70"/>
      <c r="L384" s="36"/>
      <c r="M384" s="36"/>
      <c r="N384" s="36"/>
      <c r="O384" s="36"/>
      <c r="P384" s="36"/>
    </row>
    <row r="385" ht="14.25" customHeight="1">
      <c r="A385" s="49"/>
      <c r="C385" s="69" t="s">
        <v>25</v>
      </c>
      <c r="D385" s="76">
        <v>1.0</v>
      </c>
      <c r="E385" s="36"/>
      <c r="F385" s="36"/>
      <c r="G385" s="71"/>
      <c r="H385" s="36"/>
      <c r="I385" s="36"/>
      <c r="J385" s="36"/>
      <c r="K385" s="70"/>
      <c r="L385" s="36"/>
      <c r="M385" s="36"/>
      <c r="N385" s="36"/>
      <c r="O385" s="36"/>
      <c r="P385" s="36"/>
    </row>
    <row r="386" ht="14.25" customHeight="1">
      <c r="A386" s="56"/>
      <c r="B386" s="57"/>
      <c r="C386" s="77" t="s">
        <v>26</v>
      </c>
      <c r="D386" s="72"/>
      <c r="E386" s="73"/>
      <c r="F386" s="73"/>
      <c r="G386" s="74"/>
      <c r="H386" s="73"/>
      <c r="I386" s="73"/>
      <c r="J386" s="73"/>
      <c r="K386" s="72"/>
      <c r="L386" s="73"/>
      <c r="M386" s="73"/>
      <c r="N386" s="73"/>
      <c r="O386" s="73"/>
      <c r="P386" s="73"/>
    </row>
    <row r="387" ht="14.25" customHeight="1">
      <c r="A387" s="62">
        <v>45322.0</v>
      </c>
      <c r="B387" s="63" t="s">
        <v>42</v>
      </c>
      <c r="C387" s="64" t="s">
        <v>20</v>
      </c>
      <c r="D387" s="75">
        <v>2.0</v>
      </c>
      <c r="E387" s="67"/>
      <c r="F387" s="67"/>
      <c r="G387" s="68"/>
      <c r="H387" s="67"/>
      <c r="I387" s="67"/>
      <c r="J387" s="67"/>
      <c r="K387" s="65"/>
      <c r="L387" s="67"/>
      <c r="M387" s="67"/>
      <c r="N387" s="67"/>
      <c r="O387" s="67"/>
      <c r="P387" s="67"/>
    </row>
    <row r="388" ht="14.25" customHeight="1">
      <c r="A388" s="49"/>
      <c r="C388" s="69" t="s">
        <v>21</v>
      </c>
      <c r="D388" s="76">
        <v>1.0</v>
      </c>
      <c r="E388" s="16">
        <v>2.0</v>
      </c>
      <c r="F388" s="36"/>
      <c r="G388" s="71"/>
      <c r="H388" s="16">
        <v>2.0</v>
      </c>
      <c r="I388" s="36"/>
      <c r="J388" s="36"/>
      <c r="K388" s="70"/>
      <c r="L388" s="36"/>
      <c r="M388" s="36"/>
      <c r="N388" s="36"/>
      <c r="O388" s="36"/>
      <c r="P388" s="36"/>
    </row>
    <row r="389" ht="14.25" customHeight="1">
      <c r="A389" s="49"/>
      <c r="C389" s="69" t="s">
        <v>22</v>
      </c>
      <c r="D389" s="70"/>
      <c r="E389" s="36"/>
      <c r="F389" s="36"/>
      <c r="G389" s="71"/>
      <c r="H389" s="36"/>
      <c r="I389" s="36"/>
      <c r="J389" s="36"/>
      <c r="K389" s="70"/>
      <c r="L389" s="36"/>
      <c r="M389" s="36"/>
      <c r="N389" s="36"/>
      <c r="O389" s="36"/>
      <c r="P389" s="36"/>
    </row>
    <row r="390" ht="14.25" customHeight="1">
      <c r="A390" s="49"/>
      <c r="C390" s="69" t="s">
        <v>23</v>
      </c>
      <c r="D390" s="70"/>
      <c r="E390" s="36"/>
      <c r="F390" s="36"/>
      <c r="G390" s="71"/>
      <c r="H390" s="36"/>
      <c r="I390" s="36"/>
      <c r="J390" s="36"/>
      <c r="K390" s="70"/>
      <c r="L390" s="36"/>
      <c r="M390" s="36"/>
      <c r="N390" s="36"/>
      <c r="O390" s="36"/>
      <c r="P390" s="36"/>
    </row>
    <row r="391" ht="14.25" customHeight="1">
      <c r="A391" s="49"/>
      <c r="C391" s="69" t="s">
        <v>24</v>
      </c>
      <c r="D391" s="70"/>
      <c r="E391" s="36"/>
      <c r="F391" s="36"/>
      <c r="G391" s="71"/>
      <c r="H391" s="36"/>
      <c r="I391" s="36"/>
      <c r="J391" s="36"/>
      <c r="K391" s="70"/>
      <c r="L391" s="36"/>
      <c r="M391" s="36"/>
      <c r="N391" s="36"/>
      <c r="O391" s="36"/>
      <c r="P391" s="36"/>
    </row>
    <row r="392" ht="14.25" customHeight="1">
      <c r="A392" s="49"/>
      <c r="C392" s="69" t="s">
        <v>25</v>
      </c>
      <c r="D392" s="70"/>
      <c r="E392" s="36"/>
      <c r="F392" s="36"/>
      <c r="G392" s="71"/>
      <c r="H392" s="36"/>
      <c r="I392" s="36"/>
      <c r="J392" s="36"/>
      <c r="K392" s="70"/>
      <c r="L392" s="36"/>
      <c r="M392" s="36"/>
      <c r="N392" s="36"/>
      <c r="O392" s="36"/>
      <c r="P392" s="36"/>
    </row>
    <row r="393" ht="14.25" customHeight="1">
      <c r="A393" s="56"/>
      <c r="B393" s="57"/>
      <c r="C393" s="77" t="s">
        <v>26</v>
      </c>
      <c r="D393" s="72"/>
      <c r="E393" s="73"/>
      <c r="F393" s="73"/>
      <c r="G393" s="74"/>
      <c r="H393" s="73"/>
      <c r="I393" s="73"/>
      <c r="J393" s="73"/>
      <c r="K393" s="72"/>
      <c r="L393" s="73"/>
      <c r="M393" s="73"/>
      <c r="N393" s="73"/>
      <c r="O393" s="73"/>
      <c r="P393" s="73"/>
    </row>
    <row r="394" ht="14.25" customHeight="1">
      <c r="A394" s="62">
        <v>45322.0</v>
      </c>
      <c r="B394" s="63" t="s">
        <v>42</v>
      </c>
      <c r="C394" s="64" t="s">
        <v>20</v>
      </c>
      <c r="D394" s="75">
        <v>1.0</v>
      </c>
      <c r="E394" s="67"/>
      <c r="F394" s="67"/>
      <c r="G394" s="68"/>
      <c r="H394" s="67"/>
      <c r="I394" s="67"/>
      <c r="J394" s="67"/>
      <c r="K394" s="65"/>
      <c r="L394" s="67"/>
      <c r="M394" s="67"/>
      <c r="N394" s="67"/>
      <c r="O394" s="67"/>
      <c r="P394" s="67"/>
    </row>
    <row r="395" ht="14.25" customHeight="1">
      <c r="A395" s="49"/>
      <c r="C395" s="69" t="s">
        <v>21</v>
      </c>
      <c r="D395" s="70"/>
      <c r="E395" s="36"/>
      <c r="F395" s="36"/>
      <c r="G395" s="71"/>
      <c r="H395" s="36"/>
      <c r="I395" s="36"/>
      <c r="J395" s="36"/>
      <c r="K395" s="70"/>
      <c r="L395" s="36"/>
      <c r="M395" s="36"/>
      <c r="N395" s="36"/>
      <c r="O395" s="36"/>
      <c r="P395" s="36"/>
    </row>
    <row r="396" ht="14.25" customHeight="1">
      <c r="A396" s="49"/>
      <c r="C396" s="69" t="s">
        <v>22</v>
      </c>
      <c r="D396" s="70"/>
      <c r="E396" s="36"/>
      <c r="F396" s="36"/>
      <c r="G396" s="71"/>
      <c r="H396" s="36"/>
      <c r="I396" s="36"/>
      <c r="J396" s="36"/>
      <c r="K396" s="70"/>
      <c r="L396" s="36"/>
      <c r="M396" s="36"/>
      <c r="N396" s="36"/>
      <c r="O396" s="36"/>
      <c r="P396" s="36"/>
    </row>
    <row r="397" ht="14.25" customHeight="1">
      <c r="A397" s="49"/>
      <c r="C397" s="69" t="s">
        <v>23</v>
      </c>
      <c r="D397" s="70"/>
      <c r="E397" s="36"/>
      <c r="F397" s="36"/>
      <c r="G397" s="71"/>
      <c r="H397" s="36"/>
      <c r="I397" s="36"/>
      <c r="J397" s="36"/>
      <c r="K397" s="70"/>
      <c r="L397" s="36"/>
      <c r="M397" s="36"/>
      <c r="N397" s="36"/>
      <c r="O397" s="36"/>
      <c r="P397" s="36"/>
    </row>
    <row r="398" ht="14.25" customHeight="1">
      <c r="A398" s="49"/>
      <c r="C398" s="69" t="s">
        <v>24</v>
      </c>
      <c r="D398" s="70"/>
      <c r="E398" s="36"/>
      <c r="F398" s="36"/>
      <c r="G398" s="71"/>
      <c r="H398" s="36"/>
      <c r="I398" s="36"/>
      <c r="J398" s="36"/>
      <c r="K398" s="70"/>
      <c r="L398" s="36"/>
      <c r="M398" s="36"/>
      <c r="N398" s="36"/>
      <c r="O398" s="36"/>
      <c r="P398" s="36"/>
    </row>
    <row r="399" ht="14.25" customHeight="1">
      <c r="A399" s="49"/>
      <c r="C399" s="69" t="s">
        <v>25</v>
      </c>
      <c r="D399" s="70"/>
      <c r="E399" s="36"/>
      <c r="F399" s="36"/>
      <c r="G399" s="71"/>
      <c r="H399" s="36"/>
      <c r="I399" s="36"/>
      <c r="J399" s="36"/>
      <c r="K399" s="70"/>
      <c r="L399" s="36"/>
      <c r="M399" s="36"/>
      <c r="N399" s="36"/>
      <c r="O399" s="36"/>
      <c r="P399" s="36"/>
    </row>
    <row r="400" ht="14.25" customHeight="1">
      <c r="A400" s="56"/>
      <c r="B400" s="57"/>
      <c r="C400" s="77" t="s">
        <v>26</v>
      </c>
      <c r="D400" s="72"/>
      <c r="E400" s="73"/>
      <c r="F400" s="73"/>
      <c r="G400" s="74"/>
      <c r="H400" s="73"/>
      <c r="I400" s="73"/>
      <c r="J400" s="73"/>
      <c r="K400" s="72"/>
      <c r="L400" s="73"/>
      <c r="M400" s="73"/>
      <c r="N400" s="73"/>
      <c r="O400" s="73"/>
      <c r="P400" s="73"/>
    </row>
    <row r="401" ht="14.25" customHeight="1">
      <c r="A401" s="62">
        <v>45323.0</v>
      </c>
      <c r="B401" s="63" t="s">
        <v>44</v>
      </c>
      <c r="C401" s="64" t="s">
        <v>20</v>
      </c>
      <c r="D401" s="75">
        <v>1.0</v>
      </c>
      <c r="E401" s="67"/>
      <c r="F401" s="67"/>
      <c r="G401" s="68"/>
      <c r="H401" s="67"/>
      <c r="I401" s="67"/>
      <c r="J401" s="67"/>
      <c r="K401" s="65"/>
      <c r="L401" s="67"/>
      <c r="M401" s="67"/>
      <c r="N401" s="67"/>
      <c r="O401" s="67"/>
      <c r="P401" s="67"/>
    </row>
    <row r="402" ht="14.25" customHeight="1">
      <c r="A402" s="49"/>
      <c r="C402" s="69" t="s">
        <v>21</v>
      </c>
      <c r="D402" s="70"/>
      <c r="E402" s="36"/>
      <c r="F402" s="36"/>
      <c r="G402" s="71"/>
      <c r="H402" s="36"/>
      <c r="I402" s="36"/>
      <c r="J402" s="36"/>
      <c r="K402" s="70"/>
      <c r="L402" s="36"/>
      <c r="M402" s="36"/>
      <c r="N402" s="36"/>
      <c r="O402" s="36"/>
      <c r="P402" s="36"/>
    </row>
    <row r="403" ht="14.25" customHeight="1">
      <c r="A403" s="49"/>
      <c r="C403" s="69" t="s">
        <v>22</v>
      </c>
      <c r="D403" s="70"/>
      <c r="E403" s="36"/>
      <c r="F403" s="36"/>
      <c r="G403" s="71"/>
      <c r="H403" s="36"/>
      <c r="I403" s="36"/>
      <c r="J403" s="36"/>
      <c r="K403" s="70"/>
      <c r="L403" s="36"/>
      <c r="M403" s="36"/>
      <c r="N403" s="36"/>
      <c r="O403" s="36"/>
      <c r="P403" s="36"/>
    </row>
    <row r="404" ht="14.25" customHeight="1">
      <c r="A404" s="49"/>
      <c r="C404" s="69" t="s">
        <v>23</v>
      </c>
      <c r="D404" s="70"/>
      <c r="E404" s="36"/>
      <c r="F404" s="36"/>
      <c r="G404" s="71"/>
      <c r="H404" s="36"/>
      <c r="I404" s="36"/>
      <c r="J404" s="36"/>
      <c r="K404" s="70"/>
      <c r="L404" s="36"/>
      <c r="M404" s="36"/>
      <c r="N404" s="36"/>
      <c r="O404" s="36"/>
      <c r="P404" s="36"/>
    </row>
    <row r="405" ht="14.25" customHeight="1">
      <c r="A405" s="49"/>
      <c r="C405" s="69" t="s">
        <v>24</v>
      </c>
      <c r="D405" s="70"/>
      <c r="E405" s="36"/>
      <c r="F405" s="36"/>
      <c r="G405" s="71"/>
      <c r="H405" s="36"/>
      <c r="I405" s="36"/>
      <c r="J405" s="36"/>
      <c r="K405" s="70"/>
      <c r="L405" s="36"/>
      <c r="M405" s="36"/>
      <c r="N405" s="36"/>
      <c r="O405" s="36"/>
      <c r="P405" s="36"/>
    </row>
    <row r="406" ht="14.25" customHeight="1">
      <c r="A406" s="49"/>
      <c r="C406" s="69" t="s">
        <v>25</v>
      </c>
      <c r="D406" s="70"/>
      <c r="E406" s="36"/>
      <c r="F406" s="36"/>
      <c r="G406" s="71"/>
      <c r="H406" s="36"/>
      <c r="I406" s="36"/>
      <c r="J406" s="36"/>
      <c r="K406" s="70"/>
      <c r="L406" s="36"/>
      <c r="M406" s="36"/>
      <c r="N406" s="36"/>
      <c r="O406" s="36"/>
      <c r="P406" s="36"/>
    </row>
    <row r="407" ht="14.25" customHeight="1">
      <c r="A407" s="56"/>
      <c r="B407" s="57"/>
      <c r="C407" s="77" t="s">
        <v>26</v>
      </c>
      <c r="D407" s="72"/>
      <c r="E407" s="73"/>
      <c r="F407" s="73"/>
      <c r="G407" s="74"/>
      <c r="H407" s="73"/>
      <c r="I407" s="73"/>
      <c r="J407" s="73"/>
      <c r="K407" s="72"/>
      <c r="L407" s="73"/>
      <c r="M407" s="73"/>
      <c r="N407" s="73"/>
      <c r="O407" s="73"/>
      <c r="P407" s="73"/>
    </row>
    <row r="408" ht="14.25" customHeight="1">
      <c r="A408" s="62">
        <v>45324.0</v>
      </c>
      <c r="B408" s="63" t="s">
        <v>42</v>
      </c>
      <c r="C408" s="64" t="s">
        <v>20</v>
      </c>
      <c r="D408" s="75">
        <v>6.0</v>
      </c>
      <c r="E408" s="66">
        <v>1.0</v>
      </c>
      <c r="F408" s="67"/>
      <c r="G408" s="68"/>
      <c r="H408" s="67"/>
      <c r="I408" s="67"/>
      <c r="J408" s="67"/>
      <c r="K408" s="65"/>
      <c r="L408" s="67"/>
      <c r="M408" s="67"/>
      <c r="N408" s="67"/>
      <c r="O408" s="67"/>
      <c r="P408" s="67"/>
    </row>
    <row r="409" ht="14.25" customHeight="1">
      <c r="A409" s="49"/>
      <c r="C409" s="69" t="s">
        <v>21</v>
      </c>
      <c r="D409" s="70"/>
      <c r="E409" s="36"/>
      <c r="F409" s="36"/>
      <c r="G409" s="71"/>
      <c r="H409" s="36"/>
      <c r="I409" s="36"/>
      <c r="J409" s="36"/>
      <c r="K409" s="70"/>
      <c r="L409" s="36"/>
      <c r="M409" s="36"/>
      <c r="N409" s="36"/>
      <c r="O409" s="36"/>
      <c r="P409" s="36"/>
    </row>
    <row r="410" ht="14.25" customHeight="1">
      <c r="A410" s="49"/>
      <c r="C410" s="69" t="s">
        <v>22</v>
      </c>
      <c r="D410" s="70"/>
      <c r="E410" s="36"/>
      <c r="F410" s="36"/>
      <c r="G410" s="71"/>
      <c r="H410" s="36"/>
      <c r="I410" s="36"/>
      <c r="J410" s="36"/>
      <c r="K410" s="70"/>
      <c r="L410" s="36"/>
      <c r="M410" s="36"/>
      <c r="N410" s="36"/>
      <c r="O410" s="36"/>
      <c r="P410" s="36"/>
    </row>
    <row r="411" ht="14.25" customHeight="1">
      <c r="A411" s="49"/>
      <c r="C411" s="69" t="s">
        <v>23</v>
      </c>
      <c r="D411" s="70"/>
      <c r="E411" s="36"/>
      <c r="F411" s="36"/>
      <c r="G411" s="71"/>
      <c r="H411" s="36"/>
      <c r="I411" s="36"/>
      <c r="J411" s="36"/>
      <c r="K411" s="70"/>
      <c r="L411" s="36"/>
      <c r="M411" s="36"/>
      <c r="N411" s="36"/>
      <c r="O411" s="36"/>
      <c r="P411" s="36"/>
    </row>
    <row r="412" ht="14.25" customHeight="1">
      <c r="A412" s="49"/>
      <c r="C412" s="69" t="s">
        <v>24</v>
      </c>
      <c r="D412" s="70"/>
      <c r="E412" s="36"/>
      <c r="F412" s="36"/>
      <c r="G412" s="71"/>
      <c r="H412" s="36"/>
      <c r="I412" s="36"/>
      <c r="J412" s="36"/>
      <c r="K412" s="70"/>
      <c r="L412" s="36"/>
      <c r="M412" s="36"/>
      <c r="N412" s="36"/>
      <c r="O412" s="36"/>
      <c r="P412" s="36"/>
    </row>
    <row r="413" ht="14.25" customHeight="1">
      <c r="A413" s="49"/>
      <c r="C413" s="69" t="s">
        <v>25</v>
      </c>
      <c r="D413" s="70"/>
      <c r="E413" s="36"/>
      <c r="F413" s="36"/>
      <c r="G413" s="71"/>
      <c r="H413" s="36"/>
      <c r="I413" s="36"/>
      <c r="J413" s="36"/>
      <c r="K413" s="70"/>
      <c r="L413" s="36"/>
      <c r="M413" s="36"/>
      <c r="N413" s="36"/>
      <c r="O413" s="36"/>
      <c r="P413" s="36"/>
    </row>
    <row r="414" ht="14.25" customHeight="1">
      <c r="A414" s="56"/>
      <c r="B414" s="57"/>
      <c r="C414" s="77" t="s">
        <v>26</v>
      </c>
      <c r="D414" s="72"/>
      <c r="E414" s="73"/>
      <c r="F414" s="73"/>
      <c r="G414" s="74"/>
      <c r="H414" s="73"/>
      <c r="I414" s="73"/>
      <c r="J414" s="73"/>
      <c r="K414" s="72"/>
      <c r="L414" s="73"/>
      <c r="M414" s="73"/>
      <c r="N414" s="73"/>
      <c r="O414" s="73"/>
      <c r="P414" s="73"/>
    </row>
    <row r="415" ht="14.25" customHeight="1">
      <c r="A415" s="62">
        <v>45324.0</v>
      </c>
      <c r="B415" s="63" t="s">
        <v>42</v>
      </c>
      <c r="C415" s="64" t="s">
        <v>20</v>
      </c>
      <c r="D415" s="75">
        <v>3.0</v>
      </c>
      <c r="E415" s="66">
        <v>1.0</v>
      </c>
      <c r="F415" s="66">
        <v>1.0</v>
      </c>
      <c r="G415" s="68"/>
      <c r="H415" s="67"/>
      <c r="I415" s="67"/>
      <c r="J415" s="67"/>
      <c r="K415" s="65"/>
      <c r="L415" s="67"/>
      <c r="M415" s="67"/>
      <c r="N415" s="67"/>
      <c r="O415" s="67"/>
      <c r="P415" s="67"/>
    </row>
    <row r="416" ht="14.25" customHeight="1">
      <c r="A416" s="49"/>
      <c r="C416" s="69" t="s">
        <v>21</v>
      </c>
      <c r="D416" s="70"/>
      <c r="E416" s="16">
        <v>1.0</v>
      </c>
      <c r="F416" s="16">
        <v>2.0</v>
      </c>
      <c r="G416" s="71"/>
      <c r="H416" s="36"/>
      <c r="I416" s="16">
        <v>1.0</v>
      </c>
      <c r="J416" s="36"/>
      <c r="K416" s="70"/>
      <c r="L416" s="36"/>
      <c r="M416" s="36"/>
      <c r="N416" s="36"/>
      <c r="O416" s="36"/>
      <c r="P416" s="36"/>
    </row>
    <row r="417" ht="14.25" customHeight="1">
      <c r="A417" s="49"/>
      <c r="C417" s="69" t="s">
        <v>22</v>
      </c>
      <c r="D417" s="70"/>
      <c r="E417" s="36"/>
      <c r="F417" s="36"/>
      <c r="G417" s="71"/>
      <c r="H417" s="36"/>
      <c r="I417" s="36"/>
      <c r="J417" s="36"/>
      <c r="K417" s="70"/>
      <c r="L417" s="36"/>
      <c r="M417" s="36"/>
      <c r="N417" s="36"/>
      <c r="O417" s="36"/>
      <c r="P417" s="36"/>
    </row>
    <row r="418" ht="14.25" customHeight="1">
      <c r="A418" s="49"/>
      <c r="C418" s="69" t="s">
        <v>23</v>
      </c>
      <c r="D418" s="70"/>
      <c r="E418" s="16">
        <v>1.0</v>
      </c>
      <c r="F418" s="36"/>
      <c r="G418" s="71"/>
      <c r="H418" s="16">
        <v>1.0</v>
      </c>
      <c r="I418" s="36"/>
      <c r="J418" s="36"/>
      <c r="K418" s="70"/>
      <c r="L418" s="36"/>
      <c r="M418" s="36"/>
      <c r="N418" s="36"/>
      <c r="O418" s="36"/>
      <c r="P418" s="36"/>
    </row>
    <row r="419" ht="14.25" customHeight="1">
      <c r="A419" s="49"/>
      <c r="C419" s="69" t="s">
        <v>24</v>
      </c>
      <c r="D419" s="70"/>
      <c r="E419" s="36"/>
      <c r="F419" s="36"/>
      <c r="G419" s="71"/>
      <c r="H419" s="36"/>
      <c r="I419" s="36"/>
      <c r="J419" s="36"/>
      <c r="K419" s="70"/>
      <c r="L419" s="36"/>
      <c r="M419" s="36"/>
      <c r="N419" s="36"/>
      <c r="O419" s="36"/>
      <c r="P419" s="36"/>
    </row>
    <row r="420" ht="14.25" customHeight="1">
      <c r="A420" s="49"/>
      <c r="C420" s="69" t="s">
        <v>25</v>
      </c>
      <c r="D420" s="70"/>
      <c r="E420" s="36"/>
      <c r="F420" s="36"/>
      <c r="G420" s="71"/>
      <c r="H420" s="36"/>
      <c r="I420" s="36"/>
      <c r="J420" s="36"/>
      <c r="K420" s="70"/>
      <c r="L420" s="36"/>
      <c r="M420" s="36"/>
      <c r="N420" s="36"/>
      <c r="O420" s="36"/>
      <c r="P420" s="36"/>
    </row>
    <row r="421" ht="14.25" customHeight="1">
      <c r="A421" s="56"/>
      <c r="B421" s="57"/>
      <c r="C421" s="77" t="s">
        <v>26</v>
      </c>
      <c r="D421" s="72"/>
      <c r="E421" s="73"/>
      <c r="F421" s="73"/>
      <c r="G421" s="74"/>
      <c r="H421" s="73"/>
      <c r="I421" s="73"/>
      <c r="J421" s="73"/>
      <c r="K421" s="72"/>
      <c r="L421" s="73"/>
      <c r="M421" s="73"/>
      <c r="N421" s="73"/>
      <c r="O421" s="73"/>
      <c r="P421" s="73"/>
    </row>
    <row r="422" ht="14.25" customHeight="1">
      <c r="A422" s="62">
        <v>45329.0</v>
      </c>
      <c r="B422" s="63" t="s">
        <v>42</v>
      </c>
      <c r="C422" s="64" t="s">
        <v>20</v>
      </c>
      <c r="D422" s="75">
        <v>2.0</v>
      </c>
      <c r="E422" s="67"/>
      <c r="F422" s="66">
        <v>5.0</v>
      </c>
      <c r="G422" s="64">
        <v>2.0</v>
      </c>
      <c r="H422" s="67"/>
      <c r="I422" s="67"/>
      <c r="J422" s="67"/>
      <c r="K422" s="65"/>
      <c r="L422" s="67"/>
      <c r="M422" s="67"/>
      <c r="N422" s="66">
        <v>4.0</v>
      </c>
      <c r="O422" s="67"/>
      <c r="P422" s="67"/>
    </row>
    <row r="423" ht="14.25" customHeight="1">
      <c r="A423" s="49"/>
      <c r="C423" s="69" t="s">
        <v>21</v>
      </c>
      <c r="D423" s="70"/>
      <c r="E423" s="36"/>
      <c r="F423" s="36"/>
      <c r="G423" s="71"/>
      <c r="H423" s="36"/>
      <c r="I423" s="36"/>
      <c r="J423" s="36"/>
      <c r="K423" s="70"/>
      <c r="L423" s="36"/>
      <c r="M423" s="36"/>
      <c r="N423" s="36"/>
      <c r="O423" s="36"/>
      <c r="P423" s="36"/>
    </row>
    <row r="424" ht="14.25" customHeight="1">
      <c r="A424" s="49"/>
      <c r="C424" s="69" t="s">
        <v>22</v>
      </c>
      <c r="D424" s="70"/>
      <c r="E424" s="36"/>
      <c r="F424" s="36"/>
      <c r="G424" s="71"/>
      <c r="H424" s="36"/>
      <c r="I424" s="36"/>
      <c r="J424" s="36"/>
      <c r="K424" s="70"/>
      <c r="L424" s="36"/>
      <c r="M424" s="36"/>
      <c r="N424" s="36"/>
      <c r="O424" s="36"/>
      <c r="P424" s="36"/>
    </row>
    <row r="425" ht="14.25" customHeight="1">
      <c r="A425" s="49"/>
      <c r="C425" s="69" t="s">
        <v>23</v>
      </c>
      <c r="D425" s="70"/>
      <c r="E425" s="36"/>
      <c r="F425" s="36"/>
      <c r="G425" s="71"/>
      <c r="H425" s="36"/>
      <c r="I425" s="36"/>
      <c r="J425" s="36"/>
      <c r="K425" s="70"/>
      <c r="L425" s="36"/>
      <c r="M425" s="36"/>
      <c r="N425" s="36"/>
      <c r="O425" s="36"/>
      <c r="P425" s="36"/>
    </row>
    <row r="426" ht="14.25" customHeight="1">
      <c r="A426" s="49"/>
      <c r="C426" s="69" t="s">
        <v>24</v>
      </c>
      <c r="D426" s="70"/>
      <c r="E426" s="36"/>
      <c r="F426" s="36"/>
      <c r="G426" s="71"/>
      <c r="H426" s="36"/>
      <c r="I426" s="36"/>
      <c r="J426" s="36"/>
      <c r="K426" s="70"/>
      <c r="L426" s="36"/>
      <c r="M426" s="36"/>
      <c r="N426" s="36"/>
      <c r="O426" s="36"/>
      <c r="P426" s="36"/>
    </row>
    <row r="427" ht="14.25" customHeight="1">
      <c r="A427" s="49"/>
      <c r="C427" s="69" t="s">
        <v>25</v>
      </c>
      <c r="D427" s="70"/>
      <c r="E427" s="36"/>
      <c r="F427" s="36"/>
      <c r="G427" s="71"/>
      <c r="H427" s="36"/>
      <c r="I427" s="36"/>
      <c r="J427" s="36"/>
      <c r="K427" s="70"/>
      <c r="L427" s="36"/>
      <c r="M427" s="36"/>
      <c r="N427" s="36"/>
      <c r="O427" s="36"/>
      <c r="P427" s="36"/>
    </row>
    <row r="428" ht="14.25" customHeight="1">
      <c r="A428" s="56"/>
      <c r="B428" s="57"/>
      <c r="C428" s="77" t="s">
        <v>26</v>
      </c>
      <c r="D428" s="72"/>
      <c r="E428" s="73"/>
      <c r="F428" s="73"/>
      <c r="G428" s="74"/>
      <c r="H428" s="73"/>
      <c r="I428" s="73"/>
      <c r="J428" s="73"/>
      <c r="K428" s="72"/>
      <c r="L428" s="73"/>
      <c r="M428" s="73"/>
      <c r="N428" s="73"/>
      <c r="O428" s="73"/>
      <c r="P428" s="73"/>
    </row>
    <row r="429" ht="14.25" customHeight="1">
      <c r="A429" s="62">
        <v>45329.0</v>
      </c>
      <c r="B429" s="63" t="s">
        <v>42</v>
      </c>
      <c r="C429" s="64" t="s">
        <v>20</v>
      </c>
      <c r="D429" s="75">
        <v>8.0</v>
      </c>
      <c r="E429" s="66">
        <v>1.0</v>
      </c>
      <c r="F429" s="67"/>
      <c r="G429" s="68"/>
      <c r="H429" s="67"/>
      <c r="I429" s="67"/>
      <c r="J429" s="67"/>
      <c r="K429" s="65"/>
      <c r="L429" s="67"/>
      <c r="M429" s="67"/>
      <c r="N429" s="66">
        <v>1.0</v>
      </c>
      <c r="O429" s="67"/>
      <c r="P429" s="67"/>
    </row>
    <row r="430" ht="14.25" customHeight="1">
      <c r="A430" s="49"/>
      <c r="C430" s="69" t="s">
        <v>21</v>
      </c>
      <c r="D430" s="76">
        <v>1.0</v>
      </c>
      <c r="E430" s="36"/>
      <c r="F430" s="36"/>
      <c r="G430" s="71"/>
      <c r="H430" s="36"/>
      <c r="I430" s="36"/>
      <c r="J430" s="36"/>
      <c r="K430" s="70"/>
      <c r="L430" s="36"/>
      <c r="M430" s="36"/>
      <c r="N430" s="36"/>
      <c r="O430" s="36"/>
      <c r="P430" s="36"/>
    </row>
    <row r="431" ht="14.25" customHeight="1">
      <c r="A431" s="49"/>
      <c r="C431" s="69" t="s">
        <v>22</v>
      </c>
      <c r="D431" s="70"/>
      <c r="E431" s="36"/>
      <c r="F431" s="36"/>
      <c r="G431" s="71"/>
      <c r="H431" s="36"/>
      <c r="I431" s="36"/>
      <c r="J431" s="36"/>
      <c r="K431" s="70"/>
      <c r="L431" s="36"/>
      <c r="M431" s="36"/>
      <c r="N431" s="36"/>
      <c r="O431" s="36"/>
      <c r="P431" s="36"/>
    </row>
    <row r="432" ht="14.25" customHeight="1">
      <c r="A432" s="49"/>
      <c r="C432" s="69" t="s">
        <v>23</v>
      </c>
      <c r="D432" s="70"/>
      <c r="E432" s="36"/>
      <c r="F432" s="16">
        <v>1.0</v>
      </c>
      <c r="G432" s="71"/>
      <c r="H432" s="16">
        <v>1.0</v>
      </c>
      <c r="I432" s="36"/>
      <c r="J432" s="36"/>
      <c r="K432" s="70"/>
      <c r="L432" s="36"/>
      <c r="M432" s="36"/>
      <c r="N432" s="36"/>
      <c r="O432" s="36"/>
      <c r="P432" s="36"/>
    </row>
    <row r="433" ht="14.25" customHeight="1">
      <c r="A433" s="49"/>
      <c r="C433" s="69" t="s">
        <v>24</v>
      </c>
      <c r="D433" s="70"/>
      <c r="E433" s="16">
        <v>1.0</v>
      </c>
      <c r="F433" s="36"/>
      <c r="G433" s="71"/>
      <c r="H433" s="16">
        <v>1.0</v>
      </c>
      <c r="I433" s="36"/>
      <c r="J433" s="36"/>
      <c r="K433" s="70"/>
      <c r="L433" s="36"/>
      <c r="M433" s="36"/>
      <c r="N433" s="36"/>
      <c r="O433" s="36"/>
      <c r="P433" s="36"/>
    </row>
    <row r="434" ht="14.25" customHeight="1">
      <c r="A434" s="49"/>
      <c r="C434" s="69" t="s">
        <v>25</v>
      </c>
      <c r="D434" s="76">
        <v>1.0</v>
      </c>
      <c r="E434" s="36"/>
      <c r="F434" s="36"/>
      <c r="G434" s="71"/>
      <c r="H434" s="36"/>
      <c r="I434" s="36"/>
      <c r="J434" s="36"/>
      <c r="K434" s="70"/>
      <c r="L434" s="36"/>
      <c r="M434" s="36"/>
      <c r="N434" s="36"/>
      <c r="O434" s="36"/>
      <c r="P434" s="36"/>
    </row>
    <row r="435" ht="14.25" customHeight="1">
      <c r="A435" s="56"/>
      <c r="B435" s="57"/>
      <c r="C435" s="77" t="s">
        <v>26</v>
      </c>
      <c r="D435" s="72"/>
      <c r="E435" s="73"/>
      <c r="F435" s="73"/>
      <c r="G435" s="74"/>
      <c r="H435" s="73"/>
      <c r="I435" s="73"/>
      <c r="J435" s="73"/>
      <c r="K435" s="72"/>
      <c r="L435" s="73"/>
      <c r="M435" s="73"/>
      <c r="N435" s="73"/>
      <c r="O435" s="73"/>
      <c r="P435" s="73"/>
    </row>
    <row r="436" ht="14.25" customHeight="1">
      <c r="A436" s="62">
        <v>45330.0</v>
      </c>
      <c r="B436" s="63" t="s">
        <v>44</v>
      </c>
      <c r="C436" s="64" t="s">
        <v>20</v>
      </c>
      <c r="D436" s="65"/>
      <c r="E436" s="66">
        <v>1.0</v>
      </c>
      <c r="F436" s="67"/>
      <c r="G436" s="68"/>
      <c r="H436" s="67"/>
      <c r="I436" s="66">
        <v>1.0</v>
      </c>
      <c r="J436" s="67"/>
      <c r="K436" s="65"/>
      <c r="L436" s="67"/>
      <c r="M436" s="67"/>
      <c r="N436" s="67"/>
      <c r="O436" s="67"/>
      <c r="P436" s="67"/>
    </row>
    <row r="437" ht="14.25" customHeight="1">
      <c r="A437" s="49"/>
      <c r="C437" s="69" t="s">
        <v>21</v>
      </c>
      <c r="D437" s="76">
        <v>2.0</v>
      </c>
      <c r="E437" s="16">
        <v>3.0</v>
      </c>
      <c r="F437" s="16">
        <v>3.0</v>
      </c>
      <c r="G437" s="71"/>
      <c r="H437" s="36"/>
      <c r="I437" s="16">
        <v>1.0</v>
      </c>
      <c r="J437" s="36"/>
      <c r="K437" s="70"/>
      <c r="L437" s="36"/>
      <c r="M437" s="36"/>
      <c r="N437" s="16">
        <v>3.0</v>
      </c>
      <c r="O437" s="16">
        <v>4.0</v>
      </c>
      <c r="P437" s="36"/>
    </row>
    <row r="438" ht="14.25" customHeight="1">
      <c r="A438" s="49"/>
      <c r="C438" s="69" t="s">
        <v>22</v>
      </c>
      <c r="D438" s="70"/>
      <c r="E438" s="36"/>
      <c r="F438" s="36"/>
      <c r="G438" s="71"/>
      <c r="H438" s="36"/>
      <c r="I438" s="36"/>
      <c r="J438" s="36"/>
      <c r="K438" s="70"/>
      <c r="L438" s="36"/>
      <c r="M438" s="36"/>
      <c r="N438" s="36"/>
      <c r="O438" s="36"/>
      <c r="P438" s="36"/>
    </row>
    <row r="439" ht="14.25" customHeight="1">
      <c r="A439" s="49"/>
      <c r="C439" s="69" t="s">
        <v>23</v>
      </c>
      <c r="D439" s="76">
        <v>1.0</v>
      </c>
      <c r="E439" s="36"/>
      <c r="F439" s="16">
        <v>1.0</v>
      </c>
      <c r="G439" s="71"/>
      <c r="H439" s="36"/>
      <c r="I439" s="16">
        <v>1.0</v>
      </c>
      <c r="J439" s="36"/>
      <c r="K439" s="70"/>
      <c r="L439" s="36"/>
      <c r="M439" s="36"/>
      <c r="N439" s="36"/>
      <c r="O439" s="36"/>
      <c r="P439" s="36"/>
    </row>
    <row r="440" ht="14.25" customHeight="1">
      <c r="A440" s="49"/>
      <c r="C440" s="69" t="s">
        <v>24</v>
      </c>
      <c r="D440" s="70"/>
      <c r="E440" s="36"/>
      <c r="F440" s="36"/>
      <c r="G440" s="71"/>
      <c r="H440" s="36"/>
      <c r="I440" s="36"/>
      <c r="J440" s="36"/>
      <c r="K440" s="70"/>
      <c r="L440" s="36"/>
      <c r="M440" s="36"/>
      <c r="N440" s="36"/>
      <c r="O440" s="36"/>
      <c r="P440" s="36"/>
    </row>
    <row r="441" ht="14.25" customHeight="1">
      <c r="A441" s="49"/>
      <c r="C441" s="69" t="s">
        <v>25</v>
      </c>
      <c r="D441" s="70"/>
      <c r="E441" s="36"/>
      <c r="F441" s="36"/>
      <c r="G441" s="71"/>
      <c r="H441" s="36"/>
      <c r="I441" s="36"/>
      <c r="J441" s="36"/>
      <c r="K441" s="70"/>
      <c r="L441" s="36"/>
      <c r="M441" s="36"/>
      <c r="N441" s="36"/>
      <c r="O441" s="36"/>
      <c r="P441" s="36"/>
    </row>
    <row r="442" ht="14.25" customHeight="1">
      <c r="A442" s="56"/>
      <c r="B442" s="57"/>
      <c r="C442" s="77" t="s">
        <v>26</v>
      </c>
      <c r="D442" s="72"/>
      <c r="E442" s="73"/>
      <c r="F442" s="73"/>
      <c r="G442" s="74"/>
      <c r="H442" s="73"/>
      <c r="I442" s="73"/>
      <c r="J442" s="73"/>
      <c r="K442" s="72"/>
      <c r="L442" s="73"/>
      <c r="M442" s="73"/>
      <c r="N442" s="73"/>
      <c r="O442" s="73"/>
      <c r="P442" s="73"/>
    </row>
    <row r="443" ht="14.25" customHeight="1">
      <c r="A443" s="62">
        <v>45330.0</v>
      </c>
      <c r="B443" s="63" t="s">
        <v>43</v>
      </c>
      <c r="C443" s="64" t="s">
        <v>20</v>
      </c>
      <c r="D443" s="75">
        <v>7.0</v>
      </c>
      <c r="E443" s="67"/>
      <c r="F443" s="67"/>
      <c r="G443" s="68"/>
      <c r="H443" s="67"/>
      <c r="I443" s="67"/>
      <c r="J443" s="67"/>
      <c r="K443" s="65"/>
      <c r="L443" s="67"/>
      <c r="M443" s="67"/>
      <c r="N443" s="67"/>
      <c r="O443" s="67"/>
      <c r="P443" s="67"/>
    </row>
    <row r="444" ht="14.25" customHeight="1">
      <c r="A444" s="49"/>
      <c r="C444" s="69" t="s">
        <v>21</v>
      </c>
      <c r="D444" s="70"/>
      <c r="E444" s="36"/>
      <c r="F444" s="36"/>
      <c r="G444" s="71"/>
      <c r="H444" s="36"/>
      <c r="I444" s="36"/>
      <c r="J444" s="36"/>
      <c r="K444" s="70"/>
      <c r="L444" s="36"/>
      <c r="M444" s="36"/>
      <c r="N444" s="36"/>
      <c r="O444" s="36"/>
      <c r="P444" s="36"/>
    </row>
    <row r="445" ht="14.25" customHeight="1">
      <c r="A445" s="49"/>
      <c r="C445" s="69" t="s">
        <v>22</v>
      </c>
      <c r="D445" s="70"/>
      <c r="E445" s="36"/>
      <c r="F445" s="36"/>
      <c r="G445" s="71"/>
      <c r="H445" s="36"/>
      <c r="I445" s="36"/>
      <c r="J445" s="36"/>
      <c r="K445" s="70"/>
      <c r="L445" s="36"/>
      <c r="M445" s="36"/>
      <c r="N445" s="36"/>
      <c r="O445" s="36"/>
      <c r="P445" s="36"/>
    </row>
    <row r="446" ht="14.25" customHeight="1">
      <c r="A446" s="49"/>
      <c r="C446" s="69" t="s">
        <v>23</v>
      </c>
      <c r="D446" s="76">
        <v>1.0</v>
      </c>
      <c r="E446" s="36"/>
      <c r="F446" s="36"/>
      <c r="G446" s="71"/>
      <c r="H446" s="36"/>
      <c r="I446" s="36"/>
      <c r="J446" s="36"/>
      <c r="K446" s="70"/>
      <c r="L446" s="36"/>
      <c r="M446" s="36"/>
      <c r="N446" s="36"/>
      <c r="O446" s="36"/>
      <c r="P446" s="36"/>
    </row>
    <row r="447" ht="14.25" customHeight="1">
      <c r="A447" s="49"/>
      <c r="C447" s="69" t="s">
        <v>24</v>
      </c>
      <c r="D447" s="70"/>
      <c r="E447" s="36"/>
      <c r="F447" s="36"/>
      <c r="G447" s="71"/>
      <c r="H447" s="36"/>
      <c r="I447" s="36"/>
      <c r="J447" s="36"/>
      <c r="K447" s="70"/>
      <c r="L447" s="36"/>
      <c r="M447" s="36"/>
      <c r="N447" s="36"/>
      <c r="O447" s="36"/>
      <c r="P447" s="36"/>
    </row>
    <row r="448" ht="14.25" customHeight="1">
      <c r="A448" s="49"/>
      <c r="C448" s="69" t="s">
        <v>25</v>
      </c>
      <c r="D448" s="70"/>
      <c r="E448" s="36"/>
      <c r="F448" s="36"/>
      <c r="G448" s="71"/>
      <c r="H448" s="36"/>
      <c r="I448" s="36"/>
      <c r="J448" s="36"/>
      <c r="K448" s="70"/>
      <c r="L448" s="36"/>
      <c r="M448" s="36"/>
      <c r="N448" s="36"/>
      <c r="O448" s="36"/>
      <c r="P448" s="36"/>
    </row>
    <row r="449" ht="14.25" customHeight="1">
      <c r="A449" s="56"/>
      <c r="B449" s="57"/>
      <c r="C449" s="77" t="s">
        <v>26</v>
      </c>
      <c r="D449" s="72"/>
      <c r="E449" s="73"/>
      <c r="F449" s="73"/>
      <c r="G449" s="74"/>
      <c r="H449" s="73"/>
      <c r="I449" s="73"/>
      <c r="J449" s="73"/>
      <c r="K449" s="72"/>
      <c r="L449" s="73"/>
      <c r="M449" s="73"/>
      <c r="N449" s="73"/>
      <c r="O449" s="73"/>
      <c r="P449" s="73"/>
    </row>
    <row r="450" ht="14.25" customHeight="1">
      <c r="A450" s="62">
        <v>45331.0</v>
      </c>
      <c r="B450" s="63" t="s">
        <v>43</v>
      </c>
      <c r="C450" s="64" t="s">
        <v>20</v>
      </c>
      <c r="D450" s="75">
        <v>9.0</v>
      </c>
      <c r="E450" s="66">
        <v>2.0</v>
      </c>
      <c r="F450" s="66">
        <v>1.0</v>
      </c>
      <c r="G450" s="68"/>
      <c r="H450" s="66">
        <v>3.0</v>
      </c>
      <c r="I450" s="67"/>
      <c r="J450" s="67"/>
      <c r="K450" s="65"/>
      <c r="L450" s="67"/>
      <c r="M450" s="67"/>
      <c r="N450" s="67"/>
      <c r="O450" s="67"/>
      <c r="P450" s="67"/>
    </row>
    <row r="451" ht="14.25" customHeight="1">
      <c r="A451" s="49"/>
      <c r="C451" s="69" t="s">
        <v>21</v>
      </c>
      <c r="D451" s="76">
        <v>1.0</v>
      </c>
      <c r="E451" s="16">
        <v>1.0</v>
      </c>
      <c r="F451" s="36"/>
      <c r="G451" s="71"/>
      <c r="H451" s="16">
        <v>1.0</v>
      </c>
      <c r="I451" s="36"/>
      <c r="J451" s="36"/>
      <c r="K451" s="70"/>
      <c r="L451" s="36"/>
      <c r="M451" s="36"/>
      <c r="N451" s="36"/>
      <c r="O451" s="36"/>
      <c r="P451" s="36"/>
    </row>
    <row r="452" ht="14.25" customHeight="1">
      <c r="A452" s="49"/>
      <c r="C452" s="69" t="s">
        <v>22</v>
      </c>
      <c r="D452" s="70"/>
      <c r="E452" s="36"/>
      <c r="F452" s="36"/>
      <c r="G452" s="71"/>
      <c r="H452" s="36"/>
      <c r="I452" s="36"/>
      <c r="J452" s="36"/>
      <c r="K452" s="70"/>
      <c r="L452" s="36"/>
      <c r="M452" s="36"/>
      <c r="N452" s="36"/>
      <c r="O452" s="36"/>
      <c r="P452" s="36"/>
    </row>
    <row r="453" ht="14.25" customHeight="1">
      <c r="A453" s="49"/>
      <c r="C453" s="69" t="s">
        <v>23</v>
      </c>
      <c r="D453" s="70"/>
      <c r="E453" s="36"/>
      <c r="F453" s="36"/>
      <c r="G453" s="71"/>
      <c r="H453" s="36"/>
      <c r="I453" s="36"/>
      <c r="J453" s="36"/>
      <c r="K453" s="70"/>
      <c r="L453" s="36"/>
      <c r="M453" s="36"/>
      <c r="N453" s="36"/>
      <c r="O453" s="36"/>
      <c r="P453" s="36"/>
    </row>
    <row r="454" ht="14.25" customHeight="1">
      <c r="A454" s="49"/>
      <c r="C454" s="69" t="s">
        <v>24</v>
      </c>
      <c r="D454" s="76">
        <v>1.0</v>
      </c>
      <c r="E454" s="36"/>
      <c r="F454" s="36"/>
      <c r="G454" s="71"/>
      <c r="H454" s="36"/>
      <c r="I454" s="36"/>
      <c r="J454" s="36"/>
      <c r="K454" s="70"/>
      <c r="L454" s="36"/>
      <c r="M454" s="36"/>
      <c r="N454" s="36"/>
      <c r="O454" s="36"/>
      <c r="P454" s="36"/>
    </row>
    <row r="455" ht="14.25" customHeight="1">
      <c r="A455" s="49"/>
      <c r="C455" s="69" t="s">
        <v>25</v>
      </c>
      <c r="D455" s="70"/>
      <c r="E455" s="36"/>
      <c r="F455" s="36"/>
      <c r="G455" s="71"/>
      <c r="H455" s="36"/>
      <c r="I455" s="36"/>
      <c r="J455" s="36"/>
      <c r="K455" s="70"/>
      <c r="L455" s="36"/>
      <c r="M455" s="36"/>
      <c r="N455" s="36"/>
      <c r="O455" s="36"/>
      <c r="P455" s="36"/>
    </row>
    <row r="456" ht="14.25" customHeight="1">
      <c r="A456" s="56"/>
      <c r="B456" s="57"/>
      <c r="C456" s="77" t="s">
        <v>26</v>
      </c>
      <c r="D456" s="72"/>
      <c r="E456" s="73"/>
      <c r="F456" s="73"/>
      <c r="G456" s="74"/>
      <c r="H456" s="73"/>
      <c r="I456" s="73"/>
      <c r="J456" s="73"/>
      <c r="K456" s="72"/>
      <c r="L456" s="73"/>
      <c r="M456" s="73"/>
      <c r="N456" s="73"/>
      <c r="O456" s="73"/>
      <c r="P456" s="73"/>
    </row>
    <row r="457" ht="14.25" customHeight="1">
      <c r="A457" s="62">
        <v>45356.0</v>
      </c>
      <c r="B457" s="63" t="s">
        <v>41</v>
      </c>
      <c r="C457" s="64" t="s">
        <v>20</v>
      </c>
      <c r="D457" s="65"/>
      <c r="E457" s="66">
        <v>2.0</v>
      </c>
      <c r="F457" s="67"/>
      <c r="G457" s="68"/>
      <c r="H457" s="67"/>
      <c r="I457" s="67"/>
      <c r="J457" s="67"/>
      <c r="K457" s="65"/>
      <c r="L457" s="67"/>
      <c r="M457" s="67"/>
      <c r="N457" s="67"/>
      <c r="O457" s="67"/>
      <c r="P457" s="67"/>
    </row>
    <row r="458" ht="14.25" customHeight="1">
      <c r="A458" s="49"/>
      <c r="C458" s="69" t="s">
        <v>21</v>
      </c>
      <c r="D458" s="76">
        <v>1.0</v>
      </c>
      <c r="E458" s="36"/>
      <c r="F458" s="36"/>
      <c r="G458" s="71"/>
      <c r="H458" s="36"/>
      <c r="I458" s="36"/>
      <c r="J458" s="36"/>
      <c r="K458" s="70"/>
      <c r="L458" s="36"/>
      <c r="M458" s="36"/>
      <c r="N458" s="36"/>
      <c r="O458" s="36"/>
      <c r="P458" s="36"/>
    </row>
    <row r="459" ht="14.25" customHeight="1">
      <c r="A459" s="49"/>
      <c r="C459" s="69" t="s">
        <v>22</v>
      </c>
      <c r="D459" s="70"/>
      <c r="E459" s="36"/>
      <c r="F459" s="36"/>
      <c r="G459" s="71"/>
      <c r="H459" s="36"/>
      <c r="I459" s="36"/>
      <c r="J459" s="36"/>
      <c r="K459" s="70"/>
      <c r="L459" s="36"/>
      <c r="M459" s="36"/>
      <c r="N459" s="36"/>
      <c r="O459" s="36"/>
      <c r="P459" s="36"/>
    </row>
    <row r="460" ht="14.25" customHeight="1">
      <c r="A460" s="49"/>
      <c r="C460" s="69" t="s">
        <v>23</v>
      </c>
      <c r="D460" s="70"/>
      <c r="E460" s="36"/>
      <c r="F460" s="36"/>
      <c r="G460" s="71"/>
      <c r="H460" s="36"/>
      <c r="I460" s="36"/>
      <c r="J460" s="36"/>
      <c r="K460" s="70"/>
      <c r="L460" s="36"/>
      <c r="M460" s="36"/>
      <c r="N460" s="36"/>
      <c r="O460" s="36"/>
      <c r="P460" s="36"/>
    </row>
    <row r="461" ht="14.25" customHeight="1">
      <c r="A461" s="49"/>
      <c r="C461" s="69" t="s">
        <v>24</v>
      </c>
      <c r="D461" s="70"/>
      <c r="E461" s="36"/>
      <c r="F461" s="36"/>
      <c r="G461" s="71"/>
      <c r="H461" s="36"/>
      <c r="I461" s="36"/>
      <c r="J461" s="36"/>
      <c r="K461" s="70"/>
      <c r="L461" s="36"/>
      <c r="M461" s="36"/>
      <c r="N461" s="36"/>
      <c r="O461" s="36"/>
      <c r="P461" s="36"/>
    </row>
    <row r="462" ht="14.25" customHeight="1">
      <c r="A462" s="49"/>
      <c r="C462" s="69" t="s">
        <v>25</v>
      </c>
      <c r="D462" s="70"/>
      <c r="E462" s="36"/>
      <c r="F462" s="36"/>
      <c r="G462" s="71"/>
      <c r="H462" s="36"/>
      <c r="I462" s="36"/>
      <c r="J462" s="36"/>
      <c r="K462" s="70"/>
      <c r="L462" s="36"/>
      <c r="M462" s="36"/>
      <c r="N462" s="36"/>
      <c r="O462" s="36"/>
      <c r="P462" s="36"/>
    </row>
    <row r="463" ht="14.25" customHeight="1">
      <c r="A463" s="56"/>
      <c r="B463" s="57"/>
      <c r="C463" s="77" t="s">
        <v>26</v>
      </c>
      <c r="D463" s="72"/>
      <c r="E463" s="73"/>
      <c r="F463" s="73"/>
      <c r="G463" s="74"/>
      <c r="H463" s="73"/>
      <c r="I463" s="73"/>
      <c r="J463" s="73"/>
      <c r="K463" s="72"/>
      <c r="L463" s="73"/>
      <c r="M463" s="73"/>
      <c r="N463" s="73"/>
      <c r="O463" s="73"/>
      <c r="P463" s="73"/>
    </row>
    <row r="464" ht="14.25" customHeight="1">
      <c r="A464" s="62">
        <v>45356.0</v>
      </c>
      <c r="B464" s="63" t="s">
        <v>44</v>
      </c>
      <c r="C464" s="64" t="s">
        <v>20</v>
      </c>
      <c r="D464" s="75">
        <v>1.0</v>
      </c>
      <c r="E464" s="67"/>
      <c r="F464" s="67"/>
      <c r="G464" s="68"/>
      <c r="H464" s="67"/>
      <c r="I464" s="67"/>
      <c r="J464" s="67"/>
      <c r="K464" s="65"/>
      <c r="L464" s="67"/>
      <c r="M464" s="67"/>
      <c r="N464" s="67"/>
      <c r="O464" s="67"/>
      <c r="P464" s="67"/>
    </row>
    <row r="465" ht="14.25" customHeight="1">
      <c r="A465" s="49"/>
      <c r="C465" s="69" t="s">
        <v>21</v>
      </c>
      <c r="D465" s="76">
        <v>2.0</v>
      </c>
      <c r="E465" s="36"/>
      <c r="F465" s="36"/>
      <c r="G465" s="71"/>
      <c r="H465" s="36"/>
      <c r="I465" s="36"/>
      <c r="J465" s="36"/>
      <c r="K465" s="70"/>
      <c r="L465" s="36"/>
      <c r="M465" s="36"/>
      <c r="N465" s="36"/>
      <c r="O465" s="36"/>
      <c r="P465" s="36"/>
    </row>
    <row r="466" ht="14.25" customHeight="1">
      <c r="A466" s="49"/>
      <c r="C466" s="69" t="s">
        <v>22</v>
      </c>
      <c r="D466" s="70"/>
      <c r="E466" s="36"/>
      <c r="F466" s="36"/>
      <c r="G466" s="71"/>
      <c r="H466" s="36"/>
      <c r="I466" s="36"/>
      <c r="J466" s="36"/>
      <c r="K466" s="70"/>
      <c r="L466" s="36"/>
      <c r="M466" s="36"/>
      <c r="N466" s="36"/>
      <c r="O466" s="36"/>
      <c r="P466" s="36"/>
    </row>
    <row r="467" ht="14.25" customHeight="1">
      <c r="A467" s="49"/>
      <c r="C467" s="69" t="s">
        <v>23</v>
      </c>
      <c r="D467" s="70"/>
      <c r="E467" s="36"/>
      <c r="F467" s="36"/>
      <c r="G467" s="71"/>
      <c r="H467" s="36"/>
      <c r="I467" s="36"/>
      <c r="J467" s="36"/>
      <c r="K467" s="70"/>
      <c r="L467" s="36"/>
      <c r="M467" s="36"/>
      <c r="N467" s="36"/>
      <c r="O467" s="36"/>
      <c r="P467" s="36"/>
    </row>
    <row r="468" ht="14.25" customHeight="1">
      <c r="A468" s="49"/>
      <c r="C468" s="69" t="s">
        <v>24</v>
      </c>
      <c r="D468" s="76">
        <v>1.0</v>
      </c>
      <c r="E468" s="36"/>
      <c r="F468" s="36"/>
      <c r="G468" s="71"/>
      <c r="H468" s="36"/>
      <c r="I468" s="36"/>
      <c r="J468" s="36"/>
      <c r="K468" s="70"/>
      <c r="L468" s="36"/>
      <c r="M468" s="36"/>
      <c r="N468" s="36"/>
      <c r="O468" s="36"/>
      <c r="P468" s="36"/>
    </row>
    <row r="469" ht="14.25" customHeight="1">
      <c r="A469" s="49"/>
      <c r="C469" s="69" t="s">
        <v>25</v>
      </c>
      <c r="D469" s="70"/>
      <c r="E469" s="36"/>
      <c r="F469" s="36"/>
      <c r="G469" s="71"/>
      <c r="H469" s="36"/>
      <c r="I469" s="36"/>
      <c r="J469" s="36"/>
      <c r="K469" s="70"/>
      <c r="L469" s="36"/>
      <c r="M469" s="36"/>
      <c r="N469" s="36"/>
      <c r="O469" s="36"/>
      <c r="P469" s="36"/>
    </row>
    <row r="470" ht="14.25" customHeight="1">
      <c r="A470" s="56"/>
      <c r="B470" s="57"/>
      <c r="C470" s="77" t="s">
        <v>26</v>
      </c>
      <c r="D470" s="72"/>
      <c r="E470" s="73"/>
      <c r="F470" s="73"/>
      <c r="G470" s="74"/>
      <c r="H470" s="73"/>
      <c r="I470" s="73"/>
      <c r="J470" s="73"/>
      <c r="K470" s="72"/>
      <c r="L470" s="73"/>
      <c r="M470" s="73"/>
      <c r="N470" s="73"/>
      <c r="O470" s="73"/>
      <c r="P470" s="73"/>
    </row>
    <row r="471" ht="14.25" customHeight="1">
      <c r="A471" s="62">
        <v>45357.0</v>
      </c>
      <c r="B471" s="63" t="s">
        <v>43</v>
      </c>
      <c r="C471" s="64" t="s">
        <v>20</v>
      </c>
      <c r="D471" s="75">
        <v>5.0</v>
      </c>
      <c r="E471" s="66">
        <v>1.0</v>
      </c>
      <c r="F471" s="66">
        <v>1.0</v>
      </c>
      <c r="G471" s="68"/>
      <c r="H471" s="67"/>
      <c r="I471" s="67"/>
      <c r="J471" s="67"/>
      <c r="K471" s="65"/>
      <c r="L471" s="67"/>
      <c r="M471" s="67"/>
      <c r="N471" s="67"/>
      <c r="O471" s="66">
        <v>2.0</v>
      </c>
      <c r="P471" s="67"/>
    </row>
    <row r="472" ht="14.25" customHeight="1">
      <c r="A472" s="49"/>
      <c r="C472" s="69" t="s">
        <v>21</v>
      </c>
      <c r="D472" s="70"/>
      <c r="E472" s="36"/>
      <c r="F472" s="36"/>
      <c r="G472" s="71"/>
      <c r="H472" s="36"/>
      <c r="I472" s="36"/>
      <c r="J472" s="36"/>
      <c r="K472" s="70"/>
      <c r="L472" s="36"/>
      <c r="M472" s="36"/>
      <c r="N472" s="36"/>
      <c r="O472" s="36"/>
      <c r="P472" s="36"/>
    </row>
    <row r="473" ht="14.25" customHeight="1">
      <c r="A473" s="49"/>
      <c r="C473" s="69" t="s">
        <v>22</v>
      </c>
      <c r="D473" s="70"/>
      <c r="E473" s="36"/>
      <c r="F473" s="36"/>
      <c r="G473" s="71"/>
      <c r="H473" s="36"/>
      <c r="I473" s="36"/>
      <c r="J473" s="36"/>
      <c r="K473" s="70"/>
      <c r="L473" s="36"/>
      <c r="M473" s="36"/>
      <c r="N473" s="36"/>
      <c r="O473" s="36"/>
      <c r="P473" s="36"/>
    </row>
    <row r="474" ht="14.25" customHeight="1">
      <c r="A474" s="49"/>
      <c r="C474" s="69" t="s">
        <v>23</v>
      </c>
      <c r="D474" s="70"/>
      <c r="E474" s="36"/>
      <c r="F474" s="36"/>
      <c r="G474" s="71"/>
      <c r="H474" s="36"/>
      <c r="I474" s="36"/>
      <c r="J474" s="36"/>
      <c r="K474" s="70"/>
      <c r="L474" s="36"/>
      <c r="M474" s="36"/>
      <c r="N474" s="36"/>
      <c r="O474" s="36"/>
      <c r="P474" s="36"/>
    </row>
    <row r="475" ht="14.25" customHeight="1">
      <c r="A475" s="49"/>
      <c r="C475" s="69" t="s">
        <v>24</v>
      </c>
      <c r="D475" s="70"/>
      <c r="E475" s="36"/>
      <c r="F475" s="36"/>
      <c r="G475" s="71"/>
      <c r="H475" s="36"/>
      <c r="I475" s="36"/>
      <c r="J475" s="36"/>
      <c r="K475" s="70"/>
      <c r="L475" s="36"/>
      <c r="M475" s="36"/>
      <c r="N475" s="36"/>
      <c r="O475" s="36"/>
      <c r="P475" s="36"/>
    </row>
    <row r="476" ht="14.25" customHeight="1">
      <c r="A476" s="49"/>
      <c r="C476" s="69" t="s">
        <v>25</v>
      </c>
      <c r="D476" s="70"/>
      <c r="E476" s="36"/>
      <c r="F476" s="36"/>
      <c r="G476" s="71"/>
      <c r="H476" s="36"/>
      <c r="I476" s="36"/>
      <c r="J476" s="36"/>
      <c r="K476" s="70"/>
      <c r="L476" s="36"/>
      <c r="M476" s="36"/>
      <c r="N476" s="36"/>
      <c r="O476" s="36"/>
      <c r="P476" s="36"/>
    </row>
    <row r="477" ht="14.25" customHeight="1">
      <c r="A477" s="56"/>
      <c r="B477" s="57"/>
      <c r="C477" s="77" t="s">
        <v>26</v>
      </c>
      <c r="D477" s="72"/>
      <c r="E477" s="73"/>
      <c r="F477" s="73"/>
      <c r="G477" s="74"/>
      <c r="H477" s="73"/>
      <c r="I477" s="73"/>
      <c r="J477" s="73"/>
      <c r="K477" s="72"/>
      <c r="L477" s="73"/>
      <c r="M477" s="73"/>
      <c r="N477" s="73"/>
      <c r="O477" s="73"/>
      <c r="P477" s="73"/>
    </row>
    <row r="478" ht="14.25" customHeight="1">
      <c r="A478" s="78">
        <v>45357.0</v>
      </c>
      <c r="B478" s="63" t="s">
        <v>42</v>
      </c>
      <c r="C478" s="64" t="s">
        <v>20</v>
      </c>
      <c r="D478" s="65"/>
      <c r="E478" s="66">
        <v>4.0</v>
      </c>
      <c r="F478" s="66">
        <v>3.0</v>
      </c>
      <c r="G478" s="64">
        <v>2.0</v>
      </c>
      <c r="H478" s="66">
        <v>4.0</v>
      </c>
      <c r="I478" s="67"/>
      <c r="J478" s="67"/>
      <c r="K478" s="65"/>
      <c r="L478" s="67"/>
      <c r="M478" s="67"/>
      <c r="N478" s="67"/>
      <c r="O478" s="66">
        <v>3.0</v>
      </c>
      <c r="P478" s="67"/>
    </row>
    <row r="479" ht="14.25" customHeight="1">
      <c r="A479" s="49"/>
      <c r="C479" s="69" t="s">
        <v>21</v>
      </c>
      <c r="D479" s="70"/>
      <c r="E479" s="36"/>
      <c r="F479" s="36"/>
      <c r="G479" s="71"/>
      <c r="H479" s="36"/>
      <c r="I479" s="36"/>
      <c r="J479" s="36"/>
      <c r="K479" s="70"/>
      <c r="L479" s="36"/>
      <c r="M479" s="36"/>
      <c r="N479" s="36"/>
      <c r="O479" s="36"/>
      <c r="P479" s="36"/>
    </row>
    <row r="480" ht="14.25" customHeight="1">
      <c r="A480" s="49"/>
      <c r="C480" s="69" t="s">
        <v>22</v>
      </c>
      <c r="D480" s="70"/>
      <c r="E480" s="36"/>
      <c r="F480" s="36"/>
      <c r="G480" s="71"/>
      <c r="H480" s="36"/>
      <c r="I480" s="36"/>
      <c r="J480" s="36"/>
      <c r="K480" s="70"/>
      <c r="L480" s="36"/>
      <c r="M480" s="36"/>
      <c r="N480" s="36"/>
      <c r="O480" s="36"/>
      <c r="P480" s="36"/>
    </row>
    <row r="481" ht="14.25" customHeight="1">
      <c r="A481" s="49"/>
      <c r="C481" s="69" t="s">
        <v>23</v>
      </c>
      <c r="D481" s="70"/>
      <c r="E481" s="36"/>
      <c r="F481" s="36"/>
      <c r="G481" s="71"/>
      <c r="H481" s="36"/>
      <c r="I481" s="36"/>
      <c r="J481" s="36"/>
      <c r="K481" s="70"/>
      <c r="L481" s="36"/>
      <c r="M481" s="36"/>
      <c r="N481" s="36"/>
      <c r="O481" s="36"/>
      <c r="P481" s="36"/>
    </row>
    <row r="482" ht="14.25" customHeight="1">
      <c r="A482" s="49"/>
      <c r="C482" s="69" t="s">
        <v>24</v>
      </c>
      <c r="D482" s="70"/>
      <c r="E482" s="36"/>
      <c r="F482" s="36"/>
      <c r="G482" s="71"/>
      <c r="H482" s="36"/>
      <c r="I482" s="36"/>
      <c r="J482" s="36"/>
      <c r="K482" s="70"/>
      <c r="L482" s="36"/>
      <c r="M482" s="36"/>
      <c r="N482" s="36"/>
      <c r="O482" s="36"/>
      <c r="P482" s="36"/>
    </row>
    <row r="483" ht="14.25" customHeight="1">
      <c r="A483" s="49"/>
      <c r="C483" s="69" t="s">
        <v>25</v>
      </c>
      <c r="D483" s="70"/>
      <c r="E483" s="36"/>
      <c r="F483" s="36"/>
      <c r="G483" s="71"/>
      <c r="H483" s="36"/>
      <c r="I483" s="36"/>
      <c r="J483" s="36"/>
      <c r="K483" s="70"/>
      <c r="L483" s="36"/>
      <c r="M483" s="36"/>
      <c r="N483" s="36"/>
      <c r="O483" s="36"/>
      <c r="P483" s="36"/>
    </row>
    <row r="484" ht="14.25" customHeight="1">
      <c r="A484" s="56"/>
      <c r="B484" s="57"/>
      <c r="C484" s="77" t="s">
        <v>26</v>
      </c>
      <c r="D484" s="72"/>
      <c r="E484" s="73"/>
      <c r="F484" s="73"/>
      <c r="G484" s="74"/>
      <c r="H484" s="73"/>
      <c r="I484" s="73"/>
      <c r="J484" s="73"/>
      <c r="K484" s="72"/>
      <c r="L484" s="73"/>
      <c r="M484" s="73"/>
      <c r="N484" s="73"/>
      <c r="O484" s="73"/>
      <c r="P484" s="73"/>
    </row>
    <row r="485" ht="14.25" customHeight="1">
      <c r="A485" s="62">
        <v>45358.0</v>
      </c>
      <c r="B485" s="63" t="s">
        <v>41</v>
      </c>
      <c r="C485" s="64" t="s">
        <v>20</v>
      </c>
      <c r="D485" s="75">
        <v>1.0</v>
      </c>
      <c r="E485" s="67"/>
      <c r="F485" s="66">
        <v>2.0</v>
      </c>
      <c r="G485" s="68"/>
      <c r="H485" s="67"/>
      <c r="I485" s="67"/>
      <c r="J485" s="67"/>
      <c r="K485" s="65"/>
      <c r="L485" s="67"/>
      <c r="M485" s="67"/>
      <c r="N485" s="67"/>
      <c r="O485" s="66">
        <v>2.0</v>
      </c>
      <c r="P485" s="67"/>
    </row>
    <row r="486" ht="14.25" customHeight="1">
      <c r="A486" s="49"/>
      <c r="C486" s="69" t="s">
        <v>21</v>
      </c>
      <c r="D486" s="76">
        <v>3.0</v>
      </c>
      <c r="E486" s="36"/>
      <c r="F486" s="36"/>
      <c r="G486" s="71"/>
      <c r="H486" s="36"/>
      <c r="I486" s="36"/>
      <c r="J486" s="36"/>
      <c r="K486" s="70"/>
      <c r="L486" s="36"/>
      <c r="M486" s="36"/>
      <c r="N486" s="36"/>
      <c r="O486" s="36"/>
      <c r="P486" s="36"/>
    </row>
    <row r="487" ht="14.25" customHeight="1">
      <c r="A487" s="49"/>
      <c r="C487" s="69" t="s">
        <v>22</v>
      </c>
      <c r="D487" s="70"/>
      <c r="E487" s="36"/>
      <c r="F487" s="36"/>
      <c r="G487" s="71"/>
      <c r="H487" s="36"/>
      <c r="I487" s="36"/>
      <c r="J487" s="36"/>
      <c r="K487" s="70"/>
      <c r="L487" s="36"/>
      <c r="M487" s="36"/>
      <c r="N487" s="36"/>
      <c r="O487" s="36"/>
      <c r="P487" s="36"/>
    </row>
    <row r="488" ht="14.25" customHeight="1">
      <c r="A488" s="49"/>
      <c r="C488" s="69" t="s">
        <v>23</v>
      </c>
      <c r="D488" s="70"/>
      <c r="E488" s="36"/>
      <c r="F488" s="36"/>
      <c r="G488" s="71"/>
      <c r="H488" s="36"/>
      <c r="I488" s="36"/>
      <c r="J488" s="36"/>
      <c r="K488" s="70"/>
      <c r="L488" s="36"/>
      <c r="M488" s="36"/>
      <c r="N488" s="36"/>
      <c r="O488" s="36"/>
      <c r="P488" s="36"/>
    </row>
    <row r="489" ht="14.25" customHeight="1">
      <c r="A489" s="49"/>
      <c r="C489" s="69" t="s">
        <v>24</v>
      </c>
      <c r="D489" s="76">
        <v>1.0</v>
      </c>
      <c r="E489" s="36"/>
      <c r="F489" s="36"/>
      <c r="G489" s="71"/>
      <c r="H489" s="36"/>
      <c r="I489" s="36"/>
      <c r="J489" s="36"/>
      <c r="K489" s="70"/>
      <c r="L489" s="36"/>
      <c r="M489" s="36"/>
      <c r="N489" s="36"/>
      <c r="O489" s="36"/>
      <c r="P489" s="36"/>
    </row>
    <row r="490" ht="14.25" customHeight="1">
      <c r="A490" s="49"/>
      <c r="C490" s="69" t="s">
        <v>25</v>
      </c>
      <c r="D490" s="70"/>
      <c r="E490" s="36"/>
      <c r="F490" s="36"/>
      <c r="G490" s="71"/>
      <c r="H490" s="36"/>
      <c r="I490" s="36"/>
      <c r="J490" s="36"/>
      <c r="K490" s="70"/>
      <c r="L490" s="36"/>
      <c r="M490" s="36"/>
      <c r="N490" s="36"/>
      <c r="O490" s="36"/>
      <c r="P490" s="36"/>
    </row>
    <row r="491" ht="14.25" customHeight="1">
      <c r="A491" s="56"/>
      <c r="B491" s="57"/>
      <c r="C491" s="77" t="s">
        <v>26</v>
      </c>
      <c r="D491" s="72"/>
      <c r="E491" s="73"/>
      <c r="F491" s="73"/>
      <c r="G491" s="74"/>
      <c r="H491" s="73"/>
      <c r="I491" s="73"/>
      <c r="J491" s="73"/>
      <c r="K491" s="72"/>
      <c r="L491" s="73"/>
      <c r="M491" s="73"/>
      <c r="N491" s="73"/>
      <c r="O491" s="73"/>
      <c r="P491" s="73"/>
    </row>
    <row r="492" ht="14.25" customHeight="1">
      <c r="A492" s="62">
        <v>45358.0</v>
      </c>
      <c r="B492" s="63" t="s">
        <v>45</v>
      </c>
      <c r="C492" s="64" t="s">
        <v>20</v>
      </c>
      <c r="D492" s="75">
        <v>3.0</v>
      </c>
      <c r="E492" s="66">
        <v>2.0</v>
      </c>
      <c r="F492" s="66">
        <v>1.0</v>
      </c>
      <c r="G492" s="68"/>
      <c r="H492" s="67"/>
      <c r="I492" s="67"/>
      <c r="J492" s="67"/>
      <c r="K492" s="65"/>
      <c r="L492" s="67"/>
      <c r="M492" s="67"/>
      <c r="N492" s="66">
        <v>1.0</v>
      </c>
      <c r="O492" s="67"/>
      <c r="P492" s="67"/>
    </row>
    <row r="493" ht="14.25" customHeight="1">
      <c r="A493" s="49"/>
      <c r="C493" s="69" t="s">
        <v>21</v>
      </c>
      <c r="D493" s="76">
        <v>1.0</v>
      </c>
      <c r="E493" s="36"/>
      <c r="F493" s="36"/>
      <c r="G493" s="71"/>
      <c r="H493" s="36"/>
      <c r="I493" s="36"/>
      <c r="J493" s="36"/>
      <c r="K493" s="70"/>
      <c r="L493" s="36"/>
      <c r="M493" s="36"/>
      <c r="N493" s="36"/>
      <c r="O493" s="36"/>
      <c r="P493" s="36"/>
    </row>
    <row r="494" ht="14.25" customHeight="1">
      <c r="A494" s="49"/>
      <c r="C494" s="69" t="s">
        <v>22</v>
      </c>
      <c r="D494" s="70"/>
      <c r="E494" s="36"/>
      <c r="F494" s="36"/>
      <c r="G494" s="71"/>
      <c r="H494" s="36"/>
      <c r="I494" s="36"/>
      <c r="J494" s="36"/>
      <c r="K494" s="70"/>
      <c r="L494" s="36"/>
      <c r="M494" s="36"/>
      <c r="N494" s="36"/>
      <c r="O494" s="36"/>
      <c r="P494" s="36"/>
    </row>
    <row r="495" ht="14.25" customHeight="1">
      <c r="A495" s="49"/>
      <c r="C495" s="69" t="s">
        <v>23</v>
      </c>
      <c r="D495" s="70"/>
      <c r="E495" s="36"/>
      <c r="F495" s="36"/>
      <c r="G495" s="71"/>
      <c r="H495" s="36"/>
      <c r="I495" s="36"/>
      <c r="J495" s="36"/>
      <c r="K495" s="70"/>
      <c r="L495" s="36"/>
      <c r="M495" s="36"/>
      <c r="N495" s="36"/>
      <c r="O495" s="36"/>
      <c r="P495" s="36"/>
    </row>
    <row r="496" ht="14.25" customHeight="1">
      <c r="A496" s="49"/>
      <c r="C496" s="69" t="s">
        <v>24</v>
      </c>
      <c r="D496" s="70"/>
      <c r="E496" s="36"/>
      <c r="F496" s="36"/>
      <c r="G496" s="71"/>
      <c r="H496" s="36"/>
      <c r="I496" s="36"/>
      <c r="J496" s="36"/>
      <c r="K496" s="70"/>
      <c r="L496" s="36"/>
      <c r="M496" s="36"/>
      <c r="N496" s="36"/>
      <c r="O496" s="36"/>
      <c r="P496" s="36"/>
    </row>
    <row r="497" ht="14.25" customHeight="1">
      <c r="A497" s="49"/>
      <c r="C497" s="69" t="s">
        <v>25</v>
      </c>
      <c r="D497" s="70"/>
      <c r="E497" s="36"/>
      <c r="F497" s="36"/>
      <c r="G497" s="71"/>
      <c r="H497" s="36"/>
      <c r="I497" s="36"/>
      <c r="J497" s="36"/>
      <c r="K497" s="70"/>
      <c r="L497" s="36"/>
      <c r="M497" s="36"/>
      <c r="N497" s="36"/>
      <c r="O497" s="36"/>
      <c r="P497" s="36"/>
    </row>
    <row r="498" ht="14.25" customHeight="1">
      <c r="A498" s="56"/>
      <c r="B498" s="57"/>
      <c r="C498" s="77" t="s">
        <v>26</v>
      </c>
      <c r="D498" s="72"/>
      <c r="E498" s="73"/>
      <c r="F498" s="73"/>
      <c r="G498" s="74"/>
      <c r="H498" s="73"/>
      <c r="I498" s="73"/>
      <c r="J498" s="73"/>
      <c r="K498" s="72"/>
      <c r="L498" s="73"/>
      <c r="M498" s="73"/>
      <c r="N498" s="73"/>
      <c r="O498" s="73"/>
      <c r="P498" s="73"/>
    </row>
    <row r="499" ht="14.25" customHeight="1">
      <c r="A499" s="62">
        <v>45359.0</v>
      </c>
      <c r="B499" s="63" t="s">
        <v>45</v>
      </c>
      <c r="C499" s="64" t="s">
        <v>20</v>
      </c>
      <c r="D499" s="75">
        <v>2.0</v>
      </c>
      <c r="E499" s="67"/>
      <c r="F499" s="67"/>
      <c r="G499" s="64">
        <v>1.0</v>
      </c>
      <c r="H499" s="67"/>
      <c r="I499" s="67"/>
      <c r="J499" s="67"/>
      <c r="K499" s="65"/>
      <c r="L499" s="67"/>
      <c r="M499" s="67"/>
      <c r="N499" s="67"/>
      <c r="O499" s="67"/>
      <c r="P499" s="67"/>
    </row>
    <row r="500" ht="14.25" customHeight="1">
      <c r="A500" s="49"/>
      <c r="C500" s="69" t="s">
        <v>21</v>
      </c>
      <c r="D500" s="76">
        <v>2.0</v>
      </c>
      <c r="E500" s="36"/>
      <c r="F500" s="36"/>
      <c r="G500" s="71"/>
      <c r="H500" s="36"/>
      <c r="I500" s="36"/>
      <c r="J500" s="36"/>
      <c r="K500" s="70"/>
      <c r="L500" s="36"/>
      <c r="M500" s="36"/>
      <c r="N500" s="36"/>
      <c r="O500" s="36"/>
      <c r="P500" s="36"/>
    </row>
    <row r="501" ht="14.25" customHeight="1">
      <c r="A501" s="49"/>
      <c r="C501" s="69" t="s">
        <v>22</v>
      </c>
      <c r="D501" s="70"/>
      <c r="E501" s="36"/>
      <c r="F501" s="36"/>
      <c r="G501" s="71"/>
      <c r="H501" s="36"/>
      <c r="I501" s="36"/>
      <c r="J501" s="36"/>
      <c r="K501" s="70"/>
      <c r="L501" s="36"/>
      <c r="M501" s="36"/>
      <c r="N501" s="36"/>
      <c r="O501" s="36"/>
      <c r="P501" s="36"/>
    </row>
    <row r="502" ht="14.25" customHeight="1">
      <c r="A502" s="49"/>
      <c r="C502" s="69" t="s">
        <v>23</v>
      </c>
      <c r="D502" s="70"/>
      <c r="E502" s="36"/>
      <c r="F502" s="36"/>
      <c r="G502" s="71"/>
      <c r="H502" s="36"/>
      <c r="I502" s="36"/>
      <c r="J502" s="36"/>
      <c r="K502" s="70"/>
      <c r="L502" s="36"/>
      <c r="M502" s="36"/>
      <c r="N502" s="36"/>
      <c r="O502" s="36"/>
      <c r="P502" s="36"/>
    </row>
    <row r="503" ht="14.25" customHeight="1">
      <c r="A503" s="49"/>
      <c r="C503" s="69" t="s">
        <v>24</v>
      </c>
      <c r="D503" s="76">
        <v>1.0</v>
      </c>
      <c r="E503" s="36"/>
      <c r="F503" s="36"/>
      <c r="G503" s="71"/>
      <c r="H503" s="36"/>
      <c r="I503" s="36"/>
      <c r="J503" s="36"/>
      <c r="K503" s="70"/>
      <c r="L503" s="36"/>
      <c r="M503" s="36"/>
      <c r="N503" s="36"/>
      <c r="O503" s="36"/>
      <c r="P503" s="36"/>
    </row>
    <row r="504" ht="14.25" customHeight="1">
      <c r="A504" s="49"/>
      <c r="C504" s="69" t="s">
        <v>25</v>
      </c>
      <c r="D504" s="70"/>
      <c r="E504" s="36"/>
      <c r="F504" s="36"/>
      <c r="G504" s="71"/>
      <c r="H504" s="36"/>
      <c r="I504" s="36"/>
      <c r="J504" s="36"/>
      <c r="K504" s="70"/>
      <c r="L504" s="36"/>
      <c r="M504" s="36"/>
      <c r="N504" s="36"/>
      <c r="O504" s="36"/>
      <c r="P504" s="36"/>
    </row>
    <row r="505" ht="14.25" customHeight="1">
      <c r="A505" s="56"/>
      <c r="B505" s="57"/>
      <c r="C505" s="77" t="s">
        <v>26</v>
      </c>
      <c r="D505" s="72"/>
      <c r="E505" s="73"/>
      <c r="F505" s="73"/>
      <c r="G505" s="74"/>
      <c r="H505" s="73"/>
      <c r="I505" s="73"/>
      <c r="J505" s="73"/>
      <c r="K505" s="72"/>
      <c r="L505" s="73"/>
      <c r="M505" s="73"/>
      <c r="N505" s="73"/>
      <c r="O505" s="73"/>
      <c r="P505" s="73"/>
    </row>
    <row r="506" ht="14.25" customHeight="1">
      <c r="A506" s="62">
        <v>45359.0</v>
      </c>
      <c r="B506" s="63" t="s">
        <v>41</v>
      </c>
      <c r="C506" s="64" t="s">
        <v>20</v>
      </c>
      <c r="D506" s="65"/>
      <c r="E506" s="66">
        <v>2.0</v>
      </c>
      <c r="F506" s="66">
        <v>1.0</v>
      </c>
      <c r="G506" s="68"/>
      <c r="H506" s="66">
        <v>2.0</v>
      </c>
      <c r="I506" s="67"/>
      <c r="J506" s="66">
        <v>1.0</v>
      </c>
      <c r="K506" s="65"/>
      <c r="L506" s="67"/>
      <c r="M506" s="67"/>
      <c r="N506" s="67"/>
      <c r="O506" s="67"/>
      <c r="P506" s="67"/>
    </row>
    <row r="507" ht="14.25" customHeight="1">
      <c r="A507" s="49"/>
      <c r="C507" s="69" t="s">
        <v>21</v>
      </c>
      <c r="D507" s="76">
        <v>1.0</v>
      </c>
      <c r="E507" s="36"/>
      <c r="F507" s="16">
        <v>1.0</v>
      </c>
      <c r="G507" s="71"/>
      <c r="H507" s="36"/>
      <c r="I507" s="36"/>
      <c r="J507" s="36"/>
      <c r="K507" s="70"/>
      <c r="L507" s="36"/>
      <c r="M507" s="36"/>
      <c r="N507" s="36"/>
      <c r="O507" s="16">
        <v>1.0</v>
      </c>
      <c r="P507" s="36"/>
    </row>
    <row r="508" ht="14.25" customHeight="1">
      <c r="A508" s="49"/>
      <c r="C508" s="69" t="s">
        <v>22</v>
      </c>
      <c r="D508" s="70"/>
      <c r="E508" s="36"/>
      <c r="F508" s="36"/>
      <c r="G508" s="71"/>
      <c r="H508" s="36"/>
      <c r="I508" s="36"/>
      <c r="J508" s="36"/>
      <c r="K508" s="70"/>
      <c r="L508" s="36"/>
      <c r="M508" s="36"/>
      <c r="N508" s="36"/>
      <c r="O508" s="36"/>
      <c r="P508" s="36"/>
    </row>
    <row r="509" ht="14.25" customHeight="1">
      <c r="A509" s="49"/>
      <c r="C509" s="69" t="s">
        <v>23</v>
      </c>
      <c r="D509" s="70"/>
      <c r="E509" s="36"/>
      <c r="F509" s="16">
        <v>4.0</v>
      </c>
      <c r="G509" s="71"/>
      <c r="H509" s="16">
        <v>4.0</v>
      </c>
      <c r="I509" s="36"/>
      <c r="J509" s="36"/>
      <c r="K509" s="70"/>
      <c r="L509" s="36"/>
      <c r="M509" s="36"/>
      <c r="N509" s="36"/>
      <c r="O509" s="16">
        <v>4.0</v>
      </c>
      <c r="P509" s="36"/>
    </row>
    <row r="510" ht="14.25" customHeight="1">
      <c r="A510" s="49"/>
      <c r="C510" s="69" t="s">
        <v>24</v>
      </c>
      <c r="D510" s="70"/>
      <c r="E510" s="36"/>
      <c r="F510" s="36"/>
      <c r="G510" s="71"/>
      <c r="H510" s="16">
        <v>1.0</v>
      </c>
      <c r="I510" s="36"/>
      <c r="J510" s="36"/>
      <c r="K510" s="70"/>
      <c r="L510" s="36"/>
      <c r="M510" s="36"/>
      <c r="N510" s="36"/>
      <c r="O510" s="36"/>
      <c r="P510" s="36"/>
    </row>
    <row r="511" ht="14.25" customHeight="1">
      <c r="A511" s="49"/>
      <c r="C511" s="69" t="s">
        <v>25</v>
      </c>
      <c r="D511" s="70"/>
      <c r="E511" s="36"/>
      <c r="F511" s="36"/>
      <c r="G511" s="71"/>
      <c r="H511" s="16">
        <v>1.0</v>
      </c>
      <c r="I511" s="36"/>
      <c r="J511" s="36"/>
      <c r="K511" s="70"/>
      <c r="L511" s="36"/>
      <c r="M511" s="36"/>
      <c r="N511" s="36"/>
      <c r="O511" s="36"/>
      <c r="P511" s="36"/>
    </row>
    <row r="512" ht="14.25" customHeight="1">
      <c r="A512" s="56"/>
      <c r="B512" s="57"/>
      <c r="C512" s="77" t="s">
        <v>26</v>
      </c>
      <c r="D512" s="72"/>
      <c r="E512" s="73"/>
      <c r="F512" s="73"/>
      <c r="G512" s="74"/>
      <c r="H512" s="73"/>
      <c r="I512" s="73"/>
      <c r="J512" s="73"/>
      <c r="K512" s="72"/>
      <c r="L512" s="73"/>
      <c r="M512" s="73"/>
      <c r="N512" s="73"/>
      <c r="O512" s="73"/>
      <c r="P512" s="73"/>
    </row>
    <row r="513" ht="14.25" customHeight="1">
      <c r="A513" s="62">
        <v>45457.0</v>
      </c>
      <c r="B513" s="63" t="s">
        <v>45</v>
      </c>
      <c r="C513" s="64" t="s">
        <v>20</v>
      </c>
      <c r="D513" s="75">
        <v>1.0</v>
      </c>
      <c r="E513" s="67"/>
      <c r="F513" s="67"/>
      <c r="G513" s="68"/>
      <c r="H513" s="67"/>
      <c r="I513" s="67"/>
      <c r="J513" s="67"/>
      <c r="K513" s="65"/>
      <c r="L513" s="67"/>
      <c r="M513" s="67"/>
      <c r="N513" s="67"/>
      <c r="O513" s="67"/>
      <c r="P513" s="67"/>
    </row>
    <row r="514" ht="14.25" customHeight="1">
      <c r="A514" s="49"/>
      <c r="C514" s="69" t="s">
        <v>21</v>
      </c>
      <c r="D514" s="70"/>
      <c r="E514" s="36"/>
      <c r="F514" s="36"/>
      <c r="G514" s="71"/>
      <c r="H514" s="36"/>
      <c r="I514" s="36"/>
      <c r="J514" s="36"/>
      <c r="K514" s="70"/>
      <c r="L514" s="36"/>
      <c r="M514" s="36"/>
      <c r="N514" s="36"/>
      <c r="O514" s="36"/>
      <c r="P514" s="36"/>
    </row>
    <row r="515" ht="14.25" customHeight="1">
      <c r="A515" s="49"/>
      <c r="C515" s="69" t="s">
        <v>22</v>
      </c>
      <c r="D515" s="70"/>
      <c r="E515" s="36"/>
      <c r="F515" s="36"/>
      <c r="G515" s="71"/>
      <c r="H515" s="36"/>
      <c r="I515" s="36"/>
      <c r="J515" s="36"/>
      <c r="K515" s="70"/>
      <c r="L515" s="36"/>
      <c r="M515" s="36"/>
      <c r="N515" s="36"/>
      <c r="O515" s="36"/>
      <c r="P515" s="36"/>
    </row>
    <row r="516" ht="14.25" customHeight="1">
      <c r="A516" s="49"/>
      <c r="C516" s="69" t="s">
        <v>23</v>
      </c>
      <c r="D516" s="70"/>
      <c r="E516" s="36"/>
      <c r="F516" s="36"/>
      <c r="G516" s="71"/>
      <c r="H516" s="36"/>
      <c r="I516" s="36"/>
      <c r="J516" s="36"/>
      <c r="K516" s="70"/>
      <c r="L516" s="36"/>
      <c r="M516" s="36"/>
      <c r="N516" s="36"/>
      <c r="O516" s="36"/>
      <c r="P516" s="36"/>
    </row>
    <row r="517" ht="14.25" customHeight="1">
      <c r="A517" s="49"/>
      <c r="C517" s="69" t="s">
        <v>24</v>
      </c>
      <c r="D517" s="76">
        <v>1.0</v>
      </c>
      <c r="E517" s="36"/>
      <c r="F517" s="36"/>
      <c r="G517" s="71"/>
      <c r="H517" s="36"/>
      <c r="I517" s="36"/>
      <c r="J517" s="36"/>
      <c r="K517" s="70"/>
      <c r="L517" s="36"/>
      <c r="M517" s="36"/>
      <c r="N517" s="36"/>
      <c r="O517" s="36"/>
      <c r="P517" s="36"/>
    </row>
    <row r="518" ht="14.25" customHeight="1">
      <c r="A518" s="49"/>
      <c r="C518" s="69" t="s">
        <v>25</v>
      </c>
      <c r="D518" s="70"/>
      <c r="E518" s="36"/>
      <c r="F518" s="36"/>
      <c r="G518" s="71"/>
      <c r="H518" s="36"/>
      <c r="I518" s="36"/>
      <c r="J518" s="36"/>
      <c r="K518" s="70"/>
      <c r="L518" s="36"/>
      <c r="M518" s="36"/>
      <c r="N518" s="36"/>
      <c r="O518" s="36"/>
      <c r="P518" s="36"/>
    </row>
    <row r="519" ht="14.25" customHeight="1">
      <c r="A519" s="56"/>
      <c r="B519" s="57"/>
      <c r="C519" s="77" t="s">
        <v>26</v>
      </c>
      <c r="D519" s="72"/>
      <c r="E519" s="73"/>
      <c r="F519" s="73"/>
      <c r="G519" s="74"/>
      <c r="H519" s="73"/>
      <c r="I519" s="73"/>
      <c r="J519" s="73"/>
      <c r="K519" s="72"/>
      <c r="L519" s="73"/>
      <c r="M519" s="73"/>
      <c r="N519" s="73"/>
      <c r="O519" s="73"/>
      <c r="P519" s="73"/>
    </row>
    <row r="520" ht="14.25" customHeight="1">
      <c r="A520" s="62">
        <v>45457.0</v>
      </c>
      <c r="B520" s="63" t="s">
        <v>45</v>
      </c>
      <c r="C520" s="64" t="s">
        <v>20</v>
      </c>
      <c r="D520" s="65"/>
      <c r="E520" s="67"/>
      <c r="F520" s="67"/>
      <c r="G520" s="68"/>
      <c r="H520" s="67"/>
      <c r="I520" s="67"/>
      <c r="J520" s="67"/>
      <c r="K520" s="65"/>
      <c r="L520" s="67"/>
      <c r="M520" s="67"/>
      <c r="N520" s="67"/>
      <c r="O520" s="67"/>
      <c r="P520" s="67"/>
    </row>
    <row r="521" ht="14.25" customHeight="1">
      <c r="A521" s="49"/>
      <c r="C521" s="69" t="s">
        <v>21</v>
      </c>
      <c r="D521" s="70"/>
      <c r="E521" s="36"/>
      <c r="F521" s="36"/>
      <c r="G521" s="71"/>
      <c r="H521" s="36"/>
      <c r="I521" s="36"/>
      <c r="J521" s="36"/>
      <c r="K521" s="70"/>
      <c r="L521" s="36"/>
      <c r="M521" s="36"/>
      <c r="N521" s="36"/>
      <c r="O521" s="36"/>
      <c r="P521" s="36"/>
    </row>
    <row r="522" ht="14.25" customHeight="1">
      <c r="A522" s="49"/>
      <c r="C522" s="69" t="s">
        <v>22</v>
      </c>
      <c r="D522" s="70"/>
      <c r="E522" s="36"/>
      <c r="F522" s="36"/>
      <c r="G522" s="71"/>
      <c r="H522" s="36"/>
      <c r="I522" s="36"/>
      <c r="J522" s="36"/>
      <c r="K522" s="70"/>
      <c r="L522" s="36"/>
      <c r="M522" s="36"/>
      <c r="N522" s="36"/>
      <c r="O522" s="36"/>
      <c r="P522" s="36"/>
    </row>
    <row r="523" ht="14.25" customHeight="1">
      <c r="A523" s="49"/>
      <c r="C523" s="69" t="s">
        <v>23</v>
      </c>
      <c r="D523" s="70"/>
      <c r="E523" s="36"/>
      <c r="F523" s="16">
        <v>1.0</v>
      </c>
      <c r="G523" s="69">
        <v>2.0</v>
      </c>
      <c r="H523" s="16">
        <v>1.0</v>
      </c>
      <c r="I523" s="36"/>
      <c r="J523" s="36"/>
      <c r="K523" s="70"/>
      <c r="L523" s="36"/>
      <c r="M523" s="36"/>
      <c r="N523" s="16">
        <v>1.0</v>
      </c>
      <c r="O523" s="36"/>
      <c r="P523" s="36"/>
    </row>
    <row r="524" ht="14.25" customHeight="1">
      <c r="A524" s="49"/>
      <c r="C524" s="69" t="s">
        <v>24</v>
      </c>
      <c r="D524" s="76">
        <v>1.0</v>
      </c>
      <c r="E524" s="36"/>
      <c r="F524" s="36"/>
      <c r="G524" s="71"/>
      <c r="H524" s="36"/>
      <c r="I524" s="36"/>
      <c r="J524" s="36"/>
      <c r="K524" s="70"/>
      <c r="L524" s="36"/>
      <c r="M524" s="36"/>
      <c r="N524" s="36"/>
      <c r="O524" s="36"/>
      <c r="P524" s="36"/>
    </row>
    <row r="525" ht="14.25" customHeight="1">
      <c r="A525" s="49"/>
      <c r="C525" s="69" t="s">
        <v>25</v>
      </c>
      <c r="D525" s="70"/>
      <c r="E525" s="36"/>
      <c r="F525" s="36"/>
      <c r="G525" s="71"/>
      <c r="H525" s="36"/>
      <c r="I525" s="36"/>
      <c r="J525" s="36"/>
      <c r="K525" s="70"/>
      <c r="L525" s="36"/>
      <c r="M525" s="36"/>
      <c r="N525" s="36"/>
      <c r="O525" s="36"/>
      <c r="P525" s="36"/>
    </row>
    <row r="526" ht="14.25" customHeight="1">
      <c r="A526" s="56"/>
      <c r="B526" s="57"/>
      <c r="C526" s="77" t="s">
        <v>26</v>
      </c>
      <c r="D526" s="72"/>
      <c r="E526" s="73"/>
      <c r="F526" s="73"/>
      <c r="G526" s="74"/>
      <c r="H526" s="73"/>
      <c r="I526" s="73"/>
      <c r="J526" s="73"/>
      <c r="K526" s="72"/>
      <c r="L526" s="73"/>
      <c r="M526" s="73"/>
      <c r="N526" s="73"/>
      <c r="O526" s="73"/>
      <c r="P526" s="73"/>
    </row>
    <row r="527" ht="14.25" customHeight="1">
      <c r="A527" s="78">
        <v>45457.0</v>
      </c>
      <c r="B527" s="63" t="s">
        <v>42</v>
      </c>
      <c r="C527" s="64" t="s">
        <v>20</v>
      </c>
      <c r="D527" s="65"/>
      <c r="E527" s="66">
        <v>0.0</v>
      </c>
      <c r="F527" s="66">
        <v>3.0</v>
      </c>
      <c r="G527" s="68"/>
      <c r="H527" s="67"/>
      <c r="I527" s="67"/>
      <c r="J527" s="67"/>
      <c r="K527" s="65"/>
      <c r="L527" s="67"/>
      <c r="M527" s="67"/>
      <c r="N527" s="66">
        <v>2.0</v>
      </c>
      <c r="O527" s="67"/>
      <c r="P527" s="67"/>
    </row>
    <row r="528" ht="14.25" customHeight="1">
      <c r="A528" s="49"/>
      <c r="C528" s="69" t="s">
        <v>21</v>
      </c>
      <c r="D528" s="70"/>
      <c r="E528" s="36"/>
      <c r="F528" s="16">
        <v>6.0</v>
      </c>
      <c r="G528" s="71"/>
      <c r="H528" s="36"/>
      <c r="I528" s="36"/>
      <c r="J528" s="36"/>
      <c r="K528" s="70"/>
      <c r="L528" s="36"/>
      <c r="M528" s="36"/>
      <c r="N528" s="16">
        <v>6.0</v>
      </c>
      <c r="O528" s="36"/>
      <c r="P528" s="36"/>
    </row>
    <row r="529" ht="14.25" customHeight="1">
      <c r="A529" s="49"/>
      <c r="C529" s="69" t="s">
        <v>22</v>
      </c>
      <c r="D529" s="70"/>
      <c r="E529" s="36"/>
      <c r="F529" s="36"/>
      <c r="G529" s="71"/>
      <c r="H529" s="36"/>
      <c r="I529" s="36"/>
      <c r="J529" s="36"/>
      <c r="K529" s="70"/>
      <c r="L529" s="36"/>
      <c r="M529" s="36"/>
      <c r="N529" s="36"/>
      <c r="O529" s="36"/>
      <c r="P529" s="36"/>
    </row>
    <row r="530" ht="14.25" customHeight="1">
      <c r="A530" s="49"/>
      <c r="C530" s="69" t="s">
        <v>23</v>
      </c>
      <c r="D530" s="76">
        <v>2.0</v>
      </c>
      <c r="E530" s="36"/>
      <c r="F530" s="36"/>
      <c r="G530" s="71"/>
      <c r="H530" s="36"/>
      <c r="I530" s="36"/>
      <c r="J530" s="36"/>
      <c r="K530" s="70"/>
      <c r="L530" s="36"/>
      <c r="M530" s="36"/>
      <c r="N530" s="36"/>
      <c r="O530" s="36"/>
      <c r="P530" s="36"/>
    </row>
    <row r="531" ht="14.25" customHeight="1">
      <c r="A531" s="49"/>
      <c r="C531" s="69" t="s">
        <v>24</v>
      </c>
      <c r="D531" s="70"/>
      <c r="E531" s="36"/>
      <c r="F531" s="36"/>
      <c r="G531" s="71"/>
      <c r="H531" s="36"/>
      <c r="I531" s="36"/>
      <c r="J531" s="36"/>
      <c r="K531" s="70"/>
      <c r="L531" s="36"/>
      <c r="M531" s="36"/>
      <c r="N531" s="36"/>
      <c r="O531" s="36"/>
      <c r="P531" s="36"/>
    </row>
    <row r="532" ht="14.25" customHeight="1">
      <c r="A532" s="49"/>
      <c r="C532" s="69" t="s">
        <v>25</v>
      </c>
      <c r="D532" s="70"/>
      <c r="E532" s="36"/>
      <c r="F532" s="36"/>
      <c r="G532" s="71"/>
      <c r="H532" s="36"/>
      <c r="I532" s="36"/>
      <c r="J532" s="36"/>
      <c r="K532" s="70"/>
      <c r="L532" s="36"/>
      <c r="M532" s="36"/>
      <c r="N532" s="36"/>
      <c r="O532" s="36"/>
      <c r="P532" s="36"/>
    </row>
    <row r="533" ht="14.25" customHeight="1">
      <c r="A533" s="56"/>
      <c r="B533" s="57"/>
      <c r="C533" s="77" t="s">
        <v>26</v>
      </c>
      <c r="D533" s="72"/>
      <c r="E533" s="73"/>
      <c r="F533" s="73"/>
      <c r="G533" s="74"/>
      <c r="H533" s="73"/>
      <c r="I533" s="73"/>
      <c r="J533" s="73"/>
      <c r="K533" s="72"/>
      <c r="L533" s="73"/>
      <c r="M533" s="73"/>
      <c r="N533" s="73"/>
      <c r="O533" s="73"/>
      <c r="P533" s="73"/>
    </row>
    <row r="534" ht="14.25" customHeight="1">
      <c r="A534" s="62">
        <v>45456.0</v>
      </c>
      <c r="B534" s="63" t="s">
        <v>43</v>
      </c>
      <c r="C534" s="64" t="s">
        <v>20</v>
      </c>
      <c r="D534" s="75">
        <v>1.0</v>
      </c>
      <c r="E534" s="67"/>
      <c r="F534" s="66">
        <v>1.0</v>
      </c>
      <c r="G534" s="64">
        <v>6.0</v>
      </c>
      <c r="H534" s="66">
        <v>1.0</v>
      </c>
      <c r="I534" s="66">
        <v>1.0</v>
      </c>
      <c r="J534" s="66">
        <v>1.0</v>
      </c>
      <c r="K534" s="65"/>
      <c r="L534" s="67"/>
      <c r="M534" s="67"/>
      <c r="N534" s="66">
        <v>6.0</v>
      </c>
      <c r="O534" s="66">
        <v>4.0</v>
      </c>
      <c r="P534" s="67"/>
    </row>
    <row r="535" ht="14.25" customHeight="1">
      <c r="A535" s="49"/>
      <c r="C535" s="69" t="s">
        <v>21</v>
      </c>
      <c r="D535" s="70"/>
      <c r="E535" s="36"/>
      <c r="F535" s="36"/>
      <c r="G535" s="71"/>
      <c r="H535" s="36"/>
      <c r="I535" s="36"/>
      <c r="J535" s="36"/>
      <c r="K535" s="70"/>
      <c r="L535" s="36"/>
      <c r="M535" s="36"/>
      <c r="N535" s="36"/>
      <c r="O535" s="36"/>
      <c r="P535" s="36"/>
    </row>
    <row r="536" ht="14.25" customHeight="1">
      <c r="A536" s="49"/>
      <c r="C536" s="69" t="s">
        <v>22</v>
      </c>
      <c r="D536" s="70"/>
      <c r="E536" s="36"/>
      <c r="F536" s="36"/>
      <c r="G536" s="71"/>
      <c r="H536" s="36"/>
      <c r="I536" s="36"/>
      <c r="J536" s="36"/>
      <c r="K536" s="70"/>
      <c r="L536" s="36"/>
      <c r="M536" s="36"/>
      <c r="N536" s="36"/>
      <c r="O536" s="36"/>
      <c r="P536" s="36"/>
    </row>
    <row r="537" ht="14.25" customHeight="1">
      <c r="A537" s="49"/>
      <c r="C537" s="69" t="s">
        <v>23</v>
      </c>
      <c r="D537" s="70"/>
      <c r="E537" s="36"/>
      <c r="F537" s="36"/>
      <c r="G537" s="71"/>
      <c r="H537" s="36"/>
      <c r="I537" s="36"/>
      <c r="J537" s="36"/>
      <c r="K537" s="70"/>
      <c r="L537" s="36"/>
      <c r="M537" s="36"/>
      <c r="N537" s="36"/>
      <c r="O537" s="36"/>
      <c r="P537" s="36"/>
    </row>
    <row r="538" ht="14.25" customHeight="1">
      <c r="A538" s="49"/>
      <c r="C538" s="69" t="s">
        <v>24</v>
      </c>
      <c r="D538" s="70"/>
      <c r="E538" s="36"/>
      <c r="F538" s="36"/>
      <c r="G538" s="71"/>
      <c r="H538" s="36"/>
      <c r="I538" s="36"/>
      <c r="J538" s="36"/>
      <c r="K538" s="70"/>
      <c r="L538" s="36"/>
      <c r="M538" s="36"/>
      <c r="N538" s="36"/>
      <c r="O538" s="36"/>
      <c r="P538" s="36"/>
    </row>
    <row r="539" ht="14.25" customHeight="1">
      <c r="A539" s="49"/>
      <c r="C539" s="69" t="s">
        <v>25</v>
      </c>
      <c r="D539" s="76">
        <v>1.0</v>
      </c>
      <c r="E539" s="36"/>
      <c r="F539" s="36"/>
      <c r="G539" s="71"/>
      <c r="H539" s="36"/>
      <c r="I539" s="36"/>
      <c r="J539" s="36"/>
      <c r="K539" s="70"/>
      <c r="L539" s="36"/>
      <c r="M539" s="36"/>
      <c r="N539" s="36"/>
      <c r="O539" s="36"/>
      <c r="P539" s="36"/>
    </row>
    <row r="540" ht="14.25" customHeight="1">
      <c r="A540" s="56"/>
      <c r="B540" s="57"/>
      <c r="C540" s="77" t="s">
        <v>26</v>
      </c>
      <c r="D540" s="72"/>
      <c r="E540" s="73"/>
      <c r="F540" s="73"/>
      <c r="G540" s="74"/>
      <c r="H540" s="73"/>
      <c r="I540" s="73"/>
      <c r="J540" s="73"/>
      <c r="K540" s="72"/>
      <c r="L540" s="73"/>
      <c r="M540" s="73"/>
      <c r="N540" s="73"/>
      <c r="O540" s="73"/>
      <c r="P540" s="73"/>
    </row>
    <row r="541" ht="14.25" customHeight="1">
      <c r="A541" s="62">
        <v>45456.0</v>
      </c>
      <c r="B541" s="63" t="s">
        <v>43</v>
      </c>
      <c r="C541" s="64" t="s">
        <v>20</v>
      </c>
      <c r="D541" s="75">
        <v>1.0</v>
      </c>
      <c r="E541" s="66">
        <v>5.0</v>
      </c>
      <c r="F541" s="67"/>
      <c r="G541" s="64">
        <v>1.0</v>
      </c>
      <c r="H541" s="66">
        <v>4.0</v>
      </c>
      <c r="I541" s="67"/>
      <c r="J541" s="67"/>
      <c r="K541" s="65"/>
      <c r="L541" s="67"/>
      <c r="M541" s="67"/>
      <c r="N541" s="67"/>
      <c r="O541" s="67"/>
      <c r="P541" s="67"/>
    </row>
    <row r="542" ht="14.25" customHeight="1">
      <c r="A542" s="49"/>
      <c r="C542" s="69" t="s">
        <v>21</v>
      </c>
      <c r="D542" s="70"/>
      <c r="E542" s="36"/>
      <c r="F542" s="36"/>
      <c r="G542" s="71"/>
      <c r="H542" s="36"/>
      <c r="I542" s="36"/>
      <c r="J542" s="36"/>
      <c r="K542" s="70"/>
      <c r="L542" s="36"/>
      <c r="M542" s="36"/>
      <c r="N542" s="36"/>
      <c r="O542" s="36"/>
      <c r="P542" s="36"/>
    </row>
    <row r="543" ht="14.25" customHeight="1">
      <c r="A543" s="49"/>
      <c r="C543" s="69" t="s">
        <v>22</v>
      </c>
      <c r="D543" s="70"/>
      <c r="E543" s="36"/>
      <c r="F543" s="36"/>
      <c r="G543" s="71"/>
      <c r="H543" s="36"/>
      <c r="I543" s="36"/>
      <c r="J543" s="36"/>
      <c r="K543" s="70"/>
      <c r="L543" s="36"/>
      <c r="M543" s="36"/>
      <c r="N543" s="36"/>
      <c r="O543" s="36"/>
      <c r="P543" s="36"/>
    </row>
    <row r="544" ht="14.25" customHeight="1">
      <c r="A544" s="49"/>
      <c r="C544" s="69" t="s">
        <v>23</v>
      </c>
      <c r="D544" s="70"/>
      <c r="E544" s="36"/>
      <c r="F544" s="36"/>
      <c r="G544" s="71"/>
      <c r="H544" s="36"/>
      <c r="I544" s="36"/>
      <c r="J544" s="36"/>
      <c r="K544" s="70"/>
      <c r="L544" s="36"/>
      <c r="M544" s="36"/>
      <c r="N544" s="36"/>
      <c r="O544" s="36"/>
      <c r="P544" s="36"/>
    </row>
    <row r="545" ht="14.25" customHeight="1">
      <c r="A545" s="49"/>
      <c r="C545" s="69" t="s">
        <v>24</v>
      </c>
      <c r="D545" s="76">
        <v>1.0</v>
      </c>
      <c r="E545" s="36"/>
      <c r="F545" s="36"/>
      <c r="G545" s="71"/>
      <c r="H545" s="36"/>
      <c r="I545" s="36"/>
      <c r="J545" s="36"/>
      <c r="K545" s="70"/>
      <c r="L545" s="36"/>
      <c r="M545" s="36"/>
      <c r="N545" s="36"/>
      <c r="O545" s="36"/>
      <c r="P545" s="36"/>
    </row>
    <row r="546" ht="14.25" customHeight="1">
      <c r="A546" s="49"/>
      <c r="C546" s="69" t="s">
        <v>25</v>
      </c>
      <c r="D546" s="70"/>
      <c r="E546" s="36"/>
      <c r="F546" s="36"/>
      <c r="G546" s="71"/>
      <c r="H546" s="36"/>
      <c r="I546" s="36"/>
      <c r="J546" s="36"/>
      <c r="K546" s="70"/>
      <c r="L546" s="36"/>
      <c r="M546" s="36"/>
      <c r="N546" s="36"/>
      <c r="O546" s="36"/>
      <c r="P546" s="36"/>
    </row>
    <row r="547" ht="14.25" customHeight="1">
      <c r="A547" s="56"/>
      <c r="B547" s="57"/>
      <c r="C547" s="77" t="s">
        <v>26</v>
      </c>
      <c r="D547" s="72"/>
      <c r="E547" s="73"/>
      <c r="F547" s="73"/>
      <c r="G547" s="74"/>
      <c r="H547" s="73"/>
      <c r="I547" s="73"/>
      <c r="J547" s="73"/>
      <c r="K547" s="72"/>
      <c r="L547" s="73"/>
      <c r="M547" s="73"/>
      <c r="N547" s="73"/>
      <c r="O547" s="73"/>
      <c r="P547" s="73"/>
    </row>
    <row r="548" ht="14.25" customHeight="1">
      <c r="A548" s="62">
        <v>45456.0</v>
      </c>
      <c r="B548" s="63" t="s">
        <v>44</v>
      </c>
      <c r="C548" s="64" t="s">
        <v>20</v>
      </c>
      <c r="D548" s="65"/>
      <c r="E548" s="66">
        <v>1.0</v>
      </c>
      <c r="F548" s="66">
        <v>1.0</v>
      </c>
      <c r="G548" s="64">
        <v>2.0</v>
      </c>
      <c r="H548" s="67"/>
      <c r="I548" s="67"/>
      <c r="J548" s="66">
        <v>2.0</v>
      </c>
      <c r="K548" s="65"/>
      <c r="L548" s="67"/>
      <c r="M548" s="67"/>
      <c r="N548" s="66">
        <v>2.0</v>
      </c>
      <c r="O548" s="67"/>
      <c r="P548" s="67"/>
    </row>
    <row r="549" ht="14.25" customHeight="1">
      <c r="A549" s="49"/>
      <c r="C549" s="69" t="s">
        <v>21</v>
      </c>
      <c r="D549" s="70"/>
      <c r="E549" s="36"/>
      <c r="F549" s="36"/>
      <c r="G549" s="71"/>
      <c r="H549" s="36"/>
      <c r="I549" s="36"/>
      <c r="J549" s="36"/>
      <c r="K549" s="70"/>
      <c r="L549" s="36"/>
      <c r="M549" s="36"/>
      <c r="N549" s="36"/>
      <c r="O549" s="36"/>
      <c r="P549" s="36"/>
    </row>
    <row r="550" ht="14.25" customHeight="1">
      <c r="A550" s="49"/>
      <c r="C550" s="69" t="s">
        <v>22</v>
      </c>
      <c r="D550" s="70"/>
      <c r="E550" s="36"/>
      <c r="F550" s="36"/>
      <c r="G550" s="71"/>
      <c r="H550" s="36"/>
      <c r="I550" s="36"/>
      <c r="J550" s="36"/>
      <c r="K550" s="70"/>
      <c r="L550" s="36"/>
      <c r="M550" s="36"/>
      <c r="N550" s="36"/>
      <c r="O550" s="36"/>
      <c r="P550" s="36"/>
    </row>
    <row r="551" ht="14.25" customHeight="1">
      <c r="A551" s="49"/>
      <c r="C551" s="69" t="s">
        <v>23</v>
      </c>
      <c r="D551" s="70"/>
      <c r="E551" s="36"/>
      <c r="F551" s="36"/>
      <c r="G551" s="71"/>
      <c r="H551" s="36"/>
      <c r="I551" s="36"/>
      <c r="J551" s="36"/>
      <c r="K551" s="70"/>
      <c r="L551" s="36"/>
      <c r="M551" s="36"/>
      <c r="N551" s="36"/>
      <c r="O551" s="36"/>
      <c r="P551" s="36"/>
    </row>
    <row r="552" ht="14.25" customHeight="1">
      <c r="A552" s="49"/>
      <c r="C552" s="69" t="s">
        <v>24</v>
      </c>
      <c r="D552" s="70"/>
      <c r="E552" s="36"/>
      <c r="F552" s="36"/>
      <c r="G552" s="71"/>
      <c r="H552" s="36"/>
      <c r="I552" s="36"/>
      <c r="J552" s="36"/>
      <c r="K552" s="70"/>
      <c r="L552" s="36"/>
      <c r="M552" s="36"/>
      <c r="N552" s="36"/>
      <c r="O552" s="36"/>
      <c r="P552" s="36"/>
    </row>
    <row r="553" ht="14.25" customHeight="1">
      <c r="A553" s="49"/>
      <c r="C553" s="69" t="s">
        <v>25</v>
      </c>
      <c r="D553" s="70"/>
      <c r="E553" s="36"/>
      <c r="F553" s="36"/>
      <c r="G553" s="71"/>
      <c r="H553" s="36"/>
      <c r="I553" s="36"/>
      <c r="J553" s="36"/>
      <c r="K553" s="70"/>
      <c r="L553" s="36"/>
      <c r="M553" s="36"/>
      <c r="N553" s="36"/>
      <c r="O553" s="36"/>
      <c r="P553" s="36"/>
    </row>
    <row r="554" ht="14.25" customHeight="1">
      <c r="A554" s="56"/>
      <c r="B554" s="57"/>
      <c r="C554" s="77" t="s">
        <v>26</v>
      </c>
      <c r="D554" s="72"/>
      <c r="E554" s="73"/>
      <c r="F554" s="73"/>
      <c r="G554" s="74"/>
      <c r="H554" s="73"/>
      <c r="I554" s="73"/>
      <c r="J554" s="73"/>
      <c r="K554" s="72"/>
      <c r="L554" s="73"/>
      <c r="M554" s="73"/>
      <c r="N554" s="73"/>
      <c r="O554" s="73"/>
      <c r="P554" s="73"/>
    </row>
    <row r="555" ht="14.25" customHeight="1">
      <c r="A555" s="62">
        <v>45456.0</v>
      </c>
      <c r="B555" s="63" t="s">
        <v>44</v>
      </c>
      <c r="C555" s="64" t="s">
        <v>20</v>
      </c>
      <c r="D555" s="65"/>
      <c r="E555" s="67"/>
      <c r="F555" s="66">
        <v>1.0</v>
      </c>
      <c r="G555" s="64">
        <v>2.0</v>
      </c>
      <c r="H555" s="67"/>
      <c r="I555" s="67"/>
      <c r="J555" s="67"/>
      <c r="K555" s="65"/>
      <c r="L555" s="67"/>
      <c r="M555" s="67"/>
      <c r="N555" s="67"/>
      <c r="O555" s="67"/>
      <c r="P555" s="67"/>
    </row>
    <row r="556" ht="14.25" customHeight="1">
      <c r="A556" s="49"/>
      <c r="C556" s="69" t="s">
        <v>21</v>
      </c>
      <c r="D556" s="70"/>
      <c r="E556" s="36"/>
      <c r="F556" s="36"/>
      <c r="G556" s="71"/>
      <c r="H556" s="36"/>
      <c r="I556" s="36"/>
      <c r="J556" s="36"/>
      <c r="K556" s="70"/>
      <c r="L556" s="36"/>
      <c r="M556" s="36"/>
      <c r="N556" s="36"/>
      <c r="O556" s="36"/>
      <c r="P556" s="36"/>
    </row>
    <row r="557" ht="14.25" customHeight="1">
      <c r="A557" s="49"/>
      <c r="C557" s="69" t="s">
        <v>22</v>
      </c>
      <c r="D557" s="70"/>
      <c r="E557" s="36"/>
      <c r="F557" s="36"/>
      <c r="G557" s="71"/>
      <c r="H557" s="36"/>
      <c r="I557" s="36"/>
      <c r="J557" s="36"/>
      <c r="K557" s="70"/>
      <c r="L557" s="36"/>
      <c r="M557" s="36"/>
      <c r="N557" s="36"/>
      <c r="O557" s="36"/>
      <c r="P557" s="36"/>
    </row>
    <row r="558" ht="14.25" customHeight="1">
      <c r="A558" s="49"/>
      <c r="C558" s="69" t="s">
        <v>23</v>
      </c>
      <c r="D558" s="70"/>
      <c r="E558" s="36"/>
      <c r="F558" s="36"/>
      <c r="G558" s="71"/>
      <c r="H558" s="36"/>
      <c r="I558" s="36"/>
      <c r="J558" s="36"/>
      <c r="K558" s="70"/>
      <c r="L558" s="36"/>
      <c r="M558" s="36"/>
      <c r="N558" s="36"/>
      <c r="O558" s="36"/>
      <c r="P558" s="36"/>
    </row>
    <row r="559" ht="14.25" customHeight="1">
      <c r="A559" s="49"/>
      <c r="C559" s="69" t="s">
        <v>24</v>
      </c>
      <c r="D559" s="70"/>
      <c r="E559" s="36"/>
      <c r="F559" s="36"/>
      <c r="G559" s="71"/>
      <c r="H559" s="36"/>
      <c r="I559" s="36"/>
      <c r="J559" s="36"/>
      <c r="K559" s="70"/>
      <c r="L559" s="36"/>
      <c r="M559" s="36"/>
      <c r="N559" s="36"/>
      <c r="O559" s="36"/>
      <c r="P559" s="36"/>
    </row>
    <row r="560" ht="14.25" customHeight="1">
      <c r="A560" s="49"/>
      <c r="C560" s="69" t="s">
        <v>25</v>
      </c>
      <c r="D560" s="70"/>
      <c r="E560" s="36"/>
      <c r="F560" s="36"/>
      <c r="G560" s="71"/>
      <c r="H560" s="36"/>
      <c r="I560" s="36"/>
      <c r="J560" s="36"/>
      <c r="K560" s="70"/>
      <c r="L560" s="36"/>
      <c r="M560" s="36"/>
      <c r="N560" s="36"/>
      <c r="O560" s="36"/>
      <c r="P560" s="36"/>
    </row>
    <row r="561" ht="14.25" customHeight="1">
      <c r="A561" s="56"/>
      <c r="B561" s="57"/>
      <c r="C561" s="77" t="s">
        <v>26</v>
      </c>
      <c r="D561" s="72"/>
      <c r="E561" s="73"/>
      <c r="F561" s="73"/>
      <c r="G561" s="74"/>
      <c r="H561" s="73"/>
      <c r="I561" s="73"/>
      <c r="J561" s="73"/>
      <c r="K561" s="72"/>
      <c r="L561" s="73"/>
      <c r="M561" s="73"/>
      <c r="N561" s="73"/>
      <c r="O561" s="73"/>
      <c r="P561" s="73"/>
    </row>
    <row r="562" ht="14.25" customHeight="1">
      <c r="A562" s="79">
        <v>45460.0</v>
      </c>
      <c r="B562" s="63" t="s">
        <v>42</v>
      </c>
      <c r="C562" s="64" t="s">
        <v>20</v>
      </c>
      <c r="D562" s="65"/>
      <c r="E562" s="66">
        <v>1.0</v>
      </c>
      <c r="F562" s="67"/>
      <c r="G562" s="64">
        <v>2.0</v>
      </c>
      <c r="H562" s="67"/>
      <c r="I562" s="66">
        <v>1.0</v>
      </c>
      <c r="J562" s="67"/>
      <c r="K562" s="65"/>
      <c r="L562" s="67"/>
      <c r="M562" s="67"/>
      <c r="N562" s="67"/>
      <c r="O562" s="67"/>
      <c r="P562" s="67"/>
    </row>
    <row r="563" ht="14.25" customHeight="1">
      <c r="A563" s="49"/>
      <c r="C563" s="69" t="s">
        <v>21</v>
      </c>
      <c r="D563" s="70"/>
      <c r="E563" s="36"/>
      <c r="F563" s="36"/>
      <c r="G563" s="71"/>
      <c r="H563" s="36"/>
      <c r="I563" s="36"/>
      <c r="J563" s="36"/>
      <c r="K563" s="70"/>
      <c r="L563" s="36"/>
      <c r="M563" s="36"/>
      <c r="N563" s="36"/>
      <c r="O563" s="36"/>
      <c r="P563" s="36"/>
    </row>
    <row r="564" ht="14.25" customHeight="1">
      <c r="A564" s="49"/>
      <c r="C564" s="69" t="s">
        <v>22</v>
      </c>
      <c r="D564" s="70"/>
      <c r="E564" s="36"/>
      <c r="F564" s="36"/>
      <c r="G564" s="71"/>
      <c r="H564" s="36"/>
      <c r="I564" s="36"/>
      <c r="J564" s="36"/>
      <c r="K564" s="70"/>
      <c r="L564" s="36"/>
      <c r="M564" s="36"/>
      <c r="N564" s="36"/>
      <c r="O564" s="36"/>
      <c r="P564" s="36"/>
    </row>
    <row r="565" ht="14.25" customHeight="1">
      <c r="A565" s="49"/>
      <c r="C565" s="69" t="s">
        <v>23</v>
      </c>
      <c r="D565" s="70"/>
      <c r="E565" s="36"/>
      <c r="F565" s="36"/>
      <c r="G565" s="71"/>
      <c r="H565" s="36"/>
      <c r="I565" s="36"/>
      <c r="J565" s="36"/>
      <c r="K565" s="70"/>
      <c r="L565" s="36"/>
      <c r="M565" s="36"/>
      <c r="N565" s="36"/>
      <c r="O565" s="36"/>
      <c r="P565" s="36"/>
    </row>
    <row r="566" ht="14.25" customHeight="1">
      <c r="A566" s="49"/>
      <c r="C566" s="69" t="s">
        <v>24</v>
      </c>
      <c r="D566" s="70"/>
      <c r="E566" s="36"/>
      <c r="F566" s="36"/>
      <c r="G566" s="71"/>
      <c r="H566" s="36"/>
      <c r="I566" s="36"/>
      <c r="J566" s="36"/>
      <c r="K566" s="70"/>
      <c r="L566" s="36"/>
      <c r="M566" s="36"/>
      <c r="N566" s="36"/>
      <c r="O566" s="36"/>
      <c r="P566" s="36"/>
    </row>
    <row r="567" ht="14.25" customHeight="1">
      <c r="A567" s="49"/>
      <c r="C567" s="69" t="s">
        <v>25</v>
      </c>
      <c r="D567" s="70"/>
      <c r="E567" s="36"/>
      <c r="F567" s="36"/>
      <c r="G567" s="71"/>
      <c r="H567" s="36"/>
      <c r="I567" s="36"/>
      <c r="J567" s="36"/>
      <c r="K567" s="70"/>
      <c r="L567" s="36"/>
      <c r="M567" s="36"/>
      <c r="N567" s="36"/>
      <c r="O567" s="36"/>
      <c r="P567" s="36"/>
    </row>
    <row r="568" ht="14.25" customHeight="1">
      <c r="A568" s="56"/>
      <c r="B568" s="57"/>
      <c r="C568" s="77" t="s">
        <v>26</v>
      </c>
      <c r="D568" s="72"/>
      <c r="E568" s="73"/>
      <c r="F568" s="73"/>
      <c r="G568" s="74"/>
      <c r="H568" s="73"/>
      <c r="I568" s="73"/>
      <c r="J568" s="73"/>
      <c r="K568" s="72"/>
      <c r="L568" s="73"/>
      <c r="M568" s="73"/>
      <c r="N568" s="73"/>
      <c r="O568" s="73"/>
      <c r="P568" s="73"/>
    </row>
    <row r="569" ht="14.25" customHeight="1">
      <c r="A569" s="79">
        <v>45460.0</v>
      </c>
      <c r="B569" s="63" t="s">
        <v>42</v>
      </c>
      <c r="C569" s="64" t="s">
        <v>20</v>
      </c>
      <c r="D569" s="65"/>
      <c r="E569" s="67"/>
      <c r="F569" s="66">
        <v>1.0</v>
      </c>
      <c r="G569" s="64">
        <v>1.0</v>
      </c>
      <c r="H569" s="67"/>
      <c r="I569" s="66">
        <v>1.0</v>
      </c>
      <c r="J569" s="67"/>
      <c r="K569" s="65"/>
      <c r="L569" s="67"/>
      <c r="M569" s="67"/>
      <c r="N569" s="66">
        <v>1.0</v>
      </c>
      <c r="O569" s="67"/>
      <c r="P569" s="67"/>
    </row>
    <row r="570" ht="14.25" customHeight="1">
      <c r="A570" s="49"/>
      <c r="C570" s="69" t="s">
        <v>21</v>
      </c>
      <c r="D570" s="70"/>
      <c r="E570" s="36"/>
      <c r="F570" s="36"/>
      <c r="G570" s="71"/>
      <c r="H570" s="36"/>
      <c r="I570" s="36"/>
      <c r="J570" s="36"/>
      <c r="K570" s="70"/>
      <c r="L570" s="36"/>
      <c r="M570" s="36"/>
      <c r="N570" s="36"/>
      <c r="O570" s="36"/>
      <c r="P570" s="36"/>
    </row>
    <row r="571" ht="14.25" customHeight="1">
      <c r="A571" s="49"/>
      <c r="C571" s="69" t="s">
        <v>22</v>
      </c>
      <c r="D571" s="70"/>
      <c r="E571" s="36"/>
      <c r="F571" s="36"/>
      <c r="G571" s="71"/>
      <c r="H571" s="36"/>
      <c r="I571" s="36"/>
      <c r="J571" s="36"/>
      <c r="K571" s="70"/>
      <c r="L571" s="36"/>
      <c r="M571" s="36"/>
      <c r="N571" s="36"/>
      <c r="O571" s="36"/>
      <c r="P571" s="36"/>
    </row>
    <row r="572" ht="14.25" customHeight="1">
      <c r="A572" s="49"/>
      <c r="C572" s="69" t="s">
        <v>23</v>
      </c>
      <c r="D572" s="76">
        <v>1.0</v>
      </c>
      <c r="E572" s="36"/>
      <c r="F572" s="36"/>
      <c r="G572" s="71"/>
      <c r="H572" s="36"/>
      <c r="I572" s="36"/>
      <c r="J572" s="36"/>
      <c r="K572" s="70"/>
      <c r="L572" s="36"/>
      <c r="M572" s="36"/>
      <c r="N572" s="36"/>
      <c r="O572" s="36"/>
      <c r="P572" s="36"/>
    </row>
    <row r="573" ht="14.25" customHeight="1">
      <c r="A573" s="49"/>
      <c r="C573" s="69" t="s">
        <v>24</v>
      </c>
      <c r="D573" s="70"/>
      <c r="E573" s="36"/>
      <c r="F573" s="36"/>
      <c r="G573" s="71"/>
      <c r="H573" s="36"/>
      <c r="I573" s="36"/>
      <c r="J573" s="36"/>
      <c r="K573" s="70"/>
      <c r="L573" s="36"/>
      <c r="M573" s="36"/>
      <c r="N573" s="36"/>
      <c r="O573" s="36"/>
      <c r="P573" s="36"/>
    </row>
    <row r="574" ht="14.25" customHeight="1">
      <c r="A574" s="49"/>
      <c r="C574" s="69" t="s">
        <v>25</v>
      </c>
      <c r="D574" s="70"/>
      <c r="E574" s="36"/>
      <c r="F574" s="36"/>
      <c r="G574" s="71"/>
      <c r="H574" s="36"/>
      <c r="I574" s="36"/>
      <c r="J574" s="36"/>
      <c r="K574" s="70"/>
      <c r="L574" s="36"/>
      <c r="M574" s="36"/>
      <c r="N574" s="36"/>
      <c r="O574" s="36"/>
      <c r="P574" s="36"/>
    </row>
    <row r="575" ht="14.25" customHeight="1">
      <c r="A575" s="56"/>
      <c r="B575" s="57"/>
      <c r="C575" s="77" t="s">
        <v>26</v>
      </c>
      <c r="D575" s="72"/>
      <c r="E575" s="73"/>
      <c r="F575" s="73"/>
      <c r="G575" s="74"/>
      <c r="H575" s="73"/>
      <c r="I575" s="73"/>
      <c r="J575" s="73"/>
      <c r="K575" s="72"/>
      <c r="L575" s="73"/>
      <c r="M575" s="73"/>
      <c r="N575" s="73"/>
      <c r="O575" s="73"/>
      <c r="P575" s="73"/>
    </row>
    <row r="576" ht="14.25" customHeight="1">
      <c r="A576" s="79">
        <v>45461.0</v>
      </c>
      <c r="B576" s="80" t="s">
        <v>45</v>
      </c>
      <c r="C576" s="64" t="s">
        <v>20</v>
      </c>
      <c r="D576" s="75">
        <v>4.0</v>
      </c>
      <c r="E576" s="67"/>
      <c r="F576" s="66">
        <v>3.0</v>
      </c>
      <c r="G576" s="64">
        <v>5.0</v>
      </c>
      <c r="H576" s="66">
        <v>2.0</v>
      </c>
      <c r="I576" s="67"/>
      <c r="J576" s="67"/>
      <c r="K576" s="65"/>
      <c r="L576" s="67"/>
      <c r="M576" s="67"/>
      <c r="N576" s="66">
        <v>5.0</v>
      </c>
      <c r="O576" s="66">
        <v>2.0</v>
      </c>
      <c r="P576" s="67"/>
    </row>
    <row r="577" ht="14.25" customHeight="1">
      <c r="A577" s="49"/>
      <c r="C577" s="69" t="s">
        <v>21</v>
      </c>
      <c r="D577" s="70"/>
      <c r="E577" s="36"/>
      <c r="F577" s="36"/>
      <c r="G577" s="71"/>
      <c r="H577" s="36"/>
      <c r="I577" s="36"/>
      <c r="J577" s="36"/>
      <c r="K577" s="70"/>
      <c r="L577" s="36"/>
      <c r="M577" s="36"/>
      <c r="N577" s="36"/>
      <c r="O577" s="36"/>
      <c r="P577" s="36"/>
    </row>
    <row r="578" ht="14.25" customHeight="1">
      <c r="A578" s="49"/>
      <c r="C578" s="69" t="s">
        <v>22</v>
      </c>
      <c r="D578" s="70"/>
      <c r="E578" s="36"/>
      <c r="F578" s="36"/>
      <c r="G578" s="71"/>
      <c r="H578" s="36"/>
      <c r="I578" s="36"/>
      <c r="J578" s="36"/>
      <c r="K578" s="70"/>
      <c r="L578" s="36"/>
      <c r="M578" s="36"/>
      <c r="N578" s="36"/>
      <c r="O578" s="36"/>
      <c r="P578" s="36"/>
    </row>
    <row r="579" ht="14.25" customHeight="1">
      <c r="A579" s="49"/>
      <c r="C579" s="69" t="s">
        <v>23</v>
      </c>
      <c r="D579" s="70"/>
      <c r="E579" s="36"/>
      <c r="F579" s="36"/>
      <c r="G579" s="71"/>
      <c r="H579" s="36"/>
      <c r="I579" s="36"/>
      <c r="J579" s="36"/>
      <c r="K579" s="70"/>
      <c r="L579" s="36"/>
      <c r="M579" s="36"/>
      <c r="N579" s="36"/>
      <c r="O579" s="36"/>
      <c r="P579" s="36"/>
    </row>
    <row r="580" ht="14.25" customHeight="1">
      <c r="A580" s="49"/>
      <c r="C580" s="69" t="s">
        <v>24</v>
      </c>
      <c r="D580" s="70"/>
      <c r="E580" s="36"/>
      <c r="F580" s="36"/>
      <c r="G580" s="71"/>
      <c r="H580" s="36"/>
      <c r="I580" s="36"/>
      <c r="J580" s="36"/>
      <c r="K580" s="70"/>
      <c r="L580" s="36"/>
      <c r="M580" s="36"/>
      <c r="N580" s="36"/>
      <c r="O580" s="36"/>
      <c r="P580" s="36"/>
    </row>
    <row r="581" ht="14.25" customHeight="1">
      <c r="A581" s="49"/>
      <c r="C581" s="69" t="s">
        <v>25</v>
      </c>
      <c r="D581" s="70"/>
      <c r="E581" s="36"/>
      <c r="F581" s="36"/>
      <c r="G581" s="71"/>
      <c r="H581" s="36"/>
      <c r="I581" s="36"/>
      <c r="J581" s="36"/>
      <c r="K581" s="70"/>
      <c r="L581" s="36"/>
      <c r="M581" s="36"/>
      <c r="N581" s="36"/>
      <c r="O581" s="36"/>
      <c r="P581" s="36"/>
    </row>
    <row r="582" ht="14.25" customHeight="1">
      <c r="A582" s="56"/>
      <c r="C582" s="77" t="s">
        <v>26</v>
      </c>
      <c r="D582" s="72"/>
      <c r="E582" s="73"/>
      <c r="F582" s="73"/>
      <c r="G582" s="74"/>
      <c r="H582" s="73"/>
      <c r="I582" s="73"/>
      <c r="J582" s="73"/>
      <c r="K582" s="72"/>
      <c r="L582" s="73"/>
      <c r="M582" s="73"/>
      <c r="N582" s="73"/>
      <c r="O582" s="73"/>
      <c r="P582" s="73"/>
    </row>
    <row r="583" ht="14.25" customHeight="1">
      <c r="A583" s="79">
        <v>45461.0</v>
      </c>
      <c r="B583" s="63" t="s">
        <v>45</v>
      </c>
      <c r="C583" s="64" t="s">
        <v>20</v>
      </c>
      <c r="D583" s="75">
        <v>2.0</v>
      </c>
      <c r="E583" s="66">
        <v>3.0</v>
      </c>
      <c r="F583" s="66">
        <v>1.0</v>
      </c>
      <c r="G583" s="64">
        <v>4.0</v>
      </c>
      <c r="H583" s="67"/>
      <c r="I583" s="66">
        <v>4.0</v>
      </c>
      <c r="J583" s="66">
        <v>2.0</v>
      </c>
      <c r="K583" s="65"/>
      <c r="L583" s="67"/>
      <c r="M583" s="67"/>
      <c r="N583" s="66">
        <v>2.0</v>
      </c>
      <c r="O583" s="67"/>
      <c r="P583" s="67"/>
    </row>
    <row r="584" ht="14.25" customHeight="1">
      <c r="A584" s="49"/>
      <c r="C584" s="69" t="s">
        <v>21</v>
      </c>
      <c r="D584" s="70"/>
      <c r="E584" s="36"/>
      <c r="F584" s="36"/>
      <c r="G584" s="71"/>
      <c r="H584" s="36"/>
      <c r="I584" s="36"/>
      <c r="J584" s="36"/>
      <c r="K584" s="70"/>
      <c r="L584" s="36"/>
      <c r="M584" s="36"/>
      <c r="N584" s="36"/>
      <c r="O584" s="36"/>
      <c r="P584" s="36"/>
    </row>
    <row r="585" ht="14.25" customHeight="1">
      <c r="A585" s="49"/>
      <c r="C585" s="69" t="s">
        <v>22</v>
      </c>
      <c r="D585" s="70"/>
      <c r="E585" s="36"/>
      <c r="F585" s="36"/>
      <c r="G585" s="71"/>
      <c r="H585" s="36"/>
      <c r="I585" s="36"/>
      <c r="J585" s="36"/>
      <c r="K585" s="70"/>
      <c r="L585" s="36"/>
      <c r="M585" s="36"/>
      <c r="N585" s="36"/>
      <c r="O585" s="36"/>
      <c r="P585" s="36"/>
    </row>
    <row r="586" ht="14.25" customHeight="1">
      <c r="A586" s="49"/>
      <c r="C586" s="69" t="s">
        <v>23</v>
      </c>
      <c r="D586" s="70"/>
      <c r="E586" s="36"/>
      <c r="F586" s="36"/>
      <c r="G586" s="71"/>
      <c r="H586" s="36"/>
      <c r="I586" s="36"/>
      <c r="J586" s="36"/>
      <c r="K586" s="70"/>
      <c r="L586" s="36"/>
      <c r="M586" s="36"/>
      <c r="N586" s="36"/>
      <c r="O586" s="36"/>
      <c r="P586" s="36"/>
    </row>
    <row r="587" ht="14.25" customHeight="1">
      <c r="A587" s="49"/>
      <c r="C587" s="69" t="s">
        <v>24</v>
      </c>
      <c r="D587" s="70"/>
      <c r="E587" s="36"/>
      <c r="F587" s="36"/>
      <c r="G587" s="71"/>
      <c r="H587" s="36"/>
      <c r="I587" s="36"/>
      <c r="J587" s="36"/>
      <c r="K587" s="70"/>
      <c r="L587" s="36"/>
      <c r="M587" s="36"/>
      <c r="N587" s="36"/>
      <c r="O587" s="36"/>
      <c r="P587" s="36"/>
    </row>
    <row r="588" ht="14.25" customHeight="1">
      <c r="A588" s="49"/>
      <c r="C588" s="69" t="s">
        <v>25</v>
      </c>
      <c r="D588" s="70"/>
      <c r="E588" s="36"/>
      <c r="F588" s="36"/>
      <c r="G588" s="71"/>
      <c r="H588" s="36"/>
      <c r="I588" s="36"/>
      <c r="J588" s="36"/>
      <c r="K588" s="70"/>
      <c r="L588" s="36"/>
      <c r="M588" s="36"/>
      <c r="N588" s="36"/>
      <c r="O588" s="36"/>
      <c r="P588" s="36"/>
    </row>
    <row r="589" ht="14.25" customHeight="1">
      <c r="A589" s="56"/>
      <c r="B589" s="57"/>
      <c r="C589" s="77" t="s">
        <v>26</v>
      </c>
      <c r="D589" s="72"/>
      <c r="E589" s="73"/>
      <c r="F589" s="73"/>
      <c r="G589" s="74"/>
      <c r="H589" s="73"/>
      <c r="I589" s="73"/>
      <c r="J589" s="73"/>
      <c r="K589" s="72"/>
      <c r="L589" s="73"/>
      <c r="M589" s="73"/>
      <c r="N589" s="73"/>
      <c r="O589" s="73"/>
      <c r="P589" s="73"/>
    </row>
    <row r="590" ht="14.25" customHeight="1">
      <c r="A590" s="79">
        <v>45461.0</v>
      </c>
      <c r="B590" s="63" t="s">
        <v>43</v>
      </c>
      <c r="C590" s="64" t="s">
        <v>20</v>
      </c>
      <c r="D590" s="75">
        <v>3.0</v>
      </c>
      <c r="E590" s="66">
        <v>1.0</v>
      </c>
      <c r="F590" s="67"/>
      <c r="G590" s="64">
        <v>2.0</v>
      </c>
      <c r="H590" s="67"/>
      <c r="I590" s="67"/>
      <c r="J590" s="67"/>
      <c r="K590" s="65"/>
      <c r="L590" s="67"/>
      <c r="M590" s="67"/>
      <c r="N590" s="66">
        <v>2.0</v>
      </c>
      <c r="O590" s="67"/>
      <c r="P590" s="67"/>
    </row>
    <row r="591" ht="14.25" customHeight="1">
      <c r="A591" s="49"/>
      <c r="C591" s="69" t="s">
        <v>21</v>
      </c>
      <c r="D591" s="70"/>
      <c r="E591" s="36"/>
      <c r="F591" s="36"/>
      <c r="G591" s="71"/>
      <c r="H591" s="36"/>
      <c r="I591" s="36"/>
      <c r="J591" s="36"/>
      <c r="K591" s="70"/>
      <c r="L591" s="36"/>
      <c r="M591" s="36"/>
      <c r="N591" s="36"/>
      <c r="O591" s="36"/>
      <c r="P591" s="36"/>
    </row>
    <row r="592" ht="14.25" customHeight="1">
      <c r="A592" s="49"/>
      <c r="C592" s="69" t="s">
        <v>22</v>
      </c>
      <c r="D592" s="70"/>
      <c r="E592" s="36"/>
      <c r="F592" s="36"/>
      <c r="G592" s="71"/>
      <c r="H592" s="36"/>
      <c r="I592" s="36"/>
      <c r="J592" s="36"/>
      <c r="K592" s="70"/>
      <c r="L592" s="36"/>
      <c r="M592" s="36"/>
      <c r="N592" s="36"/>
      <c r="O592" s="36"/>
      <c r="P592" s="36"/>
    </row>
    <row r="593" ht="14.25" customHeight="1">
      <c r="A593" s="49"/>
      <c r="C593" s="69" t="s">
        <v>23</v>
      </c>
      <c r="D593" s="70"/>
      <c r="E593" s="36"/>
      <c r="F593" s="36"/>
      <c r="G593" s="71"/>
      <c r="H593" s="36"/>
      <c r="I593" s="36"/>
      <c r="J593" s="36"/>
      <c r="K593" s="70"/>
      <c r="L593" s="36"/>
      <c r="M593" s="36"/>
      <c r="N593" s="36"/>
      <c r="O593" s="36"/>
      <c r="P593" s="36"/>
    </row>
    <row r="594" ht="14.25" customHeight="1">
      <c r="A594" s="49"/>
      <c r="C594" s="69" t="s">
        <v>24</v>
      </c>
      <c r="D594" s="76">
        <v>1.0</v>
      </c>
      <c r="E594" s="36"/>
      <c r="F594" s="36"/>
      <c r="G594" s="71"/>
      <c r="H594" s="36"/>
      <c r="I594" s="36"/>
      <c r="J594" s="36"/>
      <c r="K594" s="70"/>
      <c r="L594" s="36"/>
      <c r="M594" s="36"/>
      <c r="N594" s="36"/>
      <c r="O594" s="36"/>
      <c r="P594" s="36"/>
    </row>
    <row r="595" ht="14.25" customHeight="1">
      <c r="A595" s="49"/>
      <c r="C595" s="69" t="s">
        <v>25</v>
      </c>
      <c r="D595" s="70"/>
      <c r="E595" s="36"/>
      <c r="F595" s="36"/>
      <c r="G595" s="71"/>
      <c r="H595" s="36"/>
      <c r="I595" s="36"/>
      <c r="J595" s="36"/>
      <c r="K595" s="70"/>
      <c r="L595" s="36"/>
      <c r="M595" s="36"/>
      <c r="N595" s="36"/>
      <c r="O595" s="36"/>
      <c r="P595" s="36"/>
    </row>
    <row r="596" ht="14.25" customHeight="1">
      <c r="A596" s="56"/>
      <c r="B596" s="57"/>
      <c r="C596" s="77" t="s">
        <v>26</v>
      </c>
      <c r="D596" s="72"/>
      <c r="E596" s="73"/>
      <c r="F596" s="73"/>
      <c r="G596" s="74"/>
      <c r="H596" s="73"/>
      <c r="I596" s="73"/>
      <c r="J596" s="73"/>
      <c r="K596" s="72"/>
      <c r="L596" s="73"/>
      <c r="M596" s="73"/>
      <c r="N596" s="73"/>
      <c r="O596" s="73"/>
      <c r="P596" s="73"/>
    </row>
    <row r="597" ht="14.25" customHeight="1">
      <c r="A597" s="79">
        <v>45461.0</v>
      </c>
      <c r="B597" s="63" t="s">
        <v>43</v>
      </c>
      <c r="C597" s="64" t="s">
        <v>20</v>
      </c>
      <c r="D597" s="75">
        <v>1.0</v>
      </c>
      <c r="E597" s="67"/>
      <c r="F597" s="67"/>
      <c r="G597" s="64">
        <v>6.0</v>
      </c>
      <c r="H597" s="67"/>
      <c r="I597" s="67"/>
      <c r="J597" s="67"/>
      <c r="K597" s="65"/>
      <c r="L597" s="67"/>
      <c r="M597" s="67"/>
      <c r="N597" s="66">
        <v>4.0</v>
      </c>
      <c r="O597" s="67"/>
      <c r="P597" s="67"/>
    </row>
    <row r="598" ht="14.25" customHeight="1">
      <c r="A598" s="49"/>
      <c r="C598" s="69" t="s">
        <v>21</v>
      </c>
      <c r="D598" s="70"/>
      <c r="E598" s="36"/>
      <c r="F598" s="36"/>
      <c r="G598" s="71"/>
      <c r="H598" s="36"/>
      <c r="I598" s="36"/>
      <c r="J598" s="36"/>
      <c r="K598" s="70"/>
      <c r="L598" s="36"/>
      <c r="M598" s="36"/>
      <c r="N598" s="36"/>
      <c r="O598" s="36"/>
      <c r="P598" s="36"/>
    </row>
    <row r="599" ht="14.25" customHeight="1">
      <c r="A599" s="49"/>
      <c r="C599" s="69" t="s">
        <v>22</v>
      </c>
      <c r="D599" s="70"/>
      <c r="E599" s="36"/>
      <c r="F599" s="36"/>
      <c r="G599" s="71"/>
      <c r="H599" s="36"/>
      <c r="I599" s="36"/>
      <c r="J599" s="36"/>
      <c r="K599" s="70"/>
      <c r="L599" s="36"/>
      <c r="M599" s="36"/>
      <c r="N599" s="36"/>
      <c r="O599" s="36"/>
      <c r="P599" s="36"/>
    </row>
    <row r="600" ht="14.25" customHeight="1">
      <c r="A600" s="49"/>
      <c r="C600" s="69" t="s">
        <v>23</v>
      </c>
      <c r="D600" s="70"/>
      <c r="E600" s="36"/>
      <c r="F600" s="36"/>
      <c r="G600" s="71"/>
      <c r="H600" s="36"/>
      <c r="I600" s="36"/>
      <c r="J600" s="36"/>
      <c r="K600" s="70"/>
      <c r="L600" s="36"/>
      <c r="M600" s="36"/>
      <c r="N600" s="36"/>
      <c r="O600" s="36"/>
      <c r="P600" s="36"/>
    </row>
    <row r="601" ht="14.25" customHeight="1">
      <c r="A601" s="49"/>
      <c r="C601" s="69" t="s">
        <v>24</v>
      </c>
      <c r="D601" s="76">
        <v>1.0</v>
      </c>
      <c r="E601" s="36"/>
      <c r="F601" s="36"/>
      <c r="G601" s="71"/>
      <c r="H601" s="36"/>
      <c r="I601" s="36"/>
      <c r="J601" s="36"/>
      <c r="K601" s="70"/>
      <c r="L601" s="36"/>
      <c r="M601" s="36"/>
      <c r="N601" s="36"/>
      <c r="O601" s="36"/>
      <c r="P601" s="36"/>
    </row>
    <row r="602" ht="14.25" customHeight="1">
      <c r="A602" s="49"/>
      <c r="C602" s="69" t="s">
        <v>25</v>
      </c>
      <c r="D602" s="70"/>
      <c r="E602" s="36"/>
      <c r="F602" s="36"/>
      <c r="G602" s="71"/>
      <c r="H602" s="36"/>
      <c r="I602" s="36"/>
      <c r="J602" s="36"/>
      <c r="K602" s="70"/>
      <c r="L602" s="36"/>
      <c r="M602" s="36"/>
      <c r="N602" s="36"/>
      <c r="O602" s="36"/>
      <c r="P602" s="36"/>
    </row>
    <row r="603" ht="14.25" customHeight="1">
      <c r="A603" s="56"/>
      <c r="B603" s="57"/>
      <c r="C603" s="77" t="s">
        <v>26</v>
      </c>
      <c r="D603" s="72"/>
      <c r="E603" s="73"/>
      <c r="F603" s="73"/>
      <c r="G603" s="74"/>
      <c r="H603" s="73"/>
      <c r="I603" s="73"/>
      <c r="J603" s="73"/>
      <c r="K603" s="72"/>
      <c r="L603" s="73"/>
      <c r="M603" s="73"/>
      <c r="N603" s="73"/>
      <c r="O603" s="73"/>
      <c r="P603" s="73"/>
    </row>
    <row r="604" ht="14.25" customHeight="1">
      <c r="A604" s="79">
        <v>45462.0</v>
      </c>
      <c r="B604" s="81" t="s">
        <v>41</v>
      </c>
      <c r="C604" s="64" t="s">
        <v>20</v>
      </c>
      <c r="D604" s="75">
        <v>6.0</v>
      </c>
      <c r="E604" s="67"/>
      <c r="F604" s="66">
        <v>4.0</v>
      </c>
      <c r="G604" s="64">
        <v>12.0</v>
      </c>
      <c r="H604" s="66">
        <v>1.0</v>
      </c>
      <c r="I604" s="66">
        <v>2.0</v>
      </c>
      <c r="J604" s="67"/>
      <c r="K604" s="65"/>
      <c r="L604" s="67"/>
      <c r="M604" s="67"/>
      <c r="N604" s="66">
        <v>13.0</v>
      </c>
      <c r="O604" s="67"/>
      <c r="P604" s="67"/>
    </row>
    <row r="605" ht="14.25" customHeight="1">
      <c r="A605" s="49"/>
      <c r="C605" s="69" t="s">
        <v>21</v>
      </c>
      <c r="D605" s="76">
        <v>1.0</v>
      </c>
      <c r="E605" s="36"/>
      <c r="F605" s="16">
        <v>1.0</v>
      </c>
      <c r="G605" s="69">
        <v>1.0</v>
      </c>
      <c r="H605" s="16">
        <v>1.0</v>
      </c>
      <c r="I605" s="16">
        <v>1.0</v>
      </c>
      <c r="J605" s="36"/>
      <c r="K605" s="70"/>
      <c r="L605" s="36"/>
      <c r="M605" s="36"/>
      <c r="N605" s="16">
        <v>1.0</v>
      </c>
      <c r="O605" s="36"/>
      <c r="P605" s="36"/>
    </row>
    <row r="606" ht="14.25" customHeight="1">
      <c r="A606" s="49"/>
      <c r="C606" s="69" t="s">
        <v>22</v>
      </c>
      <c r="D606" s="70"/>
      <c r="E606" s="36"/>
      <c r="F606" s="36"/>
      <c r="G606" s="71"/>
      <c r="H606" s="36"/>
      <c r="I606" s="36"/>
      <c r="J606" s="36"/>
      <c r="K606" s="70"/>
      <c r="L606" s="36"/>
      <c r="M606" s="36"/>
      <c r="N606" s="36"/>
      <c r="O606" s="36"/>
      <c r="P606" s="36"/>
    </row>
    <row r="607" ht="14.25" customHeight="1">
      <c r="A607" s="49"/>
      <c r="C607" s="69" t="s">
        <v>23</v>
      </c>
      <c r="D607" s="70"/>
      <c r="E607" s="36"/>
      <c r="F607" s="36"/>
      <c r="G607" s="71"/>
      <c r="H607" s="36"/>
      <c r="I607" s="36"/>
      <c r="J607" s="36"/>
      <c r="K607" s="70"/>
      <c r="L607" s="36"/>
      <c r="M607" s="36"/>
      <c r="N607" s="36"/>
      <c r="O607" s="36"/>
      <c r="P607" s="36"/>
    </row>
    <row r="608" ht="14.25" customHeight="1">
      <c r="A608" s="49"/>
      <c r="C608" s="69" t="s">
        <v>24</v>
      </c>
      <c r="D608" s="70"/>
      <c r="E608" s="36"/>
      <c r="F608" s="36"/>
      <c r="G608" s="71"/>
      <c r="H608" s="36"/>
      <c r="I608" s="36"/>
      <c r="J608" s="36"/>
      <c r="K608" s="70"/>
      <c r="L608" s="36"/>
      <c r="M608" s="36"/>
      <c r="N608" s="36"/>
      <c r="O608" s="36"/>
      <c r="P608" s="36"/>
    </row>
    <row r="609" ht="14.25" customHeight="1">
      <c r="A609" s="49"/>
      <c r="C609" s="69" t="s">
        <v>25</v>
      </c>
      <c r="D609" s="70"/>
      <c r="E609" s="36"/>
      <c r="F609" s="36"/>
      <c r="G609" s="71"/>
      <c r="H609" s="36"/>
      <c r="I609" s="36"/>
      <c r="J609" s="36"/>
      <c r="K609" s="70"/>
      <c r="L609" s="36"/>
      <c r="M609" s="36"/>
      <c r="N609" s="36"/>
      <c r="O609" s="36"/>
      <c r="P609" s="36"/>
    </row>
    <row r="610" ht="14.25" customHeight="1">
      <c r="A610" s="56"/>
      <c r="B610" s="57"/>
      <c r="C610" s="77" t="s">
        <v>26</v>
      </c>
      <c r="D610" s="72"/>
      <c r="E610" s="73"/>
      <c r="F610" s="73"/>
      <c r="G610" s="74"/>
      <c r="H610" s="73"/>
      <c r="I610" s="73"/>
      <c r="J610" s="73"/>
      <c r="K610" s="72"/>
      <c r="L610" s="73"/>
      <c r="M610" s="73"/>
      <c r="N610" s="73"/>
      <c r="O610" s="73"/>
      <c r="P610" s="73"/>
    </row>
    <row r="611" ht="14.25" customHeight="1">
      <c r="A611" s="78">
        <v>45462.0</v>
      </c>
      <c r="B611" s="63" t="s">
        <v>44</v>
      </c>
      <c r="C611" s="64" t="s">
        <v>20</v>
      </c>
      <c r="D611" s="75">
        <v>3.0</v>
      </c>
      <c r="E611" s="67"/>
      <c r="F611" s="66">
        <v>4.0</v>
      </c>
      <c r="G611" s="64">
        <v>2.0</v>
      </c>
      <c r="H611" s="66">
        <v>2.0</v>
      </c>
      <c r="I611" s="66">
        <v>1.0</v>
      </c>
      <c r="J611" s="66">
        <v>1.0</v>
      </c>
      <c r="K611" s="65"/>
      <c r="L611" s="67"/>
      <c r="M611" s="67"/>
      <c r="N611" s="66">
        <v>2.0</v>
      </c>
      <c r="O611" s="67"/>
      <c r="P611" s="67"/>
    </row>
    <row r="612" ht="14.25" customHeight="1">
      <c r="A612" s="49"/>
      <c r="C612" s="69" t="s">
        <v>21</v>
      </c>
      <c r="D612" s="76">
        <v>1.0</v>
      </c>
      <c r="E612" s="36"/>
      <c r="F612" s="36"/>
      <c r="G612" s="69">
        <v>1.0</v>
      </c>
      <c r="H612" s="36"/>
      <c r="I612" s="36"/>
      <c r="J612" s="36"/>
      <c r="K612" s="70"/>
      <c r="L612" s="36"/>
      <c r="M612" s="36"/>
      <c r="N612" s="16">
        <v>1.0</v>
      </c>
      <c r="O612" s="36"/>
      <c r="P612" s="36"/>
    </row>
    <row r="613" ht="14.25" customHeight="1">
      <c r="A613" s="49"/>
      <c r="C613" s="69" t="s">
        <v>22</v>
      </c>
      <c r="D613" s="70"/>
      <c r="E613" s="36"/>
      <c r="F613" s="36"/>
      <c r="G613" s="71"/>
      <c r="H613" s="36"/>
      <c r="I613" s="36"/>
      <c r="J613" s="36"/>
      <c r="K613" s="70"/>
      <c r="L613" s="36"/>
      <c r="M613" s="36"/>
      <c r="N613" s="36"/>
      <c r="O613" s="36"/>
      <c r="P613" s="36"/>
    </row>
    <row r="614" ht="14.25" customHeight="1">
      <c r="A614" s="49"/>
      <c r="C614" s="69" t="s">
        <v>23</v>
      </c>
      <c r="D614" s="76">
        <v>2.0</v>
      </c>
      <c r="E614" s="36"/>
      <c r="F614" s="36"/>
      <c r="G614" s="69">
        <v>2.0</v>
      </c>
      <c r="H614" s="36"/>
      <c r="I614" s="36"/>
      <c r="J614" s="36"/>
      <c r="K614" s="70"/>
      <c r="L614" s="36"/>
      <c r="M614" s="36"/>
      <c r="N614" s="16">
        <v>2.0</v>
      </c>
      <c r="O614" s="36"/>
      <c r="P614" s="36"/>
    </row>
    <row r="615" ht="14.25" customHeight="1">
      <c r="A615" s="49"/>
      <c r="C615" s="69" t="s">
        <v>24</v>
      </c>
      <c r="D615" s="70"/>
      <c r="E615" s="36"/>
      <c r="F615" s="36"/>
      <c r="G615" s="71"/>
      <c r="H615" s="36"/>
      <c r="I615" s="36"/>
      <c r="J615" s="36"/>
      <c r="K615" s="70"/>
      <c r="L615" s="36"/>
      <c r="M615" s="36"/>
      <c r="N615" s="36"/>
      <c r="O615" s="36"/>
      <c r="P615" s="36"/>
    </row>
    <row r="616" ht="14.25" customHeight="1">
      <c r="A616" s="49"/>
      <c r="C616" s="69" t="s">
        <v>25</v>
      </c>
      <c r="D616" s="70"/>
      <c r="E616" s="36"/>
      <c r="F616" s="36"/>
      <c r="G616" s="71"/>
      <c r="H616" s="36"/>
      <c r="I616" s="36"/>
      <c r="J616" s="36"/>
      <c r="K616" s="70"/>
      <c r="L616" s="36"/>
      <c r="M616" s="36"/>
      <c r="N616" s="36"/>
      <c r="O616" s="36"/>
      <c r="P616" s="36"/>
    </row>
    <row r="617" ht="14.25" customHeight="1">
      <c r="A617" s="56"/>
      <c r="B617" s="57"/>
      <c r="C617" s="77" t="s">
        <v>26</v>
      </c>
      <c r="D617" s="72"/>
      <c r="E617" s="73"/>
      <c r="F617" s="73"/>
      <c r="G617" s="74"/>
      <c r="H617" s="73"/>
      <c r="I617" s="73"/>
      <c r="J617" s="73"/>
      <c r="K617" s="72"/>
      <c r="L617" s="73"/>
      <c r="M617" s="73"/>
      <c r="N617" s="73"/>
      <c r="O617" s="73"/>
      <c r="P617" s="73"/>
    </row>
    <row r="618" ht="14.25" customHeight="1">
      <c r="A618" s="78">
        <v>45462.0</v>
      </c>
      <c r="B618" s="63" t="s">
        <v>41</v>
      </c>
      <c r="C618" s="64" t="s">
        <v>20</v>
      </c>
      <c r="D618" s="65"/>
      <c r="E618" s="66">
        <v>1.0</v>
      </c>
      <c r="F618" s="66">
        <v>1.0</v>
      </c>
      <c r="G618" s="64">
        <v>4.0</v>
      </c>
      <c r="H618" s="66">
        <v>1.0</v>
      </c>
      <c r="I618" s="67"/>
      <c r="J618" s="66">
        <v>3.0</v>
      </c>
      <c r="K618" s="65"/>
      <c r="L618" s="67"/>
      <c r="M618" s="67"/>
      <c r="N618" s="66">
        <v>3.0</v>
      </c>
      <c r="O618" s="67"/>
      <c r="P618" s="67"/>
    </row>
    <row r="619" ht="14.25" customHeight="1">
      <c r="A619" s="49"/>
      <c r="C619" s="69" t="s">
        <v>21</v>
      </c>
      <c r="D619" s="70"/>
      <c r="E619" s="36"/>
      <c r="F619" s="16">
        <v>1.0</v>
      </c>
      <c r="G619" s="69">
        <v>1.0</v>
      </c>
      <c r="H619" s="36"/>
      <c r="I619" s="36"/>
      <c r="J619" s="16">
        <v>2.0</v>
      </c>
      <c r="K619" s="70"/>
      <c r="L619" s="36"/>
      <c r="M619" s="36"/>
      <c r="N619" s="16">
        <v>1.0</v>
      </c>
      <c r="O619" s="36"/>
      <c r="P619" s="36"/>
    </row>
    <row r="620" ht="14.25" customHeight="1">
      <c r="A620" s="49"/>
      <c r="C620" s="69" t="s">
        <v>22</v>
      </c>
      <c r="D620" s="70"/>
      <c r="E620" s="16">
        <v>1.0</v>
      </c>
      <c r="F620" s="36"/>
      <c r="G620" s="71"/>
      <c r="H620" s="36"/>
      <c r="I620" s="36"/>
      <c r="J620" s="16">
        <v>1.0</v>
      </c>
      <c r="K620" s="70"/>
      <c r="L620" s="36"/>
      <c r="M620" s="36"/>
      <c r="N620" s="36"/>
      <c r="O620" s="36"/>
      <c r="P620" s="36"/>
    </row>
    <row r="621" ht="14.25" customHeight="1">
      <c r="A621" s="49"/>
      <c r="C621" s="69" t="s">
        <v>23</v>
      </c>
      <c r="D621" s="70"/>
      <c r="E621" s="36"/>
      <c r="F621" s="36"/>
      <c r="G621" s="71"/>
      <c r="H621" s="36"/>
      <c r="I621" s="36"/>
      <c r="J621" s="36"/>
      <c r="K621" s="70"/>
      <c r="L621" s="36"/>
      <c r="M621" s="36"/>
      <c r="N621" s="36"/>
      <c r="O621" s="36"/>
      <c r="P621" s="36"/>
    </row>
    <row r="622" ht="14.25" customHeight="1">
      <c r="A622" s="49"/>
      <c r="C622" s="69" t="s">
        <v>24</v>
      </c>
      <c r="D622" s="70"/>
      <c r="E622" s="36"/>
      <c r="F622" s="36"/>
      <c r="G622" s="71"/>
      <c r="H622" s="36"/>
      <c r="I622" s="36"/>
      <c r="J622" s="36"/>
      <c r="K622" s="70"/>
      <c r="L622" s="36"/>
      <c r="M622" s="36"/>
      <c r="N622" s="36"/>
      <c r="O622" s="36"/>
      <c r="P622" s="36"/>
    </row>
    <row r="623" ht="14.25" customHeight="1">
      <c r="A623" s="49"/>
      <c r="C623" s="69" t="s">
        <v>25</v>
      </c>
      <c r="D623" s="70"/>
      <c r="E623" s="36"/>
      <c r="F623" s="36"/>
      <c r="G623" s="71"/>
      <c r="H623" s="36"/>
      <c r="I623" s="36"/>
      <c r="J623" s="36"/>
      <c r="K623" s="70"/>
      <c r="L623" s="36"/>
      <c r="M623" s="36"/>
      <c r="N623" s="36"/>
      <c r="O623" s="36"/>
      <c r="P623" s="36"/>
    </row>
    <row r="624" ht="14.25" customHeight="1">
      <c r="A624" s="56"/>
      <c r="B624" s="57"/>
      <c r="C624" s="77" t="s">
        <v>26</v>
      </c>
      <c r="D624" s="72"/>
      <c r="E624" s="73"/>
      <c r="F624" s="73"/>
      <c r="G624" s="74"/>
      <c r="H624" s="73"/>
      <c r="I624" s="73"/>
      <c r="J624" s="73"/>
      <c r="K624" s="72"/>
      <c r="L624" s="73"/>
      <c r="M624" s="73"/>
      <c r="N624" s="73"/>
      <c r="O624" s="73"/>
      <c r="P624" s="73"/>
    </row>
    <row r="625" ht="14.25" customHeight="1">
      <c r="A625" s="78">
        <v>45462.0</v>
      </c>
      <c r="B625" s="63" t="s">
        <v>44</v>
      </c>
      <c r="C625" s="64" t="s">
        <v>20</v>
      </c>
      <c r="D625" s="65"/>
      <c r="E625" s="66">
        <v>1.0</v>
      </c>
      <c r="F625" s="66">
        <v>2.0</v>
      </c>
      <c r="G625" s="64">
        <v>10.0</v>
      </c>
      <c r="H625" s="66">
        <v>1.0</v>
      </c>
      <c r="I625" s="66">
        <v>1.0</v>
      </c>
      <c r="J625" s="66">
        <v>8.0</v>
      </c>
      <c r="K625" s="65"/>
      <c r="L625" s="67"/>
      <c r="M625" s="67"/>
      <c r="N625" s="66">
        <v>4.0</v>
      </c>
      <c r="O625" s="67"/>
      <c r="P625" s="67"/>
    </row>
    <row r="626" ht="14.25" customHeight="1">
      <c r="A626" s="49"/>
      <c r="C626" s="69" t="s">
        <v>21</v>
      </c>
      <c r="D626" s="76">
        <v>6.0</v>
      </c>
      <c r="E626" s="36"/>
      <c r="F626" s="16">
        <v>2.0</v>
      </c>
      <c r="G626" s="69">
        <v>3.0</v>
      </c>
      <c r="H626" s="36"/>
      <c r="I626" s="36"/>
      <c r="J626" s="16">
        <v>4.0</v>
      </c>
      <c r="K626" s="70"/>
      <c r="L626" s="36"/>
      <c r="M626" s="36"/>
      <c r="N626" s="16">
        <v>6.0</v>
      </c>
      <c r="O626" s="36"/>
      <c r="P626" s="36"/>
    </row>
    <row r="627" ht="14.25" customHeight="1">
      <c r="A627" s="49"/>
      <c r="C627" s="69" t="s">
        <v>22</v>
      </c>
      <c r="D627" s="70"/>
      <c r="E627" s="36"/>
      <c r="F627" s="36"/>
      <c r="G627" s="71"/>
      <c r="H627" s="36"/>
      <c r="I627" s="36"/>
      <c r="J627" s="36"/>
      <c r="K627" s="70"/>
      <c r="L627" s="36"/>
      <c r="M627" s="36"/>
      <c r="N627" s="36"/>
      <c r="O627" s="36"/>
      <c r="P627" s="36"/>
    </row>
    <row r="628" ht="14.25" customHeight="1">
      <c r="A628" s="49"/>
      <c r="C628" s="69" t="s">
        <v>23</v>
      </c>
      <c r="D628" s="70"/>
      <c r="E628" s="36"/>
      <c r="F628" s="36"/>
      <c r="G628" s="71"/>
      <c r="H628" s="36"/>
      <c r="I628" s="36"/>
      <c r="J628" s="36"/>
      <c r="K628" s="70"/>
      <c r="L628" s="36"/>
      <c r="M628" s="36"/>
      <c r="N628" s="36"/>
      <c r="O628" s="36"/>
      <c r="P628" s="36"/>
    </row>
    <row r="629" ht="14.25" customHeight="1">
      <c r="A629" s="49"/>
      <c r="C629" s="69" t="s">
        <v>24</v>
      </c>
      <c r="D629" s="70"/>
      <c r="E629" s="36"/>
      <c r="F629" s="36"/>
      <c r="G629" s="71"/>
      <c r="H629" s="36"/>
      <c r="I629" s="36"/>
      <c r="J629" s="36"/>
      <c r="K629" s="70"/>
      <c r="L629" s="36"/>
      <c r="M629" s="36"/>
      <c r="N629" s="36"/>
      <c r="O629" s="36"/>
      <c r="P629" s="36"/>
    </row>
    <row r="630" ht="14.25" customHeight="1">
      <c r="A630" s="49"/>
      <c r="C630" s="69" t="s">
        <v>25</v>
      </c>
      <c r="D630" s="70"/>
      <c r="E630" s="36"/>
      <c r="F630" s="36"/>
      <c r="G630" s="71"/>
      <c r="H630" s="36"/>
      <c r="I630" s="36"/>
      <c r="J630" s="36"/>
      <c r="K630" s="70"/>
      <c r="L630" s="36"/>
      <c r="M630" s="36"/>
      <c r="N630" s="36"/>
      <c r="O630" s="36"/>
      <c r="P630" s="36"/>
    </row>
    <row r="631" ht="14.25" customHeight="1">
      <c r="A631" s="56"/>
      <c r="B631" s="57"/>
      <c r="C631" s="77" t="s">
        <v>26</v>
      </c>
      <c r="D631" s="72"/>
      <c r="E631" s="73"/>
      <c r="F631" s="82">
        <v>1.0</v>
      </c>
      <c r="G631" s="74"/>
      <c r="H631" s="73"/>
      <c r="I631" s="73"/>
      <c r="J631" s="82">
        <v>1.0</v>
      </c>
      <c r="K631" s="72"/>
      <c r="L631" s="73"/>
      <c r="M631" s="73"/>
      <c r="N631" s="73"/>
      <c r="O631" s="73"/>
      <c r="P631" s="73"/>
    </row>
    <row r="632" ht="14.25" customHeight="1">
      <c r="A632" s="78">
        <v>45463.0</v>
      </c>
      <c r="B632" s="63" t="s">
        <v>42</v>
      </c>
      <c r="C632" s="64" t="s">
        <v>20</v>
      </c>
      <c r="D632" s="75">
        <v>1.0</v>
      </c>
      <c r="E632" s="66">
        <v>2.0</v>
      </c>
      <c r="F632" s="66">
        <v>4.0</v>
      </c>
      <c r="G632" s="64">
        <v>5.0</v>
      </c>
      <c r="H632" s="66">
        <v>1.0</v>
      </c>
      <c r="I632" s="66">
        <v>2.0</v>
      </c>
      <c r="J632" s="66">
        <v>5.0</v>
      </c>
      <c r="K632" s="65"/>
      <c r="L632" s="67"/>
      <c r="M632" s="67"/>
      <c r="N632" s="66">
        <v>4.0</v>
      </c>
      <c r="O632" s="67"/>
      <c r="P632" s="67"/>
    </row>
    <row r="633" ht="14.25" customHeight="1">
      <c r="A633" s="49"/>
      <c r="C633" s="69" t="s">
        <v>21</v>
      </c>
      <c r="D633" s="76">
        <v>1.0</v>
      </c>
      <c r="E633" s="36"/>
      <c r="F633" s="16">
        <v>4.0</v>
      </c>
      <c r="G633" s="69">
        <v>1.0</v>
      </c>
      <c r="H633" s="36"/>
      <c r="I633" s="16">
        <v>2.0</v>
      </c>
      <c r="J633" s="36"/>
      <c r="K633" s="70"/>
      <c r="L633" s="36"/>
      <c r="M633" s="36"/>
      <c r="N633" s="16">
        <v>2.0</v>
      </c>
      <c r="O633" s="36"/>
      <c r="P633" s="36"/>
    </row>
    <row r="634" ht="14.25" customHeight="1">
      <c r="A634" s="49"/>
      <c r="C634" s="69" t="s">
        <v>22</v>
      </c>
      <c r="D634" s="70"/>
      <c r="E634" s="36"/>
      <c r="F634" s="36"/>
      <c r="G634" s="71"/>
      <c r="H634" s="36"/>
      <c r="I634" s="36"/>
      <c r="J634" s="36"/>
      <c r="K634" s="70"/>
      <c r="L634" s="36"/>
      <c r="M634" s="36"/>
      <c r="N634" s="36"/>
      <c r="O634" s="36"/>
      <c r="P634" s="36"/>
    </row>
    <row r="635" ht="14.25" customHeight="1">
      <c r="A635" s="49"/>
      <c r="C635" s="69" t="s">
        <v>23</v>
      </c>
      <c r="D635" s="70"/>
      <c r="E635" s="16">
        <v>1.0</v>
      </c>
      <c r="F635" s="36"/>
      <c r="G635" s="71"/>
      <c r="H635" s="36"/>
      <c r="I635" s="36"/>
      <c r="J635" s="36"/>
      <c r="K635" s="70"/>
      <c r="L635" s="36"/>
      <c r="M635" s="36"/>
      <c r="N635" s="16">
        <v>1.0</v>
      </c>
      <c r="O635" s="16">
        <v>1.0</v>
      </c>
      <c r="P635" s="36"/>
    </row>
    <row r="636" ht="14.25" customHeight="1">
      <c r="A636" s="49"/>
      <c r="C636" s="69" t="s">
        <v>24</v>
      </c>
      <c r="D636" s="70"/>
      <c r="E636" s="36"/>
      <c r="F636" s="36"/>
      <c r="G636" s="71"/>
      <c r="H636" s="36"/>
      <c r="I636" s="36"/>
      <c r="J636" s="36"/>
      <c r="K636" s="70"/>
      <c r="L636" s="36"/>
      <c r="M636" s="36"/>
      <c r="N636" s="36"/>
      <c r="O636" s="36"/>
      <c r="P636" s="36"/>
    </row>
    <row r="637" ht="14.25" customHeight="1">
      <c r="A637" s="49"/>
      <c r="C637" s="69" t="s">
        <v>25</v>
      </c>
      <c r="D637" s="70"/>
      <c r="E637" s="36"/>
      <c r="F637" s="36"/>
      <c r="G637" s="71"/>
      <c r="H637" s="36"/>
      <c r="I637" s="36"/>
      <c r="J637" s="36"/>
      <c r="K637" s="70"/>
      <c r="L637" s="36"/>
      <c r="M637" s="36"/>
      <c r="N637" s="36"/>
      <c r="O637" s="36"/>
      <c r="P637" s="36"/>
    </row>
    <row r="638" ht="14.25" customHeight="1">
      <c r="A638" s="56"/>
      <c r="B638" s="57"/>
      <c r="C638" s="77" t="s">
        <v>26</v>
      </c>
      <c r="D638" s="72"/>
      <c r="E638" s="73"/>
      <c r="F638" s="73"/>
      <c r="G638" s="74"/>
      <c r="H638" s="73"/>
      <c r="I638" s="73"/>
      <c r="J638" s="73"/>
      <c r="K638" s="72"/>
      <c r="L638" s="73"/>
      <c r="M638" s="73"/>
      <c r="N638" s="73"/>
      <c r="O638" s="73"/>
      <c r="P638" s="73"/>
    </row>
    <row r="639" ht="14.25" customHeight="1">
      <c r="A639" s="78">
        <v>45463.0</v>
      </c>
      <c r="B639" s="63" t="s">
        <v>41</v>
      </c>
      <c r="C639" s="64" t="s">
        <v>20</v>
      </c>
      <c r="D639" s="75">
        <v>1.0</v>
      </c>
      <c r="E639" s="66">
        <v>1.0</v>
      </c>
      <c r="F639" s="67"/>
      <c r="G639" s="64">
        <v>1.0</v>
      </c>
      <c r="H639" s="67"/>
      <c r="I639" s="66">
        <v>1.0</v>
      </c>
      <c r="J639" s="67"/>
      <c r="K639" s="65"/>
      <c r="L639" s="67"/>
      <c r="M639" s="67"/>
      <c r="N639" s="66">
        <v>1.0</v>
      </c>
      <c r="O639" s="66">
        <v>1.0</v>
      </c>
      <c r="P639" s="67"/>
    </row>
    <row r="640" ht="14.25" customHeight="1">
      <c r="A640" s="49"/>
      <c r="C640" s="69" t="s">
        <v>21</v>
      </c>
      <c r="D640" s="70"/>
      <c r="E640" s="36"/>
      <c r="F640" s="36"/>
      <c r="G640" s="71"/>
      <c r="H640" s="36"/>
      <c r="I640" s="36"/>
      <c r="J640" s="36"/>
      <c r="K640" s="70"/>
      <c r="L640" s="36"/>
      <c r="M640" s="36"/>
      <c r="N640" s="36"/>
      <c r="O640" s="36"/>
      <c r="P640" s="36"/>
    </row>
    <row r="641" ht="14.25" customHeight="1">
      <c r="A641" s="49"/>
      <c r="C641" s="69" t="s">
        <v>22</v>
      </c>
      <c r="D641" s="70"/>
      <c r="E641" s="36"/>
      <c r="F641" s="36"/>
      <c r="G641" s="71"/>
      <c r="H641" s="36"/>
      <c r="I641" s="36"/>
      <c r="J641" s="36"/>
      <c r="K641" s="70"/>
      <c r="L641" s="36"/>
      <c r="M641" s="36"/>
      <c r="N641" s="36"/>
      <c r="O641" s="36"/>
      <c r="P641" s="36"/>
    </row>
    <row r="642" ht="14.25" customHeight="1">
      <c r="A642" s="49"/>
      <c r="C642" s="69" t="s">
        <v>23</v>
      </c>
      <c r="D642" s="70"/>
      <c r="E642" s="36"/>
      <c r="F642" s="36"/>
      <c r="G642" s="71"/>
      <c r="H642" s="36"/>
      <c r="I642" s="36"/>
      <c r="J642" s="36"/>
      <c r="K642" s="70"/>
      <c r="L642" s="36"/>
      <c r="M642" s="36"/>
      <c r="N642" s="36"/>
      <c r="O642" s="36"/>
      <c r="P642" s="36"/>
    </row>
    <row r="643" ht="14.25" customHeight="1">
      <c r="A643" s="49"/>
      <c r="C643" s="69" t="s">
        <v>24</v>
      </c>
      <c r="D643" s="70"/>
      <c r="E643" s="36"/>
      <c r="F643" s="36"/>
      <c r="G643" s="71"/>
      <c r="H643" s="36"/>
      <c r="I643" s="36"/>
      <c r="J643" s="36"/>
      <c r="K643" s="70"/>
      <c r="L643" s="36"/>
      <c r="M643" s="36"/>
      <c r="N643" s="36"/>
      <c r="O643" s="36"/>
      <c r="P643" s="36"/>
    </row>
    <row r="644" ht="14.25" customHeight="1">
      <c r="A644" s="49"/>
      <c r="C644" s="69" t="s">
        <v>25</v>
      </c>
      <c r="D644" s="70"/>
      <c r="E644" s="36"/>
      <c r="F644" s="36"/>
      <c r="G644" s="71"/>
      <c r="H644" s="36"/>
      <c r="I644" s="36"/>
      <c r="J644" s="36"/>
      <c r="K644" s="70"/>
      <c r="L644" s="36"/>
      <c r="M644" s="36"/>
      <c r="N644" s="36"/>
      <c r="O644" s="36"/>
      <c r="P644" s="36"/>
    </row>
    <row r="645" ht="14.25" customHeight="1">
      <c r="A645" s="56"/>
      <c r="B645" s="57"/>
      <c r="C645" s="77" t="s">
        <v>26</v>
      </c>
      <c r="D645" s="72"/>
      <c r="E645" s="73"/>
      <c r="F645" s="73"/>
      <c r="G645" s="74"/>
      <c r="H645" s="73"/>
      <c r="I645" s="73"/>
      <c r="J645" s="73"/>
      <c r="K645" s="72"/>
      <c r="L645" s="73"/>
      <c r="M645" s="73"/>
      <c r="N645" s="73"/>
      <c r="O645" s="73"/>
      <c r="P645" s="73"/>
    </row>
    <row r="646" ht="14.25" customHeight="1">
      <c r="A646" s="78">
        <v>45464.0</v>
      </c>
      <c r="B646" s="63" t="s">
        <v>41</v>
      </c>
      <c r="C646" s="64" t="s">
        <v>20</v>
      </c>
      <c r="D646" s="65"/>
      <c r="E646" s="67"/>
      <c r="F646" s="67"/>
      <c r="G646" s="68"/>
      <c r="H646" s="67"/>
      <c r="I646" s="67"/>
      <c r="J646" s="67"/>
      <c r="K646" s="65"/>
      <c r="L646" s="67"/>
      <c r="M646" s="67"/>
      <c r="N646" s="67"/>
      <c r="O646" s="67"/>
      <c r="P646" s="67"/>
    </row>
    <row r="647" ht="14.25" customHeight="1">
      <c r="A647" s="49"/>
      <c r="C647" s="69" t="s">
        <v>21</v>
      </c>
      <c r="D647" s="70"/>
      <c r="E647" s="36"/>
      <c r="F647" s="36"/>
      <c r="G647" s="71"/>
      <c r="H647" s="36"/>
      <c r="I647" s="36"/>
      <c r="J647" s="36"/>
      <c r="K647" s="70"/>
      <c r="L647" s="36"/>
      <c r="M647" s="36"/>
      <c r="N647" s="36"/>
      <c r="O647" s="36"/>
      <c r="P647" s="36"/>
    </row>
    <row r="648" ht="14.25" customHeight="1">
      <c r="A648" s="49"/>
      <c r="C648" s="69" t="s">
        <v>22</v>
      </c>
      <c r="D648" s="70"/>
      <c r="E648" s="36"/>
      <c r="F648" s="36"/>
      <c r="G648" s="71"/>
      <c r="H648" s="36"/>
      <c r="I648" s="36"/>
      <c r="J648" s="36"/>
      <c r="K648" s="70"/>
      <c r="L648" s="36"/>
      <c r="M648" s="36"/>
      <c r="N648" s="36"/>
      <c r="O648" s="36"/>
      <c r="P648" s="36"/>
    </row>
    <row r="649" ht="14.25" customHeight="1">
      <c r="A649" s="49"/>
      <c r="C649" s="69" t="s">
        <v>23</v>
      </c>
      <c r="D649" s="70"/>
      <c r="E649" s="36"/>
      <c r="F649" s="16">
        <v>1.0</v>
      </c>
      <c r="G649" s="71"/>
      <c r="H649" s="16">
        <v>1.0</v>
      </c>
      <c r="I649" s="36"/>
      <c r="J649" s="36"/>
      <c r="K649" s="70"/>
      <c r="L649" s="36"/>
      <c r="M649" s="36"/>
      <c r="N649" s="36"/>
      <c r="O649" s="36"/>
      <c r="P649" s="36"/>
    </row>
    <row r="650" ht="14.25" customHeight="1">
      <c r="A650" s="49"/>
      <c r="C650" s="69" t="s">
        <v>24</v>
      </c>
      <c r="D650" s="70"/>
      <c r="E650" s="36"/>
      <c r="F650" s="36"/>
      <c r="G650" s="71"/>
      <c r="H650" s="36"/>
      <c r="I650" s="36"/>
      <c r="J650" s="36"/>
      <c r="K650" s="70"/>
      <c r="L650" s="36"/>
      <c r="M650" s="36"/>
      <c r="N650" s="36"/>
      <c r="O650" s="36"/>
      <c r="P650" s="36"/>
    </row>
    <row r="651" ht="14.25" customHeight="1">
      <c r="A651" s="49"/>
      <c r="C651" s="69" t="s">
        <v>25</v>
      </c>
      <c r="D651" s="70"/>
      <c r="E651" s="36"/>
      <c r="F651" s="36"/>
      <c r="G651" s="71"/>
      <c r="H651" s="36"/>
      <c r="I651" s="36"/>
      <c r="J651" s="36"/>
      <c r="K651" s="70"/>
      <c r="L651" s="36"/>
      <c r="M651" s="36"/>
      <c r="N651" s="36"/>
      <c r="O651" s="36"/>
      <c r="P651" s="36"/>
    </row>
    <row r="652" ht="14.25" customHeight="1">
      <c r="A652" s="56"/>
      <c r="B652" s="57"/>
      <c r="C652" s="77" t="s">
        <v>26</v>
      </c>
      <c r="D652" s="72"/>
      <c r="E652" s="73"/>
      <c r="F652" s="73"/>
      <c r="G652" s="74"/>
      <c r="H652" s="73"/>
      <c r="I652" s="73"/>
      <c r="J652" s="73"/>
      <c r="K652" s="72"/>
      <c r="L652" s="73"/>
      <c r="M652" s="73"/>
      <c r="N652" s="73"/>
      <c r="O652" s="73"/>
      <c r="P652" s="73"/>
    </row>
    <row r="653" ht="14.25" customHeight="1">
      <c r="A653" s="79">
        <v>45464.0</v>
      </c>
      <c r="B653" s="63" t="s">
        <v>42</v>
      </c>
      <c r="C653" s="64" t="s">
        <v>20</v>
      </c>
      <c r="D653" s="75">
        <v>4.0</v>
      </c>
      <c r="E653" s="66">
        <v>2.0</v>
      </c>
      <c r="F653" s="66">
        <v>2.0</v>
      </c>
      <c r="G653" s="64">
        <v>3.0</v>
      </c>
      <c r="H653" s="66">
        <v>4.0</v>
      </c>
      <c r="I653" s="67"/>
      <c r="J653" s="67"/>
      <c r="K653" s="65"/>
      <c r="L653" s="67"/>
      <c r="M653" s="67"/>
      <c r="N653" s="66">
        <v>1.0</v>
      </c>
      <c r="O653" s="66">
        <v>1.0</v>
      </c>
      <c r="P653" s="67"/>
    </row>
    <row r="654" ht="14.25" customHeight="1">
      <c r="A654" s="49"/>
      <c r="C654" s="69" t="s">
        <v>21</v>
      </c>
      <c r="D654" s="70"/>
      <c r="E654" s="36"/>
      <c r="F654" s="36"/>
      <c r="G654" s="69">
        <v>1.0</v>
      </c>
      <c r="H654" s="36"/>
      <c r="I654" s="36"/>
      <c r="J654" s="36"/>
      <c r="K654" s="70"/>
      <c r="L654" s="36"/>
      <c r="M654" s="36"/>
      <c r="N654" s="16">
        <v>1.0</v>
      </c>
      <c r="O654" s="36"/>
      <c r="P654" s="36"/>
    </row>
    <row r="655" ht="14.25" customHeight="1">
      <c r="A655" s="49"/>
      <c r="C655" s="69" t="s">
        <v>22</v>
      </c>
      <c r="D655" s="70"/>
      <c r="E655" s="36"/>
      <c r="F655" s="36"/>
      <c r="G655" s="71"/>
      <c r="H655" s="36"/>
      <c r="I655" s="36"/>
      <c r="J655" s="36"/>
      <c r="K655" s="70"/>
      <c r="L655" s="36"/>
      <c r="M655" s="36"/>
      <c r="N655" s="36"/>
      <c r="O655" s="36"/>
      <c r="P655" s="36"/>
    </row>
    <row r="656" ht="14.25" customHeight="1">
      <c r="A656" s="49"/>
      <c r="C656" s="69" t="s">
        <v>23</v>
      </c>
      <c r="D656" s="70"/>
      <c r="E656" s="36"/>
      <c r="F656" s="36"/>
      <c r="G656" s="71"/>
      <c r="H656" s="36"/>
      <c r="I656" s="36"/>
      <c r="J656" s="36"/>
      <c r="K656" s="70"/>
      <c r="L656" s="36"/>
      <c r="M656" s="36"/>
      <c r="N656" s="36"/>
      <c r="O656" s="36"/>
      <c r="P656" s="36"/>
    </row>
    <row r="657" ht="14.25" customHeight="1">
      <c r="A657" s="49"/>
      <c r="C657" s="69" t="s">
        <v>24</v>
      </c>
      <c r="D657" s="70"/>
      <c r="E657" s="36"/>
      <c r="F657" s="36"/>
      <c r="G657" s="71"/>
      <c r="H657" s="36"/>
      <c r="I657" s="36"/>
      <c r="J657" s="36"/>
      <c r="K657" s="70"/>
      <c r="L657" s="36"/>
      <c r="M657" s="36"/>
      <c r="N657" s="36"/>
      <c r="O657" s="36"/>
      <c r="P657" s="36"/>
    </row>
    <row r="658" ht="14.25" customHeight="1">
      <c r="A658" s="49"/>
      <c r="C658" s="69" t="s">
        <v>25</v>
      </c>
      <c r="D658" s="70"/>
      <c r="E658" s="36"/>
      <c r="F658" s="36"/>
      <c r="G658" s="71"/>
      <c r="H658" s="36"/>
      <c r="I658" s="36"/>
      <c r="J658" s="36"/>
      <c r="K658" s="70"/>
      <c r="L658" s="36"/>
      <c r="M658" s="36"/>
      <c r="N658" s="36"/>
      <c r="O658" s="36"/>
      <c r="P658" s="36"/>
    </row>
    <row r="659" ht="14.25" customHeight="1">
      <c r="A659" s="56"/>
      <c r="B659" s="57"/>
      <c r="C659" s="77" t="s">
        <v>26</v>
      </c>
      <c r="D659" s="72"/>
      <c r="E659" s="73"/>
      <c r="F659" s="73"/>
      <c r="G659" s="74"/>
      <c r="H659" s="73"/>
      <c r="I659" s="73"/>
      <c r="J659" s="73"/>
      <c r="K659" s="72"/>
      <c r="L659" s="73"/>
      <c r="M659" s="73"/>
      <c r="N659" s="73"/>
      <c r="O659" s="73"/>
      <c r="P659" s="73"/>
    </row>
    <row r="660" ht="14.25" customHeight="1">
      <c r="A660" s="78">
        <v>45467.0</v>
      </c>
      <c r="B660" s="63" t="s">
        <v>43</v>
      </c>
      <c r="C660" s="64" t="s">
        <v>20</v>
      </c>
      <c r="D660" s="65"/>
      <c r="E660" s="66">
        <v>3.0</v>
      </c>
      <c r="F660" s="66">
        <v>4.0</v>
      </c>
      <c r="G660" s="68"/>
      <c r="H660" s="66">
        <v>1.0</v>
      </c>
      <c r="I660" s="66">
        <v>1.0</v>
      </c>
      <c r="J660" s="67"/>
      <c r="K660" s="65"/>
      <c r="L660" s="67"/>
      <c r="M660" s="67"/>
      <c r="N660" s="67"/>
      <c r="O660" s="67"/>
      <c r="P660" s="67"/>
    </row>
    <row r="661" ht="14.25" customHeight="1">
      <c r="A661" s="49"/>
      <c r="C661" s="69" t="s">
        <v>21</v>
      </c>
      <c r="D661" s="76">
        <v>1.0</v>
      </c>
      <c r="E661" s="16">
        <v>1.0</v>
      </c>
      <c r="F661" s="36"/>
      <c r="G661" s="71"/>
      <c r="H661" s="16">
        <v>1.0</v>
      </c>
      <c r="I661" s="36"/>
      <c r="J661" s="36"/>
      <c r="K661" s="70"/>
      <c r="L661" s="36"/>
      <c r="M661" s="36"/>
      <c r="N661" s="36"/>
      <c r="O661" s="36"/>
      <c r="P661" s="36"/>
    </row>
    <row r="662" ht="14.25" customHeight="1">
      <c r="A662" s="49"/>
      <c r="C662" s="69" t="s">
        <v>22</v>
      </c>
      <c r="D662" s="70"/>
      <c r="E662" s="36"/>
      <c r="F662" s="36"/>
      <c r="G662" s="71"/>
      <c r="H662" s="36"/>
      <c r="I662" s="36"/>
      <c r="J662" s="36"/>
      <c r="K662" s="70"/>
      <c r="L662" s="36"/>
      <c r="M662" s="36"/>
      <c r="N662" s="36"/>
      <c r="O662" s="36"/>
      <c r="P662" s="36"/>
    </row>
    <row r="663" ht="14.25" customHeight="1">
      <c r="A663" s="49"/>
      <c r="C663" s="69" t="s">
        <v>23</v>
      </c>
      <c r="D663" s="70"/>
      <c r="E663" s="36"/>
      <c r="F663" s="36"/>
      <c r="G663" s="71"/>
      <c r="H663" s="36"/>
      <c r="I663" s="36"/>
      <c r="J663" s="36"/>
      <c r="K663" s="70"/>
      <c r="L663" s="36"/>
      <c r="M663" s="36"/>
      <c r="N663" s="36"/>
      <c r="O663" s="36"/>
      <c r="P663" s="36"/>
    </row>
    <row r="664" ht="14.25" customHeight="1">
      <c r="A664" s="49"/>
      <c r="C664" s="69" t="s">
        <v>24</v>
      </c>
      <c r="D664" s="70"/>
      <c r="E664" s="36"/>
      <c r="F664" s="36"/>
      <c r="G664" s="71"/>
      <c r="H664" s="36"/>
      <c r="I664" s="36"/>
      <c r="J664" s="36"/>
      <c r="K664" s="70"/>
      <c r="L664" s="36"/>
      <c r="M664" s="36"/>
      <c r="N664" s="36"/>
      <c r="O664" s="36"/>
      <c r="P664" s="36"/>
    </row>
    <row r="665" ht="14.25" customHeight="1">
      <c r="A665" s="49"/>
      <c r="C665" s="69" t="s">
        <v>25</v>
      </c>
      <c r="D665" s="70"/>
      <c r="E665" s="36"/>
      <c r="F665" s="36"/>
      <c r="G665" s="71"/>
      <c r="H665" s="36"/>
      <c r="I665" s="36"/>
      <c r="J665" s="36"/>
      <c r="K665" s="70"/>
      <c r="L665" s="36"/>
      <c r="M665" s="36"/>
      <c r="N665" s="36"/>
      <c r="O665" s="36"/>
      <c r="P665" s="36"/>
    </row>
    <row r="666" ht="14.25" customHeight="1">
      <c r="A666" s="56"/>
      <c r="B666" s="57"/>
      <c r="C666" s="77" t="s">
        <v>26</v>
      </c>
      <c r="D666" s="72"/>
      <c r="E666" s="73"/>
      <c r="F666" s="73"/>
      <c r="G666" s="74"/>
      <c r="H666" s="73"/>
      <c r="I666" s="73"/>
      <c r="J666" s="73"/>
      <c r="K666" s="72"/>
      <c r="L666" s="73"/>
      <c r="M666" s="73"/>
      <c r="N666" s="73"/>
      <c r="O666" s="73"/>
      <c r="P666" s="73"/>
    </row>
    <row r="667" ht="14.25" customHeight="1">
      <c r="A667" s="78">
        <v>45467.0</v>
      </c>
      <c r="B667" s="63" t="s">
        <v>42</v>
      </c>
      <c r="C667" s="64" t="s">
        <v>20</v>
      </c>
      <c r="D667" s="65"/>
      <c r="E667" s="67"/>
      <c r="F667" s="66">
        <v>8.0</v>
      </c>
      <c r="G667" s="64">
        <v>1.0</v>
      </c>
      <c r="H667" s="66">
        <v>5.0</v>
      </c>
      <c r="I667" s="66">
        <v>1.0</v>
      </c>
      <c r="J667" s="67"/>
      <c r="K667" s="65"/>
      <c r="L667" s="67"/>
      <c r="M667" s="67"/>
      <c r="N667" s="66">
        <v>2.0</v>
      </c>
      <c r="O667" s="66">
        <v>1.0</v>
      </c>
      <c r="P667" s="67"/>
    </row>
    <row r="668" ht="14.25" customHeight="1">
      <c r="A668" s="49"/>
      <c r="C668" s="69" t="s">
        <v>21</v>
      </c>
      <c r="D668" s="76">
        <v>1.0</v>
      </c>
      <c r="E668" s="16">
        <v>2.0</v>
      </c>
      <c r="F668" s="36"/>
      <c r="G668" s="71"/>
      <c r="H668" s="16">
        <v>2.0</v>
      </c>
      <c r="I668" s="36"/>
      <c r="J668" s="36"/>
      <c r="K668" s="70"/>
      <c r="L668" s="36"/>
      <c r="M668" s="36"/>
      <c r="N668" s="36"/>
      <c r="O668" s="36"/>
      <c r="P668" s="36"/>
    </row>
    <row r="669" ht="14.25" customHeight="1">
      <c r="A669" s="49"/>
      <c r="C669" s="69" t="s">
        <v>22</v>
      </c>
      <c r="D669" s="70"/>
      <c r="E669" s="36"/>
      <c r="F669" s="36"/>
      <c r="G669" s="71"/>
      <c r="H669" s="36"/>
      <c r="I669" s="36"/>
      <c r="J669" s="36"/>
      <c r="K669" s="70"/>
      <c r="L669" s="36"/>
      <c r="M669" s="36"/>
      <c r="N669" s="36"/>
      <c r="O669" s="36"/>
      <c r="P669" s="36"/>
    </row>
    <row r="670" ht="14.25" customHeight="1">
      <c r="A670" s="49"/>
      <c r="C670" s="69" t="s">
        <v>23</v>
      </c>
      <c r="D670" s="70"/>
      <c r="E670" s="36"/>
      <c r="F670" s="36"/>
      <c r="G670" s="71"/>
      <c r="H670" s="36"/>
      <c r="I670" s="36"/>
      <c r="J670" s="36"/>
      <c r="K670" s="70"/>
      <c r="L670" s="36"/>
      <c r="M670" s="36"/>
      <c r="N670" s="36"/>
      <c r="O670" s="36"/>
      <c r="P670" s="36"/>
    </row>
    <row r="671" ht="14.25" customHeight="1">
      <c r="A671" s="49"/>
      <c r="C671" s="69" t="s">
        <v>24</v>
      </c>
      <c r="D671" s="70"/>
      <c r="E671" s="36"/>
      <c r="F671" s="36"/>
      <c r="G671" s="71"/>
      <c r="H671" s="36"/>
      <c r="I671" s="36"/>
      <c r="J671" s="36"/>
      <c r="K671" s="70"/>
      <c r="L671" s="36"/>
      <c r="M671" s="36"/>
      <c r="N671" s="36"/>
      <c r="O671" s="36"/>
      <c r="P671" s="36"/>
    </row>
    <row r="672" ht="14.25" customHeight="1">
      <c r="A672" s="49"/>
      <c r="C672" s="69" t="s">
        <v>25</v>
      </c>
      <c r="D672" s="70"/>
      <c r="E672" s="36"/>
      <c r="F672" s="36"/>
      <c r="G672" s="71"/>
      <c r="H672" s="36"/>
      <c r="I672" s="36"/>
      <c r="J672" s="36"/>
      <c r="K672" s="70"/>
      <c r="L672" s="36"/>
      <c r="M672" s="36"/>
      <c r="N672" s="36"/>
      <c r="O672" s="36"/>
      <c r="P672" s="36"/>
    </row>
    <row r="673" ht="14.25" customHeight="1">
      <c r="A673" s="56"/>
      <c r="B673" s="57"/>
      <c r="C673" s="77" t="s">
        <v>26</v>
      </c>
      <c r="D673" s="72"/>
      <c r="E673" s="73"/>
      <c r="F673" s="73"/>
      <c r="G673" s="74"/>
      <c r="H673" s="73"/>
      <c r="I673" s="73"/>
      <c r="J673" s="73"/>
      <c r="K673" s="72"/>
      <c r="L673" s="73"/>
      <c r="M673" s="73"/>
      <c r="N673" s="73"/>
      <c r="O673" s="73"/>
      <c r="P673" s="73"/>
    </row>
    <row r="674" ht="14.25" customHeight="1">
      <c r="A674" s="78">
        <v>45468.0</v>
      </c>
      <c r="B674" s="63" t="s">
        <v>43</v>
      </c>
      <c r="C674" s="64" t="s">
        <v>20</v>
      </c>
      <c r="D674" s="75">
        <v>3.0</v>
      </c>
      <c r="E674" s="66">
        <v>2.0</v>
      </c>
      <c r="F674" s="66">
        <v>4.0</v>
      </c>
      <c r="G674" s="64">
        <v>3.0</v>
      </c>
      <c r="H674" s="66">
        <v>5.0</v>
      </c>
      <c r="I674" s="67"/>
      <c r="J674" s="67"/>
      <c r="K674" s="65"/>
      <c r="L674" s="67"/>
      <c r="M674" s="67"/>
      <c r="N674" s="66">
        <v>3.0</v>
      </c>
      <c r="O674" s="67"/>
      <c r="P674" s="67"/>
    </row>
    <row r="675" ht="14.25" customHeight="1">
      <c r="A675" s="49"/>
      <c r="C675" s="69" t="s">
        <v>21</v>
      </c>
      <c r="D675" s="70"/>
      <c r="E675" s="36"/>
      <c r="F675" s="16">
        <v>2.0</v>
      </c>
      <c r="G675" s="71"/>
      <c r="H675" s="16">
        <v>2.0</v>
      </c>
      <c r="I675" s="36"/>
      <c r="J675" s="36"/>
      <c r="K675" s="70"/>
      <c r="L675" s="36"/>
      <c r="M675" s="36"/>
      <c r="N675" s="36"/>
      <c r="O675" s="36"/>
      <c r="P675" s="36"/>
    </row>
    <row r="676" ht="14.25" customHeight="1">
      <c r="A676" s="49"/>
      <c r="C676" s="69" t="s">
        <v>22</v>
      </c>
      <c r="D676" s="70"/>
      <c r="E676" s="36"/>
      <c r="F676" s="36"/>
      <c r="G676" s="71"/>
      <c r="H676" s="36"/>
      <c r="I676" s="36"/>
      <c r="J676" s="36"/>
      <c r="K676" s="70"/>
      <c r="L676" s="36"/>
      <c r="M676" s="36"/>
      <c r="N676" s="36"/>
      <c r="O676" s="36"/>
      <c r="P676" s="36"/>
    </row>
    <row r="677" ht="14.25" customHeight="1">
      <c r="A677" s="49"/>
      <c r="C677" s="69" t="s">
        <v>23</v>
      </c>
      <c r="D677" s="70"/>
      <c r="E677" s="36"/>
      <c r="F677" s="36"/>
      <c r="G677" s="71"/>
      <c r="H677" s="36"/>
      <c r="I677" s="36"/>
      <c r="J677" s="36"/>
      <c r="K677" s="70"/>
      <c r="L677" s="36"/>
      <c r="M677" s="36"/>
      <c r="N677" s="36"/>
      <c r="O677" s="36"/>
      <c r="P677" s="36"/>
    </row>
    <row r="678" ht="14.25" customHeight="1">
      <c r="A678" s="49"/>
      <c r="C678" s="69" t="s">
        <v>24</v>
      </c>
      <c r="D678" s="70"/>
      <c r="E678" s="36"/>
      <c r="F678" s="36"/>
      <c r="G678" s="71"/>
      <c r="H678" s="36"/>
      <c r="I678" s="36"/>
      <c r="J678" s="36"/>
      <c r="K678" s="70"/>
      <c r="L678" s="36"/>
      <c r="M678" s="36"/>
      <c r="N678" s="36"/>
      <c r="O678" s="36"/>
      <c r="P678" s="36"/>
    </row>
    <row r="679" ht="14.25" customHeight="1">
      <c r="A679" s="49"/>
      <c r="C679" s="69" t="s">
        <v>25</v>
      </c>
      <c r="D679" s="70"/>
      <c r="E679" s="36"/>
      <c r="F679" s="36"/>
      <c r="G679" s="71"/>
      <c r="H679" s="36"/>
      <c r="I679" s="36"/>
      <c r="J679" s="36"/>
      <c r="K679" s="70"/>
      <c r="L679" s="36"/>
      <c r="M679" s="36"/>
      <c r="N679" s="36"/>
      <c r="O679" s="36"/>
      <c r="P679" s="36"/>
    </row>
    <row r="680" ht="14.25" customHeight="1">
      <c r="A680" s="56"/>
      <c r="B680" s="57"/>
      <c r="C680" s="77" t="s">
        <v>26</v>
      </c>
      <c r="D680" s="72"/>
      <c r="E680" s="73"/>
      <c r="F680" s="73"/>
      <c r="G680" s="74"/>
      <c r="H680" s="73"/>
      <c r="I680" s="73"/>
      <c r="J680" s="73"/>
      <c r="K680" s="72"/>
      <c r="L680" s="73"/>
      <c r="M680" s="73"/>
      <c r="N680" s="73"/>
      <c r="O680" s="73"/>
      <c r="P680" s="73"/>
    </row>
    <row r="681" ht="14.25" customHeight="1">
      <c r="A681" s="78">
        <v>45468.0</v>
      </c>
      <c r="B681" s="63" t="s">
        <v>41</v>
      </c>
      <c r="C681" s="64" t="s">
        <v>20</v>
      </c>
      <c r="D681" s="75">
        <v>1.0</v>
      </c>
      <c r="E681" s="66">
        <v>3.0</v>
      </c>
      <c r="F681" s="66">
        <v>4.0</v>
      </c>
      <c r="G681" s="64">
        <v>1.0</v>
      </c>
      <c r="H681" s="66">
        <v>4.0</v>
      </c>
      <c r="I681" s="66">
        <v>2.0</v>
      </c>
      <c r="J681" s="67"/>
      <c r="K681" s="65"/>
      <c r="L681" s="67"/>
      <c r="M681" s="67"/>
      <c r="N681" s="67"/>
      <c r="O681" s="67"/>
      <c r="P681" s="67"/>
    </row>
    <row r="682" ht="14.25" customHeight="1">
      <c r="A682" s="49"/>
      <c r="C682" s="69" t="s">
        <v>21</v>
      </c>
      <c r="D682" s="70"/>
      <c r="E682" s="36"/>
      <c r="F682" s="16">
        <v>1.0</v>
      </c>
      <c r="G682" s="69">
        <v>5.0</v>
      </c>
      <c r="H682" s="36"/>
      <c r="I682" s="16">
        <v>1.0</v>
      </c>
      <c r="J682" s="16">
        <v>1.0</v>
      </c>
      <c r="K682" s="70"/>
      <c r="L682" s="36"/>
      <c r="M682" s="36"/>
      <c r="N682" s="36"/>
      <c r="O682" s="16">
        <v>3.0</v>
      </c>
      <c r="P682" s="36"/>
    </row>
    <row r="683" ht="14.25" customHeight="1">
      <c r="A683" s="49"/>
      <c r="C683" s="69" t="s">
        <v>22</v>
      </c>
      <c r="D683" s="70"/>
      <c r="E683" s="36"/>
      <c r="F683" s="36"/>
      <c r="G683" s="71"/>
      <c r="H683" s="36"/>
      <c r="I683" s="36"/>
      <c r="J683" s="36"/>
      <c r="K683" s="70"/>
      <c r="L683" s="36"/>
      <c r="M683" s="36"/>
      <c r="N683" s="36"/>
      <c r="O683" s="36"/>
      <c r="P683" s="36"/>
    </row>
    <row r="684" ht="14.25" customHeight="1">
      <c r="A684" s="49"/>
      <c r="C684" s="69" t="s">
        <v>23</v>
      </c>
      <c r="D684" s="70"/>
      <c r="E684" s="36"/>
      <c r="F684" s="36"/>
      <c r="G684" s="71"/>
      <c r="H684" s="36"/>
      <c r="I684" s="36"/>
      <c r="J684" s="36"/>
      <c r="K684" s="70"/>
      <c r="L684" s="36"/>
      <c r="M684" s="36"/>
      <c r="N684" s="36"/>
      <c r="O684" s="36"/>
      <c r="P684" s="36"/>
    </row>
    <row r="685" ht="14.25" customHeight="1">
      <c r="A685" s="49"/>
      <c r="C685" s="69" t="s">
        <v>24</v>
      </c>
      <c r="D685" s="70"/>
      <c r="E685" s="36"/>
      <c r="F685" s="36"/>
      <c r="G685" s="71"/>
      <c r="H685" s="36"/>
      <c r="I685" s="36"/>
      <c r="J685" s="36"/>
      <c r="K685" s="70"/>
      <c r="L685" s="36"/>
      <c r="M685" s="36"/>
      <c r="N685" s="36"/>
      <c r="O685" s="36"/>
      <c r="P685" s="36"/>
    </row>
    <row r="686" ht="14.25" customHeight="1">
      <c r="A686" s="49"/>
      <c r="C686" s="69" t="s">
        <v>25</v>
      </c>
      <c r="D686" s="70"/>
      <c r="E686" s="36"/>
      <c r="F686" s="36"/>
      <c r="G686" s="71"/>
      <c r="H686" s="36"/>
      <c r="I686" s="36"/>
      <c r="J686" s="36"/>
      <c r="K686" s="70"/>
      <c r="L686" s="36"/>
      <c r="M686" s="36"/>
      <c r="N686" s="36"/>
      <c r="O686" s="36"/>
      <c r="P686" s="36"/>
    </row>
    <row r="687" ht="14.25" customHeight="1">
      <c r="A687" s="56"/>
      <c r="B687" s="57"/>
      <c r="C687" s="77" t="s">
        <v>26</v>
      </c>
      <c r="D687" s="72"/>
      <c r="E687" s="73"/>
      <c r="F687" s="73"/>
      <c r="G687" s="74"/>
      <c r="H687" s="73"/>
      <c r="I687" s="73"/>
      <c r="J687" s="73"/>
      <c r="K687" s="72"/>
      <c r="L687" s="73"/>
      <c r="M687" s="73"/>
      <c r="N687" s="73"/>
      <c r="O687" s="73"/>
      <c r="P687" s="73"/>
    </row>
    <row r="688" ht="14.25" customHeight="1">
      <c r="A688" s="78">
        <v>45469.0</v>
      </c>
      <c r="B688" s="63" t="s">
        <v>42</v>
      </c>
      <c r="C688" s="64" t="s">
        <v>20</v>
      </c>
      <c r="D688" s="75">
        <v>1.0</v>
      </c>
      <c r="E688" s="66">
        <v>1.0</v>
      </c>
      <c r="F688" s="66">
        <v>1.0</v>
      </c>
      <c r="G688" s="64">
        <v>2.0</v>
      </c>
      <c r="H688" s="66">
        <v>2.0</v>
      </c>
      <c r="I688" s="67"/>
      <c r="J688" s="66">
        <v>1.0</v>
      </c>
      <c r="K688" s="65"/>
      <c r="L688" s="67"/>
      <c r="M688" s="67"/>
      <c r="N688" s="67"/>
      <c r="O688" s="66">
        <v>2.0</v>
      </c>
      <c r="P688" s="67"/>
    </row>
    <row r="689" ht="14.25" customHeight="1">
      <c r="A689" s="49"/>
      <c r="C689" s="69" t="s">
        <v>21</v>
      </c>
      <c r="D689" s="70"/>
      <c r="E689" s="36"/>
      <c r="F689" s="36"/>
      <c r="G689" s="71"/>
      <c r="H689" s="36"/>
      <c r="I689" s="36"/>
      <c r="J689" s="36"/>
      <c r="K689" s="70"/>
      <c r="L689" s="36"/>
      <c r="M689" s="36"/>
      <c r="N689" s="36"/>
      <c r="O689" s="36"/>
      <c r="P689" s="36"/>
    </row>
    <row r="690" ht="14.25" customHeight="1">
      <c r="A690" s="49"/>
      <c r="C690" s="69" t="s">
        <v>22</v>
      </c>
      <c r="D690" s="76">
        <v>4.0</v>
      </c>
      <c r="E690" s="36"/>
      <c r="F690" s="36"/>
      <c r="G690" s="71"/>
      <c r="H690" s="36"/>
      <c r="I690" s="36"/>
      <c r="J690" s="36"/>
      <c r="K690" s="70"/>
      <c r="L690" s="36"/>
      <c r="M690" s="36"/>
      <c r="N690" s="36"/>
      <c r="O690" s="36"/>
      <c r="P690" s="36"/>
    </row>
    <row r="691" ht="14.25" customHeight="1">
      <c r="A691" s="49"/>
      <c r="C691" s="69" t="s">
        <v>23</v>
      </c>
      <c r="D691" s="70"/>
      <c r="E691" s="36"/>
      <c r="F691" s="36"/>
      <c r="G691" s="71"/>
      <c r="H691" s="36"/>
      <c r="I691" s="36"/>
      <c r="J691" s="36"/>
      <c r="K691" s="70"/>
      <c r="L691" s="36"/>
      <c r="M691" s="36"/>
      <c r="N691" s="36"/>
      <c r="O691" s="36"/>
      <c r="P691" s="36"/>
    </row>
    <row r="692" ht="14.25" customHeight="1">
      <c r="A692" s="49"/>
      <c r="C692" s="69" t="s">
        <v>24</v>
      </c>
      <c r="D692" s="70"/>
      <c r="E692" s="36"/>
      <c r="F692" s="36"/>
      <c r="G692" s="71"/>
      <c r="H692" s="36"/>
      <c r="I692" s="36"/>
      <c r="J692" s="36"/>
      <c r="K692" s="70"/>
      <c r="L692" s="36"/>
      <c r="M692" s="36"/>
      <c r="N692" s="36"/>
      <c r="O692" s="36"/>
      <c r="P692" s="36"/>
    </row>
    <row r="693" ht="14.25" customHeight="1">
      <c r="A693" s="49"/>
      <c r="C693" s="69" t="s">
        <v>25</v>
      </c>
      <c r="D693" s="70"/>
      <c r="E693" s="36"/>
      <c r="F693" s="36"/>
      <c r="G693" s="71"/>
      <c r="H693" s="36"/>
      <c r="I693" s="36"/>
      <c r="J693" s="36"/>
      <c r="K693" s="70"/>
      <c r="L693" s="36"/>
      <c r="M693" s="36"/>
      <c r="N693" s="36"/>
      <c r="O693" s="36"/>
      <c r="P693" s="36"/>
    </row>
    <row r="694" ht="14.25" customHeight="1">
      <c r="A694" s="56"/>
      <c r="B694" s="57"/>
      <c r="C694" s="77" t="s">
        <v>26</v>
      </c>
      <c r="D694" s="72"/>
      <c r="E694" s="73"/>
      <c r="F694" s="73"/>
      <c r="G694" s="74"/>
      <c r="H694" s="73"/>
      <c r="I694" s="73"/>
      <c r="J694" s="73"/>
      <c r="K694" s="72"/>
      <c r="L694" s="73"/>
      <c r="M694" s="73"/>
      <c r="N694" s="73"/>
      <c r="O694" s="73"/>
      <c r="P694" s="73"/>
    </row>
    <row r="695" ht="14.25" customHeight="1">
      <c r="A695" s="78">
        <v>45469.0</v>
      </c>
      <c r="B695" s="63" t="s">
        <v>45</v>
      </c>
      <c r="C695" s="64" t="s">
        <v>20</v>
      </c>
      <c r="D695" s="65"/>
      <c r="E695" s="67"/>
      <c r="F695" s="66">
        <v>1.0</v>
      </c>
      <c r="G695" s="64">
        <v>1.0</v>
      </c>
      <c r="H695" s="67"/>
      <c r="I695" s="67"/>
      <c r="J695" s="67"/>
      <c r="K695" s="65"/>
      <c r="L695" s="67"/>
      <c r="M695" s="67"/>
      <c r="N695" s="67"/>
      <c r="O695" s="66">
        <v>1.0</v>
      </c>
      <c r="P695" s="67"/>
    </row>
    <row r="696" ht="14.25" customHeight="1">
      <c r="A696" s="49"/>
      <c r="C696" s="69" t="s">
        <v>21</v>
      </c>
      <c r="D696" s="70"/>
      <c r="E696" s="36"/>
      <c r="F696" s="36"/>
      <c r="G696" s="71"/>
      <c r="H696" s="36"/>
      <c r="I696" s="36"/>
      <c r="J696" s="36"/>
      <c r="K696" s="70"/>
      <c r="L696" s="36"/>
      <c r="M696" s="36"/>
      <c r="N696" s="36"/>
      <c r="O696" s="36"/>
      <c r="P696" s="36"/>
    </row>
    <row r="697" ht="14.25" customHeight="1">
      <c r="A697" s="49"/>
      <c r="C697" s="69" t="s">
        <v>22</v>
      </c>
      <c r="D697" s="70"/>
      <c r="E697" s="36"/>
      <c r="F697" s="36"/>
      <c r="G697" s="71"/>
      <c r="H697" s="36"/>
      <c r="I697" s="36"/>
      <c r="J697" s="36"/>
      <c r="K697" s="70"/>
      <c r="L697" s="36"/>
      <c r="M697" s="36"/>
      <c r="N697" s="36"/>
      <c r="O697" s="36"/>
      <c r="P697" s="36"/>
    </row>
    <row r="698" ht="14.25" customHeight="1">
      <c r="A698" s="49"/>
      <c r="C698" s="69" t="s">
        <v>23</v>
      </c>
      <c r="D698" s="70"/>
      <c r="E698" s="36"/>
      <c r="F698" s="36"/>
      <c r="G698" s="71"/>
      <c r="H698" s="36"/>
      <c r="I698" s="36"/>
      <c r="J698" s="36"/>
      <c r="K698" s="70"/>
      <c r="L698" s="36"/>
      <c r="M698" s="36"/>
      <c r="N698" s="36"/>
      <c r="O698" s="36"/>
      <c r="P698" s="36"/>
    </row>
    <row r="699" ht="14.25" customHeight="1">
      <c r="A699" s="49"/>
      <c r="C699" s="69" t="s">
        <v>24</v>
      </c>
      <c r="D699" s="70"/>
      <c r="E699" s="36"/>
      <c r="F699" s="36"/>
      <c r="G699" s="71"/>
      <c r="H699" s="36"/>
      <c r="I699" s="36"/>
      <c r="J699" s="36"/>
      <c r="K699" s="70"/>
      <c r="L699" s="36"/>
      <c r="M699" s="36"/>
      <c r="N699" s="36"/>
      <c r="O699" s="36"/>
      <c r="P699" s="36"/>
    </row>
    <row r="700" ht="14.25" customHeight="1">
      <c r="A700" s="49"/>
      <c r="C700" s="69" t="s">
        <v>25</v>
      </c>
      <c r="D700" s="70"/>
      <c r="E700" s="36"/>
      <c r="F700" s="36"/>
      <c r="G700" s="71"/>
      <c r="H700" s="36"/>
      <c r="I700" s="36"/>
      <c r="J700" s="36"/>
      <c r="K700" s="70"/>
      <c r="L700" s="36"/>
      <c r="M700" s="36"/>
      <c r="N700" s="36"/>
      <c r="O700" s="36"/>
      <c r="P700" s="36"/>
    </row>
    <row r="701" ht="14.25" customHeight="1">
      <c r="A701" s="56"/>
      <c r="B701" s="57"/>
      <c r="C701" s="77" t="s">
        <v>26</v>
      </c>
      <c r="D701" s="72"/>
      <c r="E701" s="73"/>
      <c r="F701" s="73"/>
      <c r="G701" s="74"/>
      <c r="H701" s="73"/>
      <c r="I701" s="73"/>
      <c r="J701" s="73"/>
      <c r="K701" s="72"/>
      <c r="L701" s="73"/>
      <c r="M701" s="73"/>
      <c r="N701" s="73"/>
      <c r="O701" s="73"/>
      <c r="P701" s="73"/>
    </row>
    <row r="702" ht="14.25" customHeight="1">
      <c r="A702" s="78">
        <v>45470.0</v>
      </c>
      <c r="B702" s="63" t="s">
        <v>44</v>
      </c>
      <c r="C702" s="64" t="s">
        <v>20</v>
      </c>
      <c r="D702" s="75">
        <v>4.0</v>
      </c>
      <c r="E702" s="67"/>
      <c r="F702" s="66">
        <v>2.0</v>
      </c>
      <c r="G702" s="64">
        <v>2.0</v>
      </c>
      <c r="H702" s="66">
        <v>1.0</v>
      </c>
      <c r="I702" s="67"/>
      <c r="J702" s="66">
        <v>2.0</v>
      </c>
      <c r="K702" s="65"/>
      <c r="L702" s="67"/>
      <c r="M702" s="67"/>
      <c r="N702" s="66">
        <v>1.0</v>
      </c>
      <c r="O702" s="67"/>
      <c r="P702" s="67"/>
    </row>
    <row r="703" ht="14.25" customHeight="1">
      <c r="A703" s="49"/>
      <c r="C703" s="69" t="s">
        <v>21</v>
      </c>
      <c r="D703" s="70"/>
      <c r="E703" s="36"/>
      <c r="F703" s="36"/>
      <c r="G703" s="69">
        <v>7.0</v>
      </c>
      <c r="H703" s="36"/>
      <c r="I703" s="36"/>
      <c r="J703" s="16">
        <v>1.0</v>
      </c>
      <c r="K703" s="70"/>
      <c r="L703" s="36"/>
      <c r="M703" s="36"/>
      <c r="N703" s="16">
        <v>6.0</v>
      </c>
      <c r="O703" s="36"/>
      <c r="P703" s="36"/>
    </row>
    <row r="704" ht="14.25" customHeight="1">
      <c r="A704" s="49"/>
      <c r="C704" s="69" t="s">
        <v>22</v>
      </c>
      <c r="D704" s="70"/>
      <c r="E704" s="36"/>
      <c r="F704" s="36"/>
      <c r="G704" s="71"/>
      <c r="H704" s="36"/>
      <c r="I704" s="36"/>
      <c r="J704" s="36"/>
      <c r="K704" s="70"/>
      <c r="L704" s="36"/>
      <c r="M704" s="36"/>
      <c r="N704" s="36"/>
      <c r="O704" s="36"/>
      <c r="P704" s="36"/>
    </row>
    <row r="705" ht="14.25" customHeight="1">
      <c r="A705" s="49"/>
      <c r="C705" s="69" t="s">
        <v>23</v>
      </c>
      <c r="D705" s="70"/>
      <c r="E705" s="36"/>
      <c r="F705" s="36"/>
      <c r="G705" s="71"/>
      <c r="H705" s="36"/>
      <c r="I705" s="36"/>
      <c r="J705" s="36"/>
      <c r="K705" s="70"/>
      <c r="L705" s="36"/>
      <c r="M705" s="36"/>
      <c r="N705" s="36"/>
      <c r="O705" s="36"/>
      <c r="P705" s="36"/>
    </row>
    <row r="706" ht="14.25" customHeight="1">
      <c r="A706" s="49"/>
      <c r="C706" s="69" t="s">
        <v>24</v>
      </c>
      <c r="D706" s="70"/>
      <c r="E706" s="16">
        <v>1.0</v>
      </c>
      <c r="F706" s="36"/>
      <c r="G706" s="71"/>
      <c r="H706" s="36"/>
      <c r="I706" s="36"/>
      <c r="J706" s="36"/>
      <c r="K706" s="70"/>
      <c r="L706" s="36"/>
      <c r="M706" s="36"/>
      <c r="N706" s="16">
        <v>1.0</v>
      </c>
      <c r="O706" s="36"/>
      <c r="P706" s="36"/>
    </row>
    <row r="707" ht="14.25" customHeight="1">
      <c r="A707" s="49"/>
      <c r="C707" s="69" t="s">
        <v>25</v>
      </c>
      <c r="D707" s="76">
        <v>1.0</v>
      </c>
      <c r="E707" s="36"/>
      <c r="F707" s="36"/>
      <c r="G707" s="71"/>
      <c r="H707" s="36"/>
      <c r="I707" s="36"/>
      <c r="J707" s="36"/>
      <c r="K707" s="70"/>
      <c r="L707" s="36"/>
      <c r="M707" s="36"/>
      <c r="N707" s="36"/>
      <c r="O707" s="36"/>
      <c r="P707" s="36"/>
    </row>
    <row r="708" ht="14.25" customHeight="1">
      <c r="A708" s="56"/>
      <c r="B708" s="57"/>
      <c r="C708" s="77" t="s">
        <v>26</v>
      </c>
      <c r="D708" s="72"/>
      <c r="E708" s="73"/>
      <c r="F708" s="73"/>
      <c r="G708" s="74"/>
      <c r="H708" s="73"/>
      <c r="I708" s="73"/>
      <c r="J708" s="73"/>
      <c r="K708" s="72"/>
      <c r="L708" s="73"/>
      <c r="M708" s="73"/>
      <c r="N708" s="73"/>
      <c r="O708" s="73"/>
      <c r="P708" s="73"/>
    </row>
    <row r="709" ht="14.25" customHeight="1">
      <c r="A709" s="78">
        <v>45471.0</v>
      </c>
      <c r="B709" s="63" t="s">
        <v>42</v>
      </c>
      <c r="C709" s="64" t="s">
        <v>20</v>
      </c>
      <c r="D709" s="65"/>
      <c r="E709" s="67"/>
      <c r="F709" s="66">
        <v>10.0</v>
      </c>
      <c r="G709" s="68"/>
      <c r="H709" s="66">
        <v>1.0</v>
      </c>
      <c r="I709" s="66">
        <v>3.0</v>
      </c>
      <c r="J709" s="67"/>
      <c r="K709" s="65"/>
      <c r="L709" s="67"/>
      <c r="M709" s="67"/>
      <c r="N709" s="66">
        <v>4.0</v>
      </c>
      <c r="O709" s="66">
        <v>1.0</v>
      </c>
      <c r="P709" s="67"/>
    </row>
    <row r="710" ht="14.25" customHeight="1">
      <c r="A710" s="49"/>
      <c r="C710" s="69" t="s">
        <v>21</v>
      </c>
      <c r="D710" s="70"/>
      <c r="E710" s="36"/>
      <c r="F710" s="36"/>
      <c r="G710" s="71"/>
      <c r="H710" s="36"/>
      <c r="I710" s="36"/>
      <c r="J710" s="36"/>
      <c r="K710" s="70"/>
      <c r="L710" s="36"/>
      <c r="M710" s="36"/>
      <c r="N710" s="36"/>
      <c r="O710" s="36"/>
      <c r="P710" s="36"/>
    </row>
    <row r="711" ht="14.25" customHeight="1">
      <c r="A711" s="49"/>
      <c r="C711" s="69" t="s">
        <v>22</v>
      </c>
      <c r="D711" s="70"/>
      <c r="E711" s="36"/>
      <c r="F711" s="36"/>
      <c r="G711" s="71"/>
      <c r="H711" s="36"/>
      <c r="I711" s="36"/>
      <c r="J711" s="36"/>
      <c r="K711" s="70"/>
      <c r="L711" s="36"/>
      <c r="M711" s="36"/>
      <c r="N711" s="36"/>
      <c r="O711" s="36"/>
      <c r="P711" s="36"/>
    </row>
    <row r="712" ht="14.25" customHeight="1">
      <c r="A712" s="49"/>
      <c r="C712" s="69" t="s">
        <v>23</v>
      </c>
      <c r="D712" s="70"/>
      <c r="E712" s="36"/>
      <c r="F712" s="16">
        <v>1.0</v>
      </c>
      <c r="G712" s="71"/>
      <c r="H712" s="36"/>
      <c r="I712" s="36"/>
      <c r="J712" s="36"/>
      <c r="K712" s="70"/>
      <c r="L712" s="36"/>
      <c r="M712" s="36"/>
      <c r="N712" s="36"/>
      <c r="O712" s="36"/>
      <c r="P712" s="36"/>
    </row>
    <row r="713" ht="14.25" customHeight="1">
      <c r="A713" s="49"/>
      <c r="C713" s="69" t="s">
        <v>24</v>
      </c>
      <c r="D713" s="76">
        <v>1.0</v>
      </c>
      <c r="E713" s="36"/>
      <c r="F713" s="36"/>
      <c r="G713" s="71"/>
      <c r="H713" s="36"/>
      <c r="I713" s="36"/>
      <c r="J713" s="36"/>
      <c r="K713" s="70"/>
      <c r="L713" s="36"/>
      <c r="M713" s="36"/>
      <c r="N713" s="36"/>
      <c r="O713" s="36"/>
      <c r="P713" s="36"/>
    </row>
    <row r="714" ht="14.25" customHeight="1">
      <c r="A714" s="49"/>
      <c r="C714" s="69" t="s">
        <v>25</v>
      </c>
      <c r="D714" s="70"/>
      <c r="E714" s="36"/>
      <c r="F714" s="36"/>
      <c r="G714" s="71"/>
      <c r="H714" s="36"/>
      <c r="I714" s="36"/>
      <c r="J714" s="36"/>
      <c r="K714" s="70"/>
      <c r="L714" s="36"/>
      <c r="M714" s="36"/>
      <c r="N714" s="36"/>
      <c r="O714" s="36"/>
      <c r="P714" s="36"/>
    </row>
    <row r="715" ht="14.25" customHeight="1">
      <c r="A715" s="56"/>
      <c r="B715" s="57"/>
      <c r="C715" s="77" t="s">
        <v>26</v>
      </c>
      <c r="D715" s="72"/>
      <c r="E715" s="73"/>
      <c r="F715" s="73"/>
      <c r="G715" s="74"/>
      <c r="H715" s="73"/>
      <c r="I715" s="73"/>
      <c r="J715" s="73"/>
      <c r="K715" s="72"/>
      <c r="L715" s="73"/>
      <c r="M715" s="73"/>
      <c r="N715" s="73"/>
      <c r="O715" s="73"/>
      <c r="P715" s="73"/>
    </row>
    <row r="716" ht="14.25" customHeight="1">
      <c r="A716" s="78">
        <v>45554.0</v>
      </c>
      <c r="B716" s="63" t="s">
        <v>43</v>
      </c>
      <c r="C716" s="64" t="s">
        <v>20</v>
      </c>
      <c r="D716" s="75">
        <v>2.0</v>
      </c>
      <c r="E716" s="67"/>
      <c r="F716" s="67"/>
      <c r="G716" s="68"/>
      <c r="H716" s="67"/>
      <c r="I716" s="67"/>
      <c r="J716" s="67"/>
      <c r="K716" s="65"/>
      <c r="L716" s="67"/>
      <c r="M716" s="67"/>
      <c r="N716" s="67"/>
      <c r="O716" s="67"/>
      <c r="P716" s="67"/>
    </row>
    <row r="717" ht="14.25" customHeight="1">
      <c r="A717" s="49"/>
      <c r="C717" s="69" t="s">
        <v>21</v>
      </c>
      <c r="D717" s="70"/>
      <c r="E717" s="36"/>
      <c r="F717" s="36"/>
      <c r="G717" s="71"/>
      <c r="H717" s="36"/>
      <c r="I717" s="36"/>
      <c r="J717" s="36"/>
      <c r="K717" s="70"/>
      <c r="L717" s="36"/>
      <c r="M717" s="36"/>
      <c r="N717" s="36"/>
      <c r="O717" s="36"/>
      <c r="P717" s="36"/>
    </row>
    <row r="718" ht="14.25" customHeight="1">
      <c r="A718" s="49"/>
      <c r="C718" s="69" t="s">
        <v>22</v>
      </c>
      <c r="D718" s="70"/>
      <c r="E718" s="36"/>
      <c r="F718" s="36"/>
      <c r="G718" s="71"/>
      <c r="H718" s="36"/>
      <c r="I718" s="36"/>
      <c r="J718" s="36"/>
      <c r="K718" s="70"/>
      <c r="L718" s="36"/>
      <c r="M718" s="36"/>
      <c r="N718" s="36"/>
      <c r="O718" s="36"/>
      <c r="P718" s="36"/>
    </row>
    <row r="719" ht="14.25" customHeight="1">
      <c r="A719" s="49"/>
      <c r="C719" s="69" t="s">
        <v>23</v>
      </c>
      <c r="D719" s="70"/>
      <c r="E719" s="16">
        <v>1.0</v>
      </c>
      <c r="F719" s="36"/>
      <c r="G719" s="71"/>
      <c r="H719" s="16">
        <v>1.0</v>
      </c>
      <c r="I719" s="36"/>
      <c r="J719" s="36"/>
      <c r="K719" s="70"/>
      <c r="L719" s="36"/>
      <c r="M719" s="36"/>
      <c r="N719" s="36"/>
      <c r="O719" s="16">
        <v>1.0</v>
      </c>
      <c r="P719" s="36"/>
    </row>
    <row r="720" ht="14.25" customHeight="1">
      <c r="A720" s="49"/>
      <c r="C720" s="69" t="s">
        <v>24</v>
      </c>
      <c r="D720" s="70"/>
      <c r="E720" s="36"/>
      <c r="F720" s="36"/>
      <c r="G720" s="71"/>
      <c r="H720" s="36"/>
      <c r="I720" s="36"/>
      <c r="J720" s="36"/>
      <c r="K720" s="70"/>
      <c r="L720" s="36"/>
      <c r="M720" s="36"/>
      <c r="N720" s="36"/>
      <c r="O720" s="36"/>
      <c r="P720" s="36"/>
    </row>
    <row r="721" ht="14.25" customHeight="1">
      <c r="A721" s="49"/>
      <c r="C721" s="69" t="s">
        <v>25</v>
      </c>
      <c r="D721" s="70"/>
      <c r="E721" s="36"/>
      <c r="F721" s="36"/>
      <c r="G721" s="71"/>
      <c r="H721" s="36"/>
      <c r="I721" s="36"/>
      <c r="J721" s="36"/>
      <c r="K721" s="70"/>
      <c r="L721" s="36"/>
      <c r="M721" s="36"/>
      <c r="N721" s="36"/>
      <c r="O721" s="36"/>
      <c r="P721" s="36"/>
    </row>
    <row r="722" ht="14.25" customHeight="1">
      <c r="A722" s="56"/>
      <c r="B722" s="57"/>
      <c r="C722" s="77" t="s">
        <v>26</v>
      </c>
      <c r="D722" s="72"/>
      <c r="E722" s="73"/>
      <c r="F722" s="73"/>
      <c r="G722" s="74"/>
      <c r="H722" s="73"/>
      <c r="I722" s="73"/>
      <c r="J722" s="73"/>
      <c r="K722" s="72"/>
      <c r="L722" s="73"/>
      <c r="M722" s="73"/>
      <c r="N722" s="73"/>
      <c r="O722" s="73"/>
      <c r="P722" s="73"/>
    </row>
    <row r="723" ht="14.25" customHeight="1">
      <c r="A723" s="78">
        <v>45555.0</v>
      </c>
      <c r="B723" s="58" t="s">
        <v>65</v>
      </c>
      <c r="C723" s="64" t="s">
        <v>20</v>
      </c>
      <c r="D723" s="75">
        <v>1.0</v>
      </c>
      <c r="E723" s="66">
        <v>1.0</v>
      </c>
      <c r="F723" s="67"/>
      <c r="G723" s="68"/>
      <c r="H723" s="66">
        <v>1.0</v>
      </c>
      <c r="I723" s="67"/>
      <c r="J723" s="67"/>
      <c r="K723" s="65"/>
      <c r="L723" s="67"/>
      <c r="M723" s="67"/>
      <c r="N723" s="67"/>
      <c r="O723" s="66">
        <v>1.0</v>
      </c>
      <c r="P723" s="67"/>
    </row>
    <row r="724" ht="14.25" customHeight="1">
      <c r="A724" s="49"/>
      <c r="C724" s="69" t="s">
        <v>21</v>
      </c>
      <c r="D724" s="70"/>
      <c r="E724" s="36"/>
      <c r="F724" s="36"/>
      <c r="G724" s="71"/>
      <c r="H724" s="36"/>
      <c r="I724" s="36"/>
      <c r="J724" s="36"/>
      <c r="K724" s="70"/>
      <c r="L724" s="36"/>
      <c r="M724" s="36"/>
      <c r="N724" s="36"/>
      <c r="O724" s="36"/>
      <c r="P724" s="36"/>
    </row>
    <row r="725" ht="14.25" customHeight="1">
      <c r="A725" s="49"/>
      <c r="C725" s="69" t="s">
        <v>22</v>
      </c>
      <c r="D725" s="70"/>
      <c r="E725" s="36"/>
      <c r="F725" s="36"/>
      <c r="G725" s="71"/>
      <c r="H725" s="36"/>
      <c r="I725" s="36"/>
      <c r="J725" s="36"/>
      <c r="K725" s="70"/>
      <c r="L725" s="36"/>
      <c r="M725" s="36"/>
      <c r="N725" s="36"/>
      <c r="O725" s="36"/>
      <c r="P725" s="36"/>
    </row>
    <row r="726" ht="14.25" customHeight="1">
      <c r="A726" s="49"/>
      <c r="C726" s="69" t="s">
        <v>23</v>
      </c>
      <c r="D726" s="70"/>
      <c r="E726" s="36"/>
      <c r="F726" s="36"/>
      <c r="G726" s="71"/>
      <c r="H726" s="36"/>
      <c r="I726" s="36"/>
      <c r="J726" s="36"/>
      <c r="K726" s="70"/>
      <c r="L726" s="36"/>
      <c r="M726" s="36"/>
      <c r="N726" s="36"/>
      <c r="O726" s="36"/>
      <c r="P726" s="36"/>
    </row>
    <row r="727" ht="14.25" customHeight="1">
      <c r="A727" s="49"/>
      <c r="C727" s="69" t="s">
        <v>24</v>
      </c>
      <c r="D727" s="70"/>
      <c r="E727" s="36"/>
      <c r="F727" s="36"/>
      <c r="G727" s="71"/>
      <c r="H727" s="36"/>
      <c r="I727" s="36"/>
      <c r="J727" s="36"/>
      <c r="K727" s="70"/>
      <c r="L727" s="36"/>
      <c r="M727" s="36"/>
      <c r="N727" s="36"/>
      <c r="O727" s="36"/>
      <c r="P727" s="36"/>
    </row>
    <row r="728" ht="14.25" customHeight="1">
      <c r="A728" s="49"/>
      <c r="C728" s="69" t="s">
        <v>25</v>
      </c>
      <c r="D728" s="70"/>
      <c r="E728" s="36"/>
      <c r="F728" s="36"/>
      <c r="G728" s="71"/>
      <c r="H728" s="36"/>
      <c r="I728" s="36"/>
      <c r="J728" s="36"/>
      <c r="K728" s="70"/>
      <c r="L728" s="36"/>
      <c r="M728" s="36"/>
      <c r="N728" s="36"/>
      <c r="O728" s="36"/>
      <c r="P728" s="36"/>
    </row>
    <row r="729" ht="14.25" customHeight="1">
      <c r="A729" s="56"/>
      <c r="B729" s="57"/>
      <c r="C729" s="77" t="s">
        <v>26</v>
      </c>
      <c r="D729" s="72"/>
      <c r="E729" s="73"/>
      <c r="F729" s="73"/>
      <c r="G729" s="74"/>
      <c r="H729" s="73"/>
      <c r="I729" s="73"/>
      <c r="J729" s="73"/>
      <c r="K729" s="72"/>
      <c r="L729" s="73"/>
      <c r="M729" s="73"/>
      <c r="N729" s="73"/>
      <c r="O729" s="73"/>
      <c r="P729" s="73"/>
    </row>
    <row r="730" ht="14.25" customHeight="1">
      <c r="A730" s="62">
        <v>45595.0</v>
      </c>
      <c r="B730" s="58" t="s">
        <v>65</v>
      </c>
      <c r="C730" s="64" t="s">
        <v>20</v>
      </c>
      <c r="D730" s="65"/>
      <c r="E730" s="67"/>
      <c r="F730" s="66">
        <v>2.0</v>
      </c>
      <c r="G730" s="68"/>
      <c r="H730" s="67"/>
      <c r="I730" s="66">
        <v>2.0</v>
      </c>
      <c r="J730" s="67"/>
      <c r="K730" s="65"/>
      <c r="L730" s="67"/>
      <c r="M730" s="67"/>
      <c r="N730" s="67"/>
      <c r="O730" s="67"/>
      <c r="P730" s="67"/>
    </row>
    <row r="731" ht="14.25" customHeight="1">
      <c r="A731" s="49"/>
      <c r="C731" s="69" t="s">
        <v>21</v>
      </c>
      <c r="D731" s="70"/>
      <c r="E731" s="36"/>
      <c r="F731" s="16">
        <v>1.0</v>
      </c>
      <c r="G731" s="71"/>
      <c r="H731" s="36"/>
      <c r="I731" s="16">
        <v>1.0</v>
      </c>
      <c r="J731" s="36"/>
      <c r="K731" s="70"/>
      <c r="L731" s="36"/>
      <c r="M731" s="36"/>
      <c r="N731" s="36"/>
      <c r="O731" s="36"/>
      <c r="P731" s="36"/>
    </row>
    <row r="732" ht="14.25" customHeight="1">
      <c r="A732" s="49"/>
      <c r="C732" s="69" t="s">
        <v>22</v>
      </c>
      <c r="D732" s="70"/>
      <c r="E732" s="36"/>
      <c r="F732" s="36"/>
      <c r="G732" s="71"/>
      <c r="H732" s="36"/>
      <c r="I732" s="36"/>
      <c r="J732" s="36"/>
      <c r="K732" s="70"/>
      <c r="L732" s="36"/>
      <c r="M732" s="36"/>
      <c r="N732" s="36"/>
      <c r="O732" s="36"/>
      <c r="P732" s="36"/>
    </row>
    <row r="733" ht="14.25" customHeight="1">
      <c r="A733" s="49"/>
      <c r="C733" s="69" t="s">
        <v>23</v>
      </c>
      <c r="D733" s="70"/>
      <c r="E733" s="36"/>
      <c r="F733" s="36"/>
      <c r="G733" s="71"/>
      <c r="H733" s="36"/>
      <c r="I733" s="36"/>
      <c r="J733" s="36"/>
      <c r="K733" s="70"/>
      <c r="L733" s="36"/>
      <c r="M733" s="36"/>
      <c r="N733" s="36"/>
      <c r="O733" s="36"/>
      <c r="P733" s="36"/>
    </row>
    <row r="734" ht="14.25" customHeight="1">
      <c r="A734" s="49"/>
      <c r="C734" s="69" t="s">
        <v>24</v>
      </c>
      <c r="D734" s="70"/>
      <c r="E734" s="36"/>
      <c r="F734" s="36"/>
      <c r="G734" s="71"/>
      <c r="H734" s="36"/>
      <c r="I734" s="36"/>
      <c r="J734" s="36"/>
      <c r="K734" s="70"/>
      <c r="L734" s="36"/>
      <c r="M734" s="36"/>
      <c r="N734" s="36"/>
      <c r="O734" s="36"/>
      <c r="P734" s="36"/>
    </row>
    <row r="735" ht="14.25" customHeight="1">
      <c r="A735" s="49"/>
      <c r="C735" s="69" t="s">
        <v>25</v>
      </c>
      <c r="D735" s="70"/>
      <c r="E735" s="36"/>
      <c r="F735" s="36"/>
      <c r="G735" s="71"/>
      <c r="H735" s="36"/>
      <c r="I735" s="36"/>
      <c r="J735" s="36"/>
      <c r="K735" s="70"/>
      <c r="L735" s="36"/>
      <c r="M735" s="36"/>
      <c r="N735" s="36"/>
      <c r="O735" s="36"/>
      <c r="P735" s="36"/>
    </row>
    <row r="736" ht="14.25" customHeight="1">
      <c r="A736" s="56"/>
      <c r="B736" s="57"/>
      <c r="C736" s="77" t="s">
        <v>26</v>
      </c>
      <c r="D736" s="72"/>
      <c r="E736" s="73"/>
      <c r="F736" s="73"/>
      <c r="G736" s="74"/>
      <c r="H736" s="73"/>
      <c r="I736" s="73"/>
      <c r="J736" s="73"/>
      <c r="K736" s="72"/>
      <c r="L736" s="73"/>
      <c r="M736" s="73"/>
      <c r="N736" s="73"/>
      <c r="O736" s="73"/>
      <c r="P736" s="73"/>
    </row>
    <row r="737" ht="14.25" customHeight="1">
      <c r="A737" s="83">
        <v>45596.0</v>
      </c>
      <c r="B737" s="58" t="s">
        <v>65</v>
      </c>
      <c r="C737" s="64" t="s">
        <v>20</v>
      </c>
      <c r="D737" s="65"/>
      <c r="E737" s="66">
        <v>1.0</v>
      </c>
      <c r="F737" s="67"/>
      <c r="G737" s="68"/>
      <c r="H737" s="67"/>
      <c r="I737" s="66">
        <v>1.0</v>
      </c>
      <c r="J737" s="67"/>
      <c r="K737" s="65"/>
      <c r="L737" s="67"/>
      <c r="M737" s="67"/>
      <c r="N737" s="67"/>
      <c r="O737" s="66">
        <v>1.0</v>
      </c>
      <c r="P737" s="67"/>
    </row>
    <row r="738" ht="14.25" customHeight="1">
      <c r="A738" s="49"/>
      <c r="C738" s="69" t="s">
        <v>21</v>
      </c>
      <c r="D738" s="70"/>
      <c r="E738" s="36"/>
      <c r="F738" s="36"/>
      <c r="G738" s="71"/>
      <c r="H738" s="36"/>
      <c r="I738" s="36"/>
      <c r="J738" s="36"/>
      <c r="K738" s="70"/>
      <c r="L738" s="36"/>
      <c r="M738" s="36"/>
      <c r="N738" s="36"/>
      <c r="O738" s="36"/>
      <c r="P738" s="36"/>
    </row>
    <row r="739" ht="14.25" customHeight="1">
      <c r="A739" s="49"/>
      <c r="C739" s="69" t="s">
        <v>22</v>
      </c>
      <c r="D739" s="70"/>
      <c r="E739" s="36"/>
      <c r="F739" s="36"/>
      <c r="G739" s="71"/>
      <c r="H739" s="36"/>
      <c r="I739" s="36"/>
      <c r="J739" s="36"/>
      <c r="K739" s="70"/>
      <c r="L739" s="36"/>
      <c r="M739" s="36"/>
      <c r="N739" s="36"/>
      <c r="O739" s="36"/>
      <c r="P739" s="36"/>
    </row>
    <row r="740" ht="14.25" customHeight="1">
      <c r="A740" s="49"/>
      <c r="C740" s="69" t="s">
        <v>23</v>
      </c>
      <c r="D740" s="70"/>
      <c r="E740" s="36"/>
      <c r="F740" s="36"/>
      <c r="G740" s="71"/>
      <c r="H740" s="36"/>
      <c r="I740" s="36"/>
      <c r="J740" s="36"/>
      <c r="K740" s="70"/>
      <c r="L740" s="36"/>
      <c r="M740" s="36"/>
      <c r="N740" s="36"/>
      <c r="O740" s="36"/>
      <c r="P740" s="36"/>
    </row>
    <row r="741" ht="14.25" customHeight="1">
      <c r="A741" s="49"/>
      <c r="C741" s="69" t="s">
        <v>24</v>
      </c>
      <c r="D741" s="70"/>
      <c r="E741" s="36"/>
      <c r="F741" s="36"/>
      <c r="G741" s="71"/>
      <c r="H741" s="36"/>
      <c r="I741" s="36"/>
      <c r="J741" s="36"/>
      <c r="K741" s="70"/>
      <c r="L741" s="36"/>
      <c r="M741" s="36"/>
      <c r="N741" s="36"/>
      <c r="O741" s="36"/>
      <c r="P741" s="36"/>
    </row>
    <row r="742" ht="14.25" customHeight="1">
      <c r="A742" s="49"/>
      <c r="C742" s="69" t="s">
        <v>25</v>
      </c>
      <c r="D742" s="70"/>
      <c r="E742" s="36"/>
      <c r="F742" s="36"/>
      <c r="G742" s="71"/>
      <c r="H742" s="36"/>
      <c r="I742" s="36"/>
      <c r="J742" s="36"/>
      <c r="K742" s="70"/>
      <c r="L742" s="36"/>
      <c r="M742" s="36"/>
      <c r="N742" s="36"/>
      <c r="O742" s="36"/>
      <c r="P742" s="36"/>
    </row>
    <row r="743" ht="14.25" customHeight="1">
      <c r="A743" s="56"/>
      <c r="B743" s="57"/>
      <c r="C743" s="77" t="s">
        <v>26</v>
      </c>
      <c r="D743" s="72"/>
      <c r="E743" s="73"/>
      <c r="F743" s="73"/>
      <c r="G743" s="74"/>
      <c r="H743" s="73"/>
      <c r="I743" s="73"/>
      <c r="J743" s="73"/>
      <c r="K743" s="72"/>
      <c r="L743" s="73"/>
      <c r="M743" s="73"/>
      <c r="N743" s="73"/>
      <c r="O743" s="73"/>
      <c r="P743" s="73"/>
    </row>
    <row r="744" ht="14.25" customHeight="1">
      <c r="A744" s="83">
        <v>45596.0</v>
      </c>
      <c r="B744" s="63" t="s">
        <v>44</v>
      </c>
      <c r="C744" s="64" t="s">
        <v>20</v>
      </c>
      <c r="D744" s="65"/>
      <c r="E744" s="67"/>
      <c r="F744" s="67"/>
      <c r="G744" s="68"/>
      <c r="H744" s="67"/>
      <c r="I744" s="67"/>
      <c r="J744" s="67"/>
      <c r="K744" s="65"/>
      <c r="L744" s="67"/>
      <c r="M744" s="67"/>
      <c r="N744" s="67"/>
      <c r="O744" s="66">
        <v>1.0</v>
      </c>
      <c r="P744" s="67"/>
    </row>
    <row r="745" ht="14.25" customHeight="1">
      <c r="A745" s="49"/>
      <c r="C745" s="69" t="s">
        <v>21</v>
      </c>
      <c r="D745" s="70"/>
      <c r="E745" s="16">
        <v>1.0</v>
      </c>
      <c r="F745" s="36"/>
      <c r="G745" s="71"/>
      <c r="H745" s="36"/>
      <c r="I745" s="16">
        <v>1.0</v>
      </c>
      <c r="J745" s="36"/>
      <c r="K745" s="70"/>
      <c r="L745" s="36"/>
      <c r="M745" s="36"/>
      <c r="N745" s="36"/>
      <c r="O745" s="16">
        <v>1.0</v>
      </c>
      <c r="P745" s="36"/>
    </row>
    <row r="746" ht="14.25" customHeight="1">
      <c r="A746" s="49"/>
      <c r="C746" s="69" t="s">
        <v>22</v>
      </c>
      <c r="D746" s="70"/>
      <c r="E746" s="36"/>
      <c r="F746" s="36"/>
      <c r="G746" s="71"/>
      <c r="H746" s="36"/>
      <c r="I746" s="36"/>
      <c r="J746" s="36"/>
      <c r="K746" s="70"/>
      <c r="L746" s="36"/>
      <c r="M746" s="36"/>
      <c r="N746" s="36"/>
      <c r="O746" s="36"/>
      <c r="P746" s="36"/>
    </row>
    <row r="747" ht="14.25" customHeight="1">
      <c r="A747" s="49"/>
      <c r="C747" s="69" t="s">
        <v>23</v>
      </c>
      <c r="D747" s="70"/>
      <c r="E747" s="36"/>
      <c r="F747" s="36"/>
      <c r="G747" s="71"/>
      <c r="H747" s="36"/>
      <c r="I747" s="36"/>
      <c r="J747" s="36"/>
      <c r="K747" s="70"/>
      <c r="L747" s="36"/>
      <c r="M747" s="36"/>
      <c r="N747" s="36"/>
      <c r="O747" s="36"/>
      <c r="P747" s="36"/>
    </row>
    <row r="748" ht="14.25" customHeight="1">
      <c r="A748" s="49"/>
      <c r="C748" s="69" t="s">
        <v>24</v>
      </c>
      <c r="D748" s="70"/>
      <c r="E748" s="36"/>
      <c r="F748" s="36"/>
      <c r="G748" s="71"/>
      <c r="H748" s="36"/>
      <c r="I748" s="36"/>
      <c r="J748" s="36"/>
      <c r="K748" s="70"/>
      <c r="L748" s="36"/>
      <c r="M748" s="36"/>
      <c r="N748" s="36"/>
      <c r="O748" s="36"/>
      <c r="P748" s="36"/>
    </row>
    <row r="749" ht="14.25" customHeight="1">
      <c r="A749" s="49"/>
      <c r="C749" s="69" t="s">
        <v>25</v>
      </c>
      <c r="D749" s="70"/>
      <c r="E749" s="36"/>
      <c r="F749" s="36"/>
      <c r="G749" s="71"/>
      <c r="H749" s="36"/>
      <c r="I749" s="36"/>
      <c r="J749" s="36"/>
      <c r="K749" s="70"/>
      <c r="L749" s="36"/>
      <c r="M749" s="36"/>
      <c r="N749" s="36"/>
      <c r="O749" s="36"/>
      <c r="P749" s="36"/>
    </row>
    <row r="750" ht="14.25" customHeight="1">
      <c r="A750" s="56"/>
      <c r="B750" s="57"/>
      <c r="C750" s="77" t="s">
        <v>26</v>
      </c>
      <c r="D750" s="72"/>
      <c r="E750" s="73"/>
      <c r="F750" s="73"/>
      <c r="G750" s="74"/>
      <c r="H750" s="73"/>
      <c r="I750" s="73"/>
      <c r="J750" s="73"/>
      <c r="K750" s="72"/>
      <c r="L750" s="73"/>
      <c r="M750" s="73"/>
      <c r="N750" s="73"/>
      <c r="O750" s="73"/>
      <c r="P750" s="73"/>
    </row>
    <row r="751" ht="14.25" customHeight="1">
      <c r="A751" s="83">
        <v>45597.0</v>
      </c>
      <c r="B751" s="63" t="s">
        <v>45</v>
      </c>
      <c r="C751" s="64" t="s">
        <v>20</v>
      </c>
      <c r="D751" s="65"/>
      <c r="E751" s="67"/>
      <c r="F751" s="67"/>
      <c r="G751" s="68"/>
      <c r="H751" s="67"/>
      <c r="I751" s="67"/>
      <c r="J751" s="67"/>
      <c r="K751" s="65"/>
      <c r="L751" s="67"/>
      <c r="M751" s="67"/>
      <c r="N751" s="67"/>
      <c r="O751" s="67"/>
      <c r="P751" s="67"/>
    </row>
    <row r="752" ht="14.25" customHeight="1">
      <c r="A752" s="49"/>
      <c r="C752" s="69" t="s">
        <v>21</v>
      </c>
      <c r="D752" s="76">
        <v>1.0</v>
      </c>
      <c r="E752" s="36"/>
      <c r="F752" s="36"/>
      <c r="G752" s="71"/>
      <c r="H752" s="36"/>
      <c r="I752" s="36"/>
      <c r="J752" s="36"/>
      <c r="K752" s="70"/>
      <c r="L752" s="36"/>
      <c r="M752" s="36"/>
      <c r="N752" s="36"/>
      <c r="O752" s="36"/>
      <c r="P752" s="36"/>
    </row>
    <row r="753" ht="14.25" customHeight="1">
      <c r="A753" s="49"/>
      <c r="C753" s="69" t="s">
        <v>22</v>
      </c>
      <c r="D753" s="70"/>
      <c r="E753" s="36"/>
      <c r="F753" s="36"/>
      <c r="G753" s="71"/>
      <c r="H753" s="36"/>
      <c r="I753" s="36"/>
      <c r="J753" s="36"/>
      <c r="K753" s="70"/>
      <c r="L753" s="36"/>
      <c r="M753" s="36"/>
      <c r="N753" s="36"/>
      <c r="O753" s="36"/>
      <c r="P753" s="36"/>
    </row>
    <row r="754" ht="14.25" customHeight="1">
      <c r="A754" s="49"/>
      <c r="C754" s="69" t="s">
        <v>23</v>
      </c>
      <c r="D754" s="70"/>
      <c r="E754" s="36"/>
      <c r="F754" s="36"/>
      <c r="G754" s="71"/>
      <c r="H754" s="36"/>
      <c r="I754" s="36"/>
      <c r="J754" s="36"/>
      <c r="K754" s="70"/>
      <c r="L754" s="36"/>
      <c r="M754" s="36"/>
      <c r="N754" s="36"/>
      <c r="O754" s="36"/>
      <c r="P754" s="36"/>
    </row>
    <row r="755" ht="14.25" customHeight="1">
      <c r="A755" s="49"/>
      <c r="C755" s="69" t="s">
        <v>24</v>
      </c>
      <c r="D755" s="70"/>
      <c r="E755" s="36"/>
      <c r="F755" s="36"/>
      <c r="G755" s="71"/>
      <c r="H755" s="36"/>
      <c r="I755" s="36"/>
      <c r="J755" s="36"/>
      <c r="K755" s="70"/>
      <c r="L755" s="36"/>
      <c r="M755" s="36"/>
      <c r="N755" s="36"/>
      <c r="O755" s="36"/>
      <c r="P755" s="36"/>
    </row>
    <row r="756" ht="14.25" customHeight="1">
      <c r="A756" s="49"/>
      <c r="C756" s="69" t="s">
        <v>25</v>
      </c>
      <c r="D756" s="70"/>
      <c r="E756" s="36"/>
      <c r="F756" s="36"/>
      <c r="G756" s="71"/>
      <c r="H756" s="36"/>
      <c r="I756" s="36"/>
      <c r="J756" s="36"/>
      <c r="K756" s="70"/>
      <c r="L756" s="36"/>
      <c r="M756" s="36"/>
      <c r="N756" s="36"/>
      <c r="O756" s="36"/>
      <c r="P756" s="36"/>
    </row>
    <row r="757" ht="14.25" customHeight="1">
      <c r="A757" s="56"/>
      <c r="B757" s="57"/>
      <c r="C757" s="77" t="s">
        <v>26</v>
      </c>
      <c r="D757" s="72"/>
      <c r="E757" s="73"/>
      <c r="F757" s="73"/>
      <c r="G757" s="74"/>
      <c r="H757" s="73"/>
      <c r="I757" s="73"/>
      <c r="J757" s="73"/>
      <c r="K757" s="72"/>
      <c r="L757" s="73"/>
      <c r="M757" s="73"/>
      <c r="N757" s="73"/>
      <c r="O757" s="73"/>
      <c r="P757" s="73"/>
    </row>
    <row r="758" ht="14.25" customHeight="1">
      <c r="A758" s="83">
        <v>45597.0</v>
      </c>
      <c r="B758" s="63" t="s">
        <v>42</v>
      </c>
      <c r="C758" s="64" t="s">
        <v>20</v>
      </c>
      <c r="D758" s="75">
        <v>6.0</v>
      </c>
      <c r="E758" s="66">
        <v>4.0</v>
      </c>
      <c r="F758" s="67"/>
      <c r="G758" s="68"/>
      <c r="H758" s="66">
        <v>1.0</v>
      </c>
      <c r="I758" s="66">
        <v>2.0</v>
      </c>
      <c r="J758" s="66">
        <v>1.0</v>
      </c>
      <c r="K758" s="65"/>
      <c r="L758" s="67"/>
      <c r="M758" s="67"/>
      <c r="N758" s="66">
        <v>1.0</v>
      </c>
      <c r="O758" s="67"/>
      <c r="P758" s="66">
        <v>1.0</v>
      </c>
    </row>
    <row r="759" ht="14.25" customHeight="1">
      <c r="A759" s="49"/>
      <c r="C759" s="69" t="s">
        <v>21</v>
      </c>
      <c r="D759" s="76">
        <v>1.0</v>
      </c>
      <c r="E759" s="36"/>
      <c r="F759" s="36"/>
      <c r="G759" s="69">
        <v>1.0</v>
      </c>
      <c r="H759" s="36"/>
      <c r="I759" s="36"/>
      <c r="J759" s="36"/>
      <c r="K759" s="70"/>
      <c r="L759" s="36"/>
      <c r="M759" s="36"/>
      <c r="N759" s="36"/>
      <c r="O759" s="36"/>
      <c r="P759" s="36"/>
    </row>
    <row r="760" ht="14.25" customHeight="1">
      <c r="A760" s="49"/>
      <c r="C760" s="69" t="s">
        <v>22</v>
      </c>
      <c r="D760" s="70"/>
      <c r="E760" s="36"/>
      <c r="F760" s="36"/>
      <c r="G760" s="71"/>
      <c r="H760" s="36"/>
      <c r="I760" s="36"/>
      <c r="J760" s="36"/>
      <c r="K760" s="70"/>
      <c r="L760" s="36"/>
      <c r="M760" s="36"/>
      <c r="N760" s="36"/>
      <c r="O760" s="36"/>
      <c r="P760" s="36"/>
    </row>
    <row r="761" ht="14.25" customHeight="1">
      <c r="A761" s="49"/>
      <c r="C761" s="69" t="s">
        <v>23</v>
      </c>
      <c r="D761" s="70"/>
      <c r="E761" s="36"/>
      <c r="F761" s="36"/>
      <c r="G761" s="71"/>
      <c r="H761" s="36"/>
      <c r="I761" s="36"/>
      <c r="J761" s="36"/>
      <c r="K761" s="70"/>
      <c r="L761" s="36"/>
      <c r="M761" s="36"/>
      <c r="N761" s="36"/>
      <c r="O761" s="36"/>
      <c r="P761" s="36"/>
    </row>
    <row r="762" ht="14.25" customHeight="1">
      <c r="A762" s="49"/>
      <c r="C762" s="69" t="s">
        <v>24</v>
      </c>
      <c r="D762" s="70"/>
      <c r="E762" s="36"/>
      <c r="F762" s="36"/>
      <c r="G762" s="71"/>
      <c r="H762" s="36"/>
      <c r="I762" s="36"/>
      <c r="J762" s="36"/>
      <c r="K762" s="70"/>
      <c r="L762" s="36"/>
      <c r="M762" s="36"/>
      <c r="N762" s="36"/>
      <c r="O762" s="36"/>
      <c r="P762" s="36"/>
    </row>
    <row r="763" ht="14.25" customHeight="1">
      <c r="A763" s="49"/>
      <c r="C763" s="69" t="s">
        <v>25</v>
      </c>
      <c r="D763" s="70"/>
      <c r="E763" s="36"/>
      <c r="F763" s="36"/>
      <c r="G763" s="71"/>
      <c r="H763" s="36"/>
      <c r="I763" s="36"/>
      <c r="J763" s="36"/>
      <c r="K763" s="70"/>
      <c r="L763" s="36"/>
      <c r="M763" s="36"/>
      <c r="N763" s="36"/>
      <c r="O763" s="36"/>
      <c r="P763" s="36"/>
    </row>
    <row r="764" ht="14.25" customHeight="1">
      <c r="A764" s="56"/>
      <c r="B764" s="57"/>
      <c r="C764" s="77" t="s">
        <v>26</v>
      </c>
      <c r="D764" s="72"/>
      <c r="E764" s="73"/>
      <c r="F764" s="73"/>
      <c r="G764" s="74"/>
      <c r="H764" s="73"/>
      <c r="I764" s="73"/>
      <c r="J764" s="73"/>
      <c r="K764" s="72"/>
      <c r="L764" s="73"/>
      <c r="M764" s="73"/>
      <c r="N764" s="73"/>
      <c r="O764" s="73"/>
      <c r="P764" s="73"/>
    </row>
    <row r="765" ht="14.25" customHeight="1">
      <c r="A765" s="83">
        <v>45598.0</v>
      </c>
      <c r="B765" s="63" t="s">
        <v>43</v>
      </c>
      <c r="C765" s="64" t="s">
        <v>20</v>
      </c>
      <c r="D765" s="75">
        <v>2.0</v>
      </c>
      <c r="E765" s="66">
        <v>2.0</v>
      </c>
      <c r="F765" s="66">
        <v>2.0</v>
      </c>
      <c r="G765" s="68"/>
      <c r="H765" s="66">
        <v>2.0</v>
      </c>
      <c r="I765" s="66">
        <v>1.0</v>
      </c>
      <c r="J765" s="66">
        <v>2.0</v>
      </c>
      <c r="K765" s="65"/>
      <c r="L765" s="67"/>
      <c r="M765" s="67"/>
      <c r="N765" s="67"/>
      <c r="O765" s="66">
        <v>3.0</v>
      </c>
      <c r="P765" s="66">
        <v>2.0</v>
      </c>
    </row>
    <row r="766" ht="14.25" customHeight="1">
      <c r="A766" s="49"/>
      <c r="C766" s="69" t="s">
        <v>21</v>
      </c>
      <c r="D766" s="70"/>
      <c r="E766" s="36"/>
      <c r="F766" s="36"/>
      <c r="G766" s="71"/>
      <c r="H766" s="36"/>
      <c r="I766" s="36"/>
      <c r="J766" s="36"/>
      <c r="K766" s="70"/>
      <c r="L766" s="36"/>
      <c r="M766" s="36"/>
      <c r="N766" s="36"/>
      <c r="O766" s="36"/>
      <c r="P766" s="36"/>
    </row>
    <row r="767" ht="14.25" customHeight="1">
      <c r="A767" s="49"/>
      <c r="C767" s="69" t="s">
        <v>22</v>
      </c>
      <c r="D767" s="70"/>
      <c r="E767" s="36"/>
      <c r="F767" s="36"/>
      <c r="G767" s="71"/>
      <c r="H767" s="36"/>
      <c r="I767" s="36"/>
      <c r="J767" s="36"/>
      <c r="K767" s="70"/>
      <c r="L767" s="36"/>
      <c r="M767" s="36"/>
      <c r="N767" s="36"/>
      <c r="O767" s="36"/>
      <c r="P767" s="36"/>
    </row>
    <row r="768" ht="14.25" customHeight="1">
      <c r="A768" s="49"/>
      <c r="C768" s="69" t="s">
        <v>23</v>
      </c>
      <c r="D768" s="70"/>
      <c r="E768" s="36"/>
      <c r="F768" s="36"/>
      <c r="G768" s="71"/>
      <c r="H768" s="36"/>
      <c r="I768" s="36"/>
      <c r="J768" s="36"/>
      <c r="K768" s="70"/>
      <c r="L768" s="36"/>
      <c r="M768" s="36"/>
      <c r="N768" s="36"/>
      <c r="O768" s="36"/>
      <c r="P768" s="36"/>
    </row>
    <row r="769" ht="14.25" customHeight="1">
      <c r="A769" s="49"/>
      <c r="C769" s="69" t="s">
        <v>24</v>
      </c>
      <c r="D769" s="70"/>
      <c r="E769" s="36"/>
      <c r="F769" s="36"/>
      <c r="G769" s="71"/>
      <c r="H769" s="36"/>
      <c r="I769" s="36"/>
      <c r="J769" s="36"/>
      <c r="K769" s="70"/>
      <c r="L769" s="36"/>
      <c r="M769" s="36"/>
      <c r="N769" s="36"/>
      <c r="O769" s="36"/>
      <c r="P769" s="36"/>
    </row>
    <row r="770" ht="14.25" customHeight="1">
      <c r="A770" s="49"/>
      <c r="C770" s="69" t="s">
        <v>25</v>
      </c>
      <c r="D770" s="70"/>
      <c r="E770" s="36"/>
      <c r="F770" s="36"/>
      <c r="G770" s="71"/>
      <c r="H770" s="36"/>
      <c r="I770" s="36"/>
      <c r="J770" s="36"/>
      <c r="K770" s="70"/>
      <c r="L770" s="36"/>
      <c r="M770" s="36"/>
      <c r="N770" s="36"/>
      <c r="O770" s="36"/>
      <c r="P770" s="36"/>
    </row>
    <row r="771" ht="14.25" customHeight="1">
      <c r="A771" s="56"/>
      <c r="B771" s="57"/>
      <c r="C771" s="77" t="s">
        <v>26</v>
      </c>
      <c r="D771" s="72"/>
      <c r="E771" s="73"/>
      <c r="F771" s="73"/>
      <c r="G771" s="74"/>
      <c r="H771" s="73"/>
      <c r="I771" s="73"/>
      <c r="J771" s="73"/>
      <c r="K771" s="72"/>
      <c r="L771" s="73"/>
      <c r="M771" s="73"/>
      <c r="N771" s="73"/>
      <c r="O771" s="73"/>
      <c r="P771" s="73"/>
    </row>
    <row r="772" ht="14.25" customHeight="1">
      <c r="A772" s="83">
        <v>45609.0</v>
      </c>
      <c r="B772" s="63" t="s">
        <v>42</v>
      </c>
      <c r="C772" s="64" t="s">
        <v>20</v>
      </c>
      <c r="D772" s="75">
        <v>1.0</v>
      </c>
      <c r="E772" s="66">
        <v>3.0</v>
      </c>
      <c r="F772" s="66">
        <v>4.0</v>
      </c>
      <c r="G772" s="64">
        <v>1.0</v>
      </c>
      <c r="H772" s="66">
        <v>1.0</v>
      </c>
      <c r="I772" s="66">
        <v>2.0</v>
      </c>
      <c r="J772" s="67"/>
      <c r="K772" s="65"/>
      <c r="L772" s="67"/>
      <c r="M772" s="67"/>
      <c r="N772" s="66">
        <v>1.0</v>
      </c>
      <c r="O772" s="67"/>
      <c r="P772" s="67"/>
    </row>
    <row r="773" ht="14.25" customHeight="1">
      <c r="A773" s="49"/>
      <c r="C773" s="69" t="s">
        <v>21</v>
      </c>
      <c r="D773" s="70"/>
      <c r="E773" s="36"/>
      <c r="F773" s="36"/>
      <c r="G773" s="71"/>
      <c r="H773" s="36"/>
      <c r="I773" s="36"/>
      <c r="J773" s="36"/>
      <c r="K773" s="70"/>
      <c r="L773" s="36"/>
      <c r="M773" s="36"/>
      <c r="N773" s="36"/>
      <c r="O773" s="36"/>
      <c r="P773" s="36"/>
    </row>
    <row r="774" ht="14.25" customHeight="1">
      <c r="A774" s="49"/>
      <c r="C774" s="69" t="s">
        <v>22</v>
      </c>
      <c r="D774" s="70"/>
      <c r="E774" s="16">
        <v>2.0</v>
      </c>
      <c r="F774" s="36"/>
      <c r="G774" s="71"/>
      <c r="H774" s="16">
        <v>2.0</v>
      </c>
      <c r="I774" s="36"/>
      <c r="J774" s="36"/>
      <c r="K774" s="70"/>
      <c r="L774" s="36"/>
      <c r="M774" s="36"/>
      <c r="N774" s="36"/>
      <c r="O774" s="36"/>
      <c r="P774" s="36"/>
    </row>
    <row r="775" ht="14.25" customHeight="1">
      <c r="A775" s="49"/>
      <c r="C775" s="69" t="s">
        <v>23</v>
      </c>
      <c r="D775" s="70"/>
      <c r="E775" s="36"/>
      <c r="F775" s="36"/>
      <c r="G775" s="71"/>
      <c r="H775" s="36"/>
      <c r="I775" s="36"/>
      <c r="J775" s="36"/>
      <c r="K775" s="70"/>
      <c r="L775" s="36"/>
      <c r="M775" s="36"/>
      <c r="N775" s="36"/>
      <c r="O775" s="36"/>
      <c r="P775" s="36"/>
    </row>
    <row r="776" ht="14.25" customHeight="1">
      <c r="A776" s="49"/>
      <c r="C776" s="69" t="s">
        <v>24</v>
      </c>
      <c r="D776" s="70"/>
      <c r="E776" s="36"/>
      <c r="F776" s="36"/>
      <c r="G776" s="71"/>
      <c r="H776" s="36"/>
      <c r="I776" s="36"/>
      <c r="J776" s="36"/>
      <c r="K776" s="70"/>
      <c r="L776" s="36"/>
      <c r="M776" s="36"/>
      <c r="N776" s="36"/>
      <c r="O776" s="36"/>
      <c r="P776" s="36"/>
    </row>
    <row r="777" ht="14.25" customHeight="1">
      <c r="A777" s="49"/>
      <c r="C777" s="69" t="s">
        <v>25</v>
      </c>
      <c r="D777" s="70"/>
      <c r="E777" s="36"/>
      <c r="F777" s="36"/>
      <c r="G777" s="71"/>
      <c r="H777" s="36"/>
      <c r="I777" s="36"/>
      <c r="J777" s="36"/>
      <c r="K777" s="70"/>
      <c r="L777" s="36"/>
      <c r="M777" s="36"/>
      <c r="N777" s="36"/>
      <c r="O777" s="36"/>
      <c r="P777" s="36"/>
    </row>
    <row r="778" ht="14.25" customHeight="1">
      <c r="A778" s="56"/>
      <c r="B778" s="57"/>
      <c r="C778" s="77" t="s">
        <v>26</v>
      </c>
      <c r="D778" s="70"/>
      <c r="E778" s="36"/>
      <c r="F778" s="36"/>
      <c r="G778" s="71"/>
      <c r="H778" s="36"/>
      <c r="I778" s="36"/>
      <c r="J778" s="36"/>
      <c r="K778" s="70"/>
      <c r="L778" s="36"/>
      <c r="M778" s="36"/>
      <c r="N778" s="36"/>
      <c r="O778" s="36"/>
      <c r="P778" s="36"/>
    </row>
    <row r="779" ht="14.25" customHeight="1">
      <c r="A779" s="83">
        <v>45609.0</v>
      </c>
      <c r="B779" s="63" t="s">
        <v>43</v>
      </c>
      <c r="C779" s="66" t="s">
        <v>20</v>
      </c>
      <c r="D779" s="75">
        <v>3.0</v>
      </c>
      <c r="E779" s="66">
        <v>4.0</v>
      </c>
      <c r="F779" s="66">
        <v>1.0</v>
      </c>
      <c r="G779" s="64">
        <v>1.0</v>
      </c>
      <c r="H779" s="66">
        <v>4.0</v>
      </c>
      <c r="I779" s="66">
        <v>2.0</v>
      </c>
      <c r="J779" s="68"/>
      <c r="K779" s="65"/>
      <c r="L779" s="67"/>
      <c r="M779" s="67"/>
      <c r="N779" s="67"/>
      <c r="O779" s="67"/>
      <c r="P779" s="67"/>
    </row>
    <row r="780" ht="14.25" customHeight="1">
      <c r="A780" s="49"/>
      <c r="C780" s="16" t="s">
        <v>21</v>
      </c>
      <c r="D780" s="70"/>
      <c r="E780" s="36"/>
      <c r="F780" s="36"/>
      <c r="G780" s="71"/>
      <c r="H780" s="36"/>
      <c r="I780" s="36"/>
      <c r="J780" s="71"/>
      <c r="K780" s="70"/>
      <c r="L780" s="36"/>
      <c r="M780" s="36"/>
      <c r="N780" s="36"/>
      <c r="O780" s="36"/>
      <c r="P780" s="36"/>
    </row>
    <row r="781" ht="14.25" customHeight="1">
      <c r="A781" s="49"/>
      <c r="C781" s="16" t="s">
        <v>22</v>
      </c>
      <c r="D781" s="70"/>
      <c r="E781" s="36"/>
      <c r="F781" s="36"/>
      <c r="G781" s="71"/>
      <c r="H781" s="36"/>
      <c r="I781" s="36"/>
      <c r="J781" s="71"/>
      <c r="K781" s="70"/>
      <c r="L781" s="36"/>
      <c r="M781" s="36"/>
      <c r="N781" s="36"/>
      <c r="O781" s="36"/>
      <c r="P781" s="36"/>
    </row>
    <row r="782" ht="14.25" customHeight="1">
      <c r="A782" s="49"/>
      <c r="C782" s="16" t="s">
        <v>23</v>
      </c>
      <c r="D782" s="70"/>
      <c r="E782" s="36"/>
      <c r="F782" s="36"/>
      <c r="G782" s="71"/>
      <c r="H782" s="36"/>
      <c r="I782" s="36"/>
      <c r="J782" s="71"/>
      <c r="K782" s="70"/>
      <c r="L782" s="36"/>
      <c r="M782" s="36"/>
      <c r="N782" s="36"/>
      <c r="O782" s="36"/>
      <c r="P782" s="36"/>
    </row>
    <row r="783" ht="14.25" customHeight="1">
      <c r="A783" s="49"/>
      <c r="C783" s="16" t="s">
        <v>24</v>
      </c>
      <c r="D783" s="70"/>
      <c r="E783" s="36"/>
      <c r="F783" s="36"/>
      <c r="G783" s="71"/>
      <c r="H783" s="36"/>
      <c r="I783" s="36"/>
      <c r="J783" s="71"/>
      <c r="K783" s="70"/>
      <c r="L783" s="36"/>
      <c r="M783" s="36"/>
      <c r="N783" s="36"/>
      <c r="O783" s="36"/>
      <c r="P783" s="36"/>
    </row>
    <row r="784" ht="14.25" customHeight="1">
      <c r="A784" s="49"/>
      <c r="C784" s="16" t="s">
        <v>25</v>
      </c>
      <c r="D784" s="70"/>
      <c r="E784" s="36"/>
      <c r="F784" s="36"/>
      <c r="G784" s="71"/>
      <c r="H784" s="36"/>
      <c r="I784" s="36"/>
      <c r="J784" s="71"/>
      <c r="K784" s="70"/>
      <c r="L784" s="36"/>
      <c r="M784" s="36"/>
      <c r="N784" s="36"/>
      <c r="O784" s="36"/>
      <c r="P784" s="36"/>
    </row>
    <row r="785" ht="14.25" customHeight="1">
      <c r="A785" s="56"/>
      <c r="B785" s="57"/>
      <c r="C785" s="82" t="s">
        <v>26</v>
      </c>
      <c r="D785" s="72"/>
      <c r="E785" s="73"/>
      <c r="F785" s="73"/>
      <c r="G785" s="74"/>
      <c r="H785" s="73"/>
      <c r="I785" s="73"/>
      <c r="J785" s="74"/>
      <c r="K785" s="72"/>
      <c r="L785" s="73"/>
      <c r="M785" s="73"/>
      <c r="N785" s="73"/>
      <c r="O785" s="73"/>
      <c r="P785" s="73"/>
    </row>
    <row r="786" ht="14.25" customHeight="1">
      <c r="A786" s="83">
        <v>45610.0</v>
      </c>
      <c r="B786" s="63" t="s">
        <v>43</v>
      </c>
      <c r="C786" s="66" t="s">
        <v>20</v>
      </c>
      <c r="D786" s="65"/>
      <c r="E786" s="66">
        <v>1.0</v>
      </c>
      <c r="F786" s="66">
        <v>1.0</v>
      </c>
      <c r="G786" s="68"/>
      <c r="H786" s="67"/>
      <c r="I786" s="66">
        <v>1.0</v>
      </c>
      <c r="J786" s="68"/>
      <c r="K786" s="65"/>
      <c r="L786" s="67"/>
      <c r="M786" s="67"/>
      <c r="N786" s="67"/>
      <c r="O786" s="67"/>
      <c r="P786" s="67"/>
    </row>
    <row r="787" ht="14.25" customHeight="1">
      <c r="A787" s="49"/>
      <c r="C787" s="16" t="s">
        <v>21</v>
      </c>
      <c r="D787" s="70"/>
      <c r="E787" s="36"/>
      <c r="F787" s="36"/>
      <c r="G787" s="71"/>
      <c r="H787" s="36"/>
      <c r="I787" s="36"/>
      <c r="J787" s="71"/>
      <c r="K787" s="70"/>
      <c r="L787" s="36"/>
      <c r="M787" s="36"/>
      <c r="N787" s="36"/>
      <c r="O787" s="36"/>
      <c r="P787" s="36"/>
    </row>
    <row r="788" ht="14.25" customHeight="1">
      <c r="A788" s="49"/>
      <c r="C788" s="16" t="s">
        <v>22</v>
      </c>
      <c r="D788" s="70"/>
      <c r="E788" s="36"/>
      <c r="F788" s="36"/>
      <c r="G788" s="71"/>
      <c r="H788" s="36"/>
      <c r="I788" s="36"/>
      <c r="J788" s="71"/>
      <c r="K788" s="70"/>
      <c r="L788" s="36"/>
      <c r="M788" s="36"/>
      <c r="N788" s="36"/>
      <c r="O788" s="36"/>
      <c r="P788" s="36"/>
    </row>
    <row r="789" ht="14.25" customHeight="1">
      <c r="A789" s="49"/>
      <c r="C789" s="16" t="s">
        <v>23</v>
      </c>
      <c r="D789" s="70"/>
      <c r="E789" s="36"/>
      <c r="F789" s="36"/>
      <c r="G789" s="71"/>
      <c r="H789" s="36"/>
      <c r="I789" s="36"/>
      <c r="J789" s="71"/>
      <c r="K789" s="70"/>
      <c r="L789" s="36"/>
      <c r="M789" s="36"/>
      <c r="N789" s="36"/>
      <c r="O789" s="36"/>
      <c r="P789" s="36"/>
    </row>
    <row r="790" ht="14.25" customHeight="1">
      <c r="A790" s="49"/>
      <c r="C790" s="16" t="s">
        <v>24</v>
      </c>
      <c r="D790" s="70"/>
      <c r="E790" s="36"/>
      <c r="F790" s="36"/>
      <c r="G790" s="71"/>
      <c r="H790" s="36"/>
      <c r="I790" s="36"/>
      <c r="J790" s="71"/>
      <c r="K790" s="70"/>
      <c r="L790" s="36"/>
      <c r="M790" s="36"/>
      <c r="N790" s="36"/>
      <c r="O790" s="36"/>
      <c r="P790" s="36"/>
    </row>
    <row r="791" ht="14.25" customHeight="1">
      <c r="A791" s="49"/>
      <c r="C791" s="16" t="s">
        <v>25</v>
      </c>
      <c r="D791" s="70"/>
      <c r="E791" s="36"/>
      <c r="F791" s="36"/>
      <c r="G791" s="71"/>
      <c r="H791" s="36"/>
      <c r="I791" s="36"/>
      <c r="J791" s="71"/>
      <c r="K791" s="70"/>
      <c r="L791" s="36"/>
      <c r="M791" s="36"/>
      <c r="N791" s="36"/>
      <c r="O791" s="36"/>
      <c r="P791" s="36"/>
    </row>
    <row r="792" ht="14.25" customHeight="1">
      <c r="A792" s="56"/>
      <c r="B792" s="57"/>
      <c r="C792" s="82" t="s">
        <v>26</v>
      </c>
      <c r="D792" s="72"/>
      <c r="E792" s="73"/>
      <c r="F792" s="73"/>
      <c r="G792" s="74"/>
      <c r="H792" s="73"/>
      <c r="I792" s="73"/>
      <c r="J792" s="74"/>
      <c r="K792" s="72"/>
      <c r="L792" s="73"/>
      <c r="M792" s="73"/>
      <c r="N792" s="73"/>
      <c r="O792" s="73"/>
      <c r="P792" s="73"/>
    </row>
    <row r="793" ht="14.25" customHeight="1">
      <c r="A793" s="83">
        <v>45610.0</v>
      </c>
      <c r="B793" s="58" t="s">
        <v>65</v>
      </c>
      <c r="C793" s="66" t="s">
        <v>20</v>
      </c>
      <c r="D793" s="75">
        <v>1.0</v>
      </c>
      <c r="E793" s="66">
        <v>1.0</v>
      </c>
      <c r="F793" s="66">
        <v>3.0</v>
      </c>
      <c r="G793" s="68"/>
      <c r="H793" s="66">
        <v>1.0</v>
      </c>
      <c r="I793" s="67"/>
      <c r="J793" s="68"/>
      <c r="K793" s="65"/>
      <c r="L793" s="67"/>
      <c r="M793" s="67"/>
      <c r="N793" s="67"/>
      <c r="O793" s="67"/>
      <c r="P793" s="67"/>
    </row>
    <row r="794" ht="14.25" customHeight="1">
      <c r="A794" s="49"/>
      <c r="C794" s="16" t="s">
        <v>21</v>
      </c>
      <c r="D794" s="70"/>
      <c r="E794" s="36"/>
      <c r="F794" s="36"/>
      <c r="G794" s="71"/>
      <c r="H794" s="36"/>
      <c r="I794" s="36"/>
      <c r="J794" s="71"/>
      <c r="K794" s="70"/>
      <c r="L794" s="36"/>
      <c r="M794" s="36"/>
      <c r="N794" s="36"/>
      <c r="O794" s="36"/>
      <c r="P794" s="36"/>
    </row>
    <row r="795" ht="14.25" customHeight="1">
      <c r="A795" s="49"/>
      <c r="C795" s="16" t="s">
        <v>22</v>
      </c>
      <c r="D795" s="70"/>
      <c r="E795" s="36"/>
      <c r="F795" s="36"/>
      <c r="G795" s="71"/>
      <c r="H795" s="36"/>
      <c r="I795" s="36"/>
      <c r="J795" s="71"/>
      <c r="K795" s="70"/>
      <c r="L795" s="36"/>
      <c r="M795" s="36"/>
      <c r="N795" s="36"/>
      <c r="O795" s="36"/>
      <c r="P795" s="36"/>
    </row>
    <row r="796" ht="14.25" customHeight="1">
      <c r="A796" s="49"/>
      <c r="C796" s="16" t="s">
        <v>23</v>
      </c>
      <c r="D796" s="70"/>
      <c r="E796" s="36"/>
      <c r="F796" s="36"/>
      <c r="G796" s="71"/>
      <c r="H796" s="36"/>
      <c r="I796" s="36"/>
      <c r="J796" s="71"/>
      <c r="K796" s="70"/>
      <c r="L796" s="36"/>
      <c r="M796" s="36"/>
      <c r="N796" s="36"/>
      <c r="O796" s="36"/>
      <c r="P796" s="36"/>
    </row>
    <row r="797" ht="14.25" customHeight="1">
      <c r="A797" s="49"/>
      <c r="C797" s="16" t="s">
        <v>24</v>
      </c>
      <c r="D797" s="70"/>
      <c r="E797" s="36"/>
      <c r="F797" s="36"/>
      <c r="G797" s="71"/>
      <c r="H797" s="36"/>
      <c r="I797" s="36"/>
      <c r="J797" s="71"/>
      <c r="K797" s="70"/>
      <c r="L797" s="36"/>
      <c r="M797" s="36"/>
      <c r="N797" s="36"/>
      <c r="O797" s="36"/>
      <c r="P797" s="36"/>
    </row>
    <row r="798" ht="14.25" customHeight="1">
      <c r="A798" s="49"/>
      <c r="C798" s="16" t="s">
        <v>25</v>
      </c>
      <c r="D798" s="70"/>
      <c r="E798" s="36"/>
      <c r="F798" s="36"/>
      <c r="G798" s="71"/>
      <c r="H798" s="36"/>
      <c r="I798" s="36"/>
      <c r="J798" s="71"/>
      <c r="K798" s="70"/>
      <c r="L798" s="36"/>
      <c r="M798" s="36"/>
      <c r="N798" s="36"/>
      <c r="O798" s="36"/>
      <c r="P798" s="36"/>
    </row>
    <row r="799" ht="14.25" customHeight="1">
      <c r="A799" s="56"/>
      <c r="B799" s="57"/>
      <c r="C799" s="82" t="s">
        <v>26</v>
      </c>
      <c r="D799" s="72"/>
      <c r="E799" s="73"/>
      <c r="F799" s="73"/>
      <c r="G799" s="74"/>
      <c r="H799" s="73"/>
      <c r="I799" s="73"/>
      <c r="J799" s="74"/>
      <c r="K799" s="72"/>
      <c r="L799" s="73"/>
      <c r="M799" s="73"/>
      <c r="N799" s="73"/>
      <c r="O799" s="73"/>
      <c r="P799" s="73"/>
    </row>
    <row r="800" ht="14.25" customHeight="1">
      <c r="A800" s="83">
        <v>45611.0</v>
      </c>
      <c r="B800" s="63" t="s">
        <v>42</v>
      </c>
      <c r="C800" s="66" t="s">
        <v>20</v>
      </c>
      <c r="D800" s="75">
        <v>6.0</v>
      </c>
      <c r="E800" s="67"/>
      <c r="F800" s="66">
        <v>3.0</v>
      </c>
      <c r="G800" s="68"/>
      <c r="H800" s="66">
        <v>2.0</v>
      </c>
      <c r="I800" s="66">
        <v>1.0</v>
      </c>
      <c r="J800" s="68"/>
      <c r="K800" s="65"/>
      <c r="L800" s="67"/>
      <c r="M800" s="67"/>
      <c r="N800" s="67"/>
      <c r="O800" s="67"/>
      <c r="P800" s="67"/>
    </row>
    <row r="801" ht="14.25" customHeight="1">
      <c r="A801" s="49"/>
      <c r="C801" s="16" t="s">
        <v>21</v>
      </c>
      <c r="D801" s="70"/>
      <c r="E801" s="36"/>
      <c r="F801" s="36"/>
      <c r="G801" s="71"/>
      <c r="H801" s="36"/>
      <c r="I801" s="36"/>
      <c r="J801" s="71"/>
      <c r="K801" s="70"/>
      <c r="L801" s="36"/>
      <c r="M801" s="36"/>
      <c r="N801" s="36"/>
      <c r="O801" s="36"/>
      <c r="P801" s="36"/>
    </row>
    <row r="802" ht="14.25" customHeight="1">
      <c r="A802" s="49"/>
      <c r="C802" s="16" t="s">
        <v>22</v>
      </c>
      <c r="D802" s="70"/>
      <c r="E802" s="36"/>
      <c r="F802" s="16">
        <v>1.0</v>
      </c>
      <c r="G802" s="71"/>
      <c r="H802" s="36"/>
      <c r="I802" s="36"/>
      <c r="J802" s="71"/>
      <c r="K802" s="70"/>
      <c r="L802" s="36"/>
      <c r="M802" s="36"/>
      <c r="N802" s="36"/>
      <c r="O802" s="36"/>
      <c r="P802" s="36"/>
    </row>
    <row r="803" ht="14.25" customHeight="1">
      <c r="A803" s="49"/>
      <c r="C803" s="16" t="s">
        <v>23</v>
      </c>
      <c r="D803" s="76">
        <v>2.0</v>
      </c>
      <c r="E803" s="36"/>
      <c r="F803" s="36"/>
      <c r="G803" s="71"/>
      <c r="H803" s="36"/>
      <c r="I803" s="36"/>
      <c r="J803" s="71"/>
      <c r="K803" s="70"/>
      <c r="L803" s="36"/>
      <c r="M803" s="36"/>
      <c r="N803" s="36"/>
      <c r="O803" s="36"/>
      <c r="P803" s="36"/>
    </row>
    <row r="804" ht="14.25" customHeight="1">
      <c r="A804" s="49"/>
      <c r="C804" s="16" t="s">
        <v>24</v>
      </c>
      <c r="D804" s="70"/>
      <c r="E804" s="36"/>
      <c r="F804" s="36"/>
      <c r="G804" s="71"/>
      <c r="H804" s="36"/>
      <c r="I804" s="36"/>
      <c r="J804" s="71"/>
      <c r="K804" s="70"/>
      <c r="L804" s="36"/>
      <c r="M804" s="36"/>
      <c r="N804" s="36"/>
      <c r="O804" s="36"/>
      <c r="P804" s="36"/>
    </row>
    <row r="805" ht="14.25" customHeight="1">
      <c r="A805" s="49"/>
      <c r="C805" s="16" t="s">
        <v>25</v>
      </c>
      <c r="D805" s="70"/>
      <c r="E805" s="36"/>
      <c r="F805" s="36"/>
      <c r="G805" s="71"/>
      <c r="H805" s="36"/>
      <c r="I805" s="36"/>
      <c r="J805" s="71"/>
      <c r="K805" s="70"/>
      <c r="L805" s="36"/>
      <c r="M805" s="36"/>
      <c r="N805" s="36"/>
      <c r="O805" s="36"/>
      <c r="P805" s="36"/>
    </row>
    <row r="806" ht="14.25" customHeight="1">
      <c r="A806" s="56"/>
      <c r="B806" s="57"/>
      <c r="C806" s="82" t="s">
        <v>26</v>
      </c>
      <c r="D806" s="72"/>
      <c r="E806" s="73"/>
      <c r="F806" s="73"/>
      <c r="G806" s="74"/>
      <c r="H806" s="73"/>
      <c r="I806" s="73"/>
      <c r="J806" s="74"/>
      <c r="K806" s="72"/>
      <c r="L806" s="73"/>
      <c r="M806" s="73"/>
      <c r="N806" s="73"/>
      <c r="O806" s="73"/>
      <c r="P806" s="73"/>
    </row>
    <row r="807" ht="14.25" customHeight="1">
      <c r="A807" s="83">
        <v>45611.0</v>
      </c>
      <c r="B807" s="63" t="s">
        <v>44</v>
      </c>
      <c r="C807" s="66" t="s">
        <v>20</v>
      </c>
      <c r="D807" s="65"/>
      <c r="E807" s="66">
        <v>2.0</v>
      </c>
      <c r="F807" s="66">
        <v>6.0</v>
      </c>
      <c r="G807" s="64">
        <v>4.0</v>
      </c>
      <c r="H807" s="66">
        <v>2.0</v>
      </c>
      <c r="I807" s="67"/>
      <c r="J807" s="68"/>
      <c r="K807" s="65"/>
      <c r="L807" s="67"/>
      <c r="M807" s="67"/>
      <c r="N807" s="67"/>
      <c r="O807" s="67"/>
      <c r="P807" s="67"/>
    </row>
    <row r="808" ht="14.25" customHeight="1">
      <c r="A808" s="49"/>
      <c r="C808" s="16" t="s">
        <v>21</v>
      </c>
      <c r="D808" s="70"/>
      <c r="E808" s="36"/>
      <c r="F808" s="36"/>
      <c r="G808" s="71"/>
      <c r="H808" s="36"/>
      <c r="I808" s="36"/>
      <c r="J808" s="71"/>
      <c r="K808" s="70"/>
      <c r="L808" s="36"/>
      <c r="M808" s="36"/>
      <c r="N808" s="36"/>
      <c r="O808" s="36"/>
      <c r="P808" s="36"/>
    </row>
    <row r="809" ht="14.25" customHeight="1">
      <c r="A809" s="49"/>
      <c r="C809" s="16" t="s">
        <v>22</v>
      </c>
      <c r="D809" s="70"/>
      <c r="E809" s="36"/>
      <c r="F809" s="36"/>
      <c r="G809" s="71"/>
      <c r="H809" s="36"/>
      <c r="I809" s="36"/>
      <c r="J809" s="71"/>
      <c r="K809" s="70"/>
      <c r="L809" s="36"/>
      <c r="M809" s="36"/>
      <c r="N809" s="36"/>
      <c r="O809" s="36"/>
      <c r="P809" s="36"/>
    </row>
    <row r="810" ht="14.25" customHeight="1">
      <c r="A810" s="49"/>
      <c r="C810" s="16" t="s">
        <v>23</v>
      </c>
      <c r="D810" s="70"/>
      <c r="E810" s="36"/>
      <c r="F810" s="36"/>
      <c r="G810" s="71"/>
      <c r="H810" s="36"/>
      <c r="I810" s="36"/>
      <c r="J810" s="71"/>
      <c r="K810" s="70"/>
      <c r="L810" s="36"/>
      <c r="M810" s="36"/>
      <c r="N810" s="36"/>
      <c r="O810" s="36"/>
      <c r="P810" s="36"/>
    </row>
    <row r="811" ht="14.25" customHeight="1">
      <c r="A811" s="49"/>
      <c r="C811" s="16" t="s">
        <v>24</v>
      </c>
      <c r="D811" s="70"/>
      <c r="E811" s="36"/>
      <c r="F811" s="36"/>
      <c r="G811" s="71"/>
      <c r="H811" s="36"/>
      <c r="I811" s="36"/>
      <c r="J811" s="71"/>
      <c r="K811" s="70"/>
      <c r="L811" s="36"/>
      <c r="M811" s="36"/>
      <c r="N811" s="36"/>
      <c r="O811" s="36"/>
      <c r="P811" s="36"/>
    </row>
    <row r="812" ht="14.25" customHeight="1">
      <c r="A812" s="49"/>
      <c r="C812" s="16" t="s">
        <v>25</v>
      </c>
      <c r="D812" s="70"/>
      <c r="E812" s="36"/>
      <c r="F812" s="36"/>
      <c r="G812" s="71"/>
      <c r="H812" s="36"/>
      <c r="I812" s="36"/>
      <c r="J812" s="71"/>
      <c r="K812" s="70"/>
      <c r="L812" s="36"/>
      <c r="M812" s="36"/>
      <c r="N812" s="36"/>
      <c r="O812" s="36"/>
      <c r="P812" s="36"/>
    </row>
    <row r="813" ht="14.25" customHeight="1">
      <c r="A813" s="56"/>
      <c r="B813" s="57"/>
      <c r="C813" s="82" t="s">
        <v>26</v>
      </c>
      <c r="D813" s="72"/>
      <c r="E813" s="73"/>
      <c r="F813" s="73"/>
      <c r="G813" s="74"/>
      <c r="H813" s="73"/>
      <c r="I813" s="73"/>
      <c r="J813" s="74"/>
      <c r="K813" s="72"/>
      <c r="L813" s="73"/>
      <c r="M813" s="73"/>
      <c r="N813" s="73"/>
      <c r="O813" s="73"/>
      <c r="P813" s="73"/>
    </row>
    <row r="814" ht="14.25" customHeight="1">
      <c r="A814" s="83">
        <v>45621.0</v>
      </c>
      <c r="B814" s="63" t="s">
        <v>43</v>
      </c>
      <c r="C814" s="66" t="s">
        <v>20</v>
      </c>
      <c r="D814" s="75">
        <v>1.0</v>
      </c>
      <c r="E814" s="66">
        <v>4.0</v>
      </c>
      <c r="F814" s="67"/>
      <c r="G814" s="68"/>
      <c r="H814" s="67"/>
      <c r="I814" s="66">
        <v>4.0</v>
      </c>
      <c r="J814" s="68"/>
      <c r="K814" s="65"/>
      <c r="L814" s="67"/>
      <c r="M814" s="67"/>
      <c r="N814" s="67"/>
      <c r="O814" s="67"/>
      <c r="P814" s="67"/>
    </row>
    <row r="815" ht="14.25" customHeight="1">
      <c r="A815" s="49"/>
      <c r="C815" s="16" t="s">
        <v>21</v>
      </c>
      <c r="D815" s="70"/>
      <c r="E815" s="36"/>
      <c r="F815" s="36"/>
      <c r="G815" s="71"/>
      <c r="H815" s="36"/>
      <c r="I815" s="36"/>
      <c r="J815" s="71"/>
      <c r="K815" s="70"/>
      <c r="L815" s="36"/>
      <c r="M815" s="36"/>
      <c r="N815" s="36"/>
      <c r="O815" s="36"/>
      <c r="P815" s="36"/>
    </row>
    <row r="816" ht="14.25" customHeight="1">
      <c r="A816" s="49"/>
      <c r="C816" s="16" t="s">
        <v>22</v>
      </c>
      <c r="D816" s="70"/>
      <c r="E816" s="36"/>
      <c r="F816" s="36"/>
      <c r="G816" s="71"/>
      <c r="H816" s="36"/>
      <c r="I816" s="36"/>
      <c r="J816" s="71"/>
      <c r="K816" s="70"/>
      <c r="L816" s="36"/>
      <c r="M816" s="36"/>
      <c r="N816" s="36"/>
      <c r="O816" s="36"/>
      <c r="P816" s="36"/>
    </row>
    <row r="817" ht="14.25" customHeight="1">
      <c r="A817" s="49"/>
      <c r="C817" s="16" t="s">
        <v>23</v>
      </c>
      <c r="D817" s="70"/>
      <c r="E817" s="36"/>
      <c r="F817" s="36"/>
      <c r="G817" s="71"/>
      <c r="H817" s="36"/>
      <c r="I817" s="36"/>
      <c r="J817" s="71"/>
      <c r="K817" s="70"/>
      <c r="L817" s="36"/>
      <c r="M817" s="36"/>
      <c r="N817" s="36"/>
      <c r="O817" s="36"/>
      <c r="P817" s="36"/>
    </row>
    <row r="818" ht="14.25" customHeight="1">
      <c r="A818" s="49"/>
      <c r="C818" s="16" t="s">
        <v>24</v>
      </c>
      <c r="D818" s="70"/>
      <c r="E818" s="36"/>
      <c r="F818" s="36"/>
      <c r="G818" s="71"/>
      <c r="H818" s="36"/>
      <c r="I818" s="36"/>
      <c r="J818" s="71"/>
      <c r="K818" s="70"/>
      <c r="L818" s="36"/>
      <c r="M818" s="36"/>
      <c r="N818" s="36"/>
      <c r="O818" s="36"/>
      <c r="P818" s="36"/>
    </row>
    <row r="819" ht="14.25" customHeight="1">
      <c r="A819" s="49"/>
      <c r="C819" s="16" t="s">
        <v>25</v>
      </c>
      <c r="D819" s="70"/>
      <c r="E819" s="36"/>
      <c r="F819" s="36"/>
      <c r="G819" s="71"/>
      <c r="H819" s="36"/>
      <c r="I819" s="36"/>
      <c r="J819" s="71"/>
      <c r="K819" s="70"/>
      <c r="L819" s="36"/>
      <c r="M819" s="36"/>
      <c r="N819" s="36"/>
      <c r="O819" s="36"/>
      <c r="P819" s="36"/>
    </row>
    <row r="820" ht="14.25" customHeight="1">
      <c r="A820" s="56"/>
      <c r="B820" s="57"/>
      <c r="C820" s="82" t="s">
        <v>26</v>
      </c>
      <c r="D820" s="72"/>
      <c r="E820" s="73"/>
      <c r="F820" s="73"/>
      <c r="G820" s="74"/>
      <c r="H820" s="73"/>
      <c r="I820" s="73"/>
      <c r="J820" s="74"/>
      <c r="K820" s="72"/>
      <c r="L820" s="73"/>
      <c r="M820" s="73"/>
      <c r="N820" s="73"/>
      <c r="O820" s="73"/>
      <c r="P820" s="73"/>
    </row>
    <row r="821" ht="14.25" customHeight="1">
      <c r="A821" s="83">
        <v>45621.0</v>
      </c>
      <c r="B821" s="63" t="s">
        <v>44</v>
      </c>
      <c r="C821" s="66" t="s">
        <v>20</v>
      </c>
      <c r="D821" s="75">
        <v>1.0</v>
      </c>
      <c r="E821" s="66">
        <v>1.0</v>
      </c>
      <c r="F821" s="67"/>
      <c r="G821" s="68"/>
      <c r="H821" s="66">
        <v>1.0</v>
      </c>
      <c r="I821" s="67"/>
      <c r="J821" s="68"/>
      <c r="K821" s="65"/>
      <c r="L821" s="67"/>
      <c r="M821" s="67"/>
      <c r="N821" s="67"/>
      <c r="O821" s="67"/>
      <c r="P821" s="67"/>
    </row>
    <row r="822" ht="14.25" customHeight="1">
      <c r="A822" s="49"/>
      <c r="C822" s="16" t="s">
        <v>21</v>
      </c>
      <c r="D822" s="76">
        <v>5.0</v>
      </c>
      <c r="E822" s="36"/>
      <c r="F822" s="36"/>
      <c r="G822" s="71"/>
      <c r="H822" s="36"/>
      <c r="I822" s="36"/>
      <c r="J822" s="71"/>
      <c r="K822" s="70"/>
      <c r="L822" s="36"/>
      <c r="M822" s="36"/>
      <c r="N822" s="36"/>
      <c r="O822" s="36"/>
      <c r="P822" s="36"/>
    </row>
    <row r="823" ht="14.25" customHeight="1">
      <c r="A823" s="49"/>
      <c r="C823" s="16" t="s">
        <v>22</v>
      </c>
      <c r="D823" s="70"/>
      <c r="E823" s="36"/>
      <c r="F823" s="36"/>
      <c r="G823" s="71"/>
      <c r="H823" s="36"/>
      <c r="I823" s="36"/>
      <c r="J823" s="71"/>
      <c r="K823" s="70"/>
      <c r="L823" s="36"/>
      <c r="M823" s="36"/>
      <c r="N823" s="36"/>
      <c r="O823" s="36"/>
      <c r="P823" s="36"/>
    </row>
    <row r="824" ht="14.25" customHeight="1">
      <c r="A824" s="49"/>
      <c r="C824" s="16" t="s">
        <v>23</v>
      </c>
      <c r="D824" s="70"/>
      <c r="E824" s="36"/>
      <c r="F824" s="36"/>
      <c r="G824" s="71"/>
      <c r="H824" s="36"/>
      <c r="I824" s="36"/>
      <c r="J824" s="71"/>
      <c r="K824" s="70"/>
      <c r="L824" s="36"/>
      <c r="M824" s="36"/>
      <c r="N824" s="36"/>
      <c r="O824" s="36"/>
      <c r="P824" s="36"/>
    </row>
    <row r="825" ht="14.25" customHeight="1">
      <c r="A825" s="49"/>
      <c r="C825" s="16" t="s">
        <v>24</v>
      </c>
      <c r="D825" s="70"/>
      <c r="E825" s="36"/>
      <c r="F825" s="36"/>
      <c r="G825" s="71"/>
      <c r="H825" s="36"/>
      <c r="I825" s="36"/>
      <c r="J825" s="71"/>
      <c r="K825" s="70"/>
      <c r="L825" s="36"/>
      <c r="M825" s="36"/>
      <c r="N825" s="36"/>
      <c r="O825" s="36"/>
      <c r="P825" s="36"/>
    </row>
    <row r="826" ht="14.25" customHeight="1">
      <c r="A826" s="49"/>
      <c r="C826" s="16" t="s">
        <v>25</v>
      </c>
      <c r="D826" s="70"/>
      <c r="E826" s="36"/>
      <c r="F826" s="36"/>
      <c r="G826" s="71"/>
      <c r="H826" s="36"/>
      <c r="I826" s="36"/>
      <c r="J826" s="71"/>
      <c r="K826" s="70"/>
      <c r="L826" s="36"/>
      <c r="M826" s="36"/>
      <c r="N826" s="36"/>
      <c r="O826" s="36"/>
      <c r="P826" s="36"/>
    </row>
    <row r="827" ht="14.25" customHeight="1">
      <c r="A827" s="56"/>
      <c r="B827" s="57"/>
      <c r="C827" s="82" t="s">
        <v>26</v>
      </c>
      <c r="D827" s="70"/>
      <c r="E827" s="36"/>
      <c r="F827" s="36"/>
      <c r="G827" s="71"/>
      <c r="H827" s="36"/>
      <c r="I827" s="36"/>
      <c r="J827" s="71"/>
      <c r="K827" s="70"/>
      <c r="L827" s="36"/>
      <c r="M827" s="36"/>
      <c r="N827" s="36"/>
      <c r="O827" s="36"/>
      <c r="P827" s="36"/>
    </row>
    <row r="828" ht="14.25" customHeight="1">
      <c r="A828" s="83">
        <v>45622.0</v>
      </c>
      <c r="B828" s="63" t="s">
        <v>44</v>
      </c>
      <c r="C828" s="84" t="s">
        <v>20</v>
      </c>
      <c r="D828" s="66">
        <v>1.0</v>
      </c>
      <c r="E828" s="67"/>
      <c r="F828" s="67"/>
      <c r="G828" s="67"/>
      <c r="H828" s="65"/>
      <c r="I828" s="67"/>
      <c r="J828" s="67"/>
      <c r="K828" s="65"/>
      <c r="L828" s="67"/>
      <c r="M828" s="67"/>
      <c r="N828" s="67"/>
      <c r="O828" s="67"/>
      <c r="P828" s="67"/>
    </row>
    <row r="829" ht="14.25" customHeight="1">
      <c r="A829" s="49"/>
      <c r="C829" s="85" t="s">
        <v>21</v>
      </c>
      <c r="D829" s="36"/>
      <c r="E829" s="36"/>
      <c r="F829" s="36"/>
      <c r="G829" s="71"/>
      <c r="H829" s="36"/>
      <c r="I829" s="36"/>
      <c r="J829" s="71"/>
      <c r="K829" s="70"/>
      <c r="L829" s="36"/>
      <c r="M829" s="36"/>
      <c r="N829" s="36"/>
      <c r="O829" s="36"/>
      <c r="P829" s="36"/>
    </row>
    <row r="830" ht="14.25" customHeight="1">
      <c r="A830" s="49"/>
      <c r="C830" s="85" t="s">
        <v>22</v>
      </c>
      <c r="D830" s="36"/>
      <c r="E830" s="36"/>
      <c r="F830" s="36"/>
      <c r="G830" s="71"/>
      <c r="H830" s="36"/>
      <c r="I830" s="36"/>
      <c r="J830" s="71"/>
      <c r="K830" s="70"/>
      <c r="L830" s="36"/>
      <c r="M830" s="36"/>
      <c r="N830" s="36"/>
      <c r="O830" s="36"/>
      <c r="P830" s="36"/>
    </row>
    <row r="831" ht="14.25" customHeight="1">
      <c r="A831" s="49"/>
      <c r="C831" s="85" t="s">
        <v>23</v>
      </c>
      <c r="D831" s="36"/>
      <c r="E831" s="36"/>
      <c r="F831" s="36"/>
      <c r="G831" s="71"/>
      <c r="H831" s="36"/>
      <c r="I831" s="36"/>
      <c r="J831" s="71"/>
      <c r="K831" s="70"/>
      <c r="L831" s="36"/>
      <c r="M831" s="36"/>
      <c r="N831" s="36"/>
      <c r="O831" s="36"/>
      <c r="P831" s="36"/>
    </row>
    <row r="832" ht="14.25" customHeight="1">
      <c r="A832" s="49"/>
      <c r="C832" s="85" t="s">
        <v>24</v>
      </c>
      <c r="D832" s="36"/>
      <c r="E832" s="36"/>
      <c r="F832" s="36"/>
      <c r="G832" s="71"/>
      <c r="H832" s="36"/>
      <c r="I832" s="36"/>
      <c r="J832" s="71"/>
      <c r="K832" s="70"/>
      <c r="L832" s="36"/>
      <c r="M832" s="36"/>
      <c r="N832" s="36"/>
      <c r="O832" s="36"/>
      <c r="P832" s="36"/>
    </row>
    <row r="833" ht="14.25" customHeight="1">
      <c r="A833" s="49"/>
      <c r="C833" s="85" t="s">
        <v>25</v>
      </c>
      <c r="D833" s="36"/>
      <c r="E833" s="36"/>
      <c r="F833" s="36"/>
      <c r="G833" s="71"/>
      <c r="H833" s="36"/>
      <c r="I833" s="36"/>
      <c r="J833" s="71"/>
      <c r="K833" s="70"/>
      <c r="L833" s="36"/>
      <c r="M833" s="36"/>
      <c r="N833" s="36"/>
      <c r="O833" s="36"/>
      <c r="P833" s="36"/>
    </row>
    <row r="834" ht="14.25" customHeight="1">
      <c r="A834" s="56"/>
      <c r="B834" s="57"/>
      <c r="C834" s="86" t="s">
        <v>26</v>
      </c>
      <c r="D834" s="73"/>
      <c r="E834" s="73"/>
      <c r="F834" s="73"/>
      <c r="G834" s="74"/>
      <c r="H834" s="73"/>
      <c r="I834" s="73"/>
      <c r="J834" s="74"/>
      <c r="K834" s="72"/>
      <c r="L834" s="73"/>
      <c r="M834" s="73"/>
      <c r="N834" s="73"/>
      <c r="O834" s="73"/>
      <c r="P834" s="73"/>
    </row>
    <row r="835" ht="14.25" customHeight="1">
      <c r="A835" s="83">
        <v>45622.0</v>
      </c>
      <c r="B835" s="63" t="s">
        <v>45</v>
      </c>
      <c r="C835" s="84" t="s">
        <v>20</v>
      </c>
      <c r="D835" s="66">
        <v>2.0</v>
      </c>
      <c r="E835" s="66">
        <v>1.0</v>
      </c>
      <c r="F835" s="67"/>
      <c r="G835" s="68"/>
      <c r="H835" s="67"/>
      <c r="I835" s="66">
        <v>1.0</v>
      </c>
      <c r="J835" s="68"/>
      <c r="K835" s="65"/>
      <c r="L835" s="67"/>
      <c r="M835" s="67"/>
      <c r="N835" s="67"/>
      <c r="O835" s="67"/>
      <c r="P835" s="67"/>
    </row>
    <row r="836" ht="14.25" customHeight="1">
      <c r="A836" s="49"/>
      <c r="C836" s="85" t="s">
        <v>21</v>
      </c>
      <c r="D836" s="36"/>
      <c r="E836" s="36"/>
      <c r="F836" s="36"/>
      <c r="G836" s="71"/>
      <c r="H836" s="36"/>
      <c r="I836" s="36"/>
      <c r="J836" s="71"/>
      <c r="K836" s="70"/>
      <c r="L836" s="36"/>
      <c r="M836" s="36"/>
      <c r="N836" s="36"/>
      <c r="O836" s="36"/>
      <c r="P836" s="36"/>
    </row>
    <row r="837" ht="14.25" customHeight="1">
      <c r="A837" s="49"/>
      <c r="C837" s="85" t="s">
        <v>22</v>
      </c>
      <c r="D837" s="36"/>
      <c r="E837" s="36"/>
      <c r="F837" s="36"/>
      <c r="G837" s="71"/>
      <c r="H837" s="36"/>
      <c r="I837" s="36"/>
      <c r="J837" s="71"/>
      <c r="K837" s="70"/>
      <c r="L837" s="36"/>
      <c r="M837" s="36"/>
      <c r="N837" s="36"/>
      <c r="O837" s="36"/>
      <c r="P837" s="36"/>
    </row>
    <row r="838" ht="14.25" customHeight="1">
      <c r="A838" s="49"/>
      <c r="C838" s="85" t="s">
        <v>23</v>
      </c>
      <c r="D838" s="36"/>
      <c r="E838" s="36"/>
      <c r="F838" s="36"/>
      <c r="G838" s="71"/>
      <c r="H838" s="36"/>
      <c r="I838" s="36"/>
      <c r="J838" s="71"/>
      <c r="K838" s="70"/>
      <c r="L838" s="36"/>
      <c r="M838" s="36"/>
      <c r="N838" s="36"/>
      <c r="O838" s="36"/>
      <c r="P838" s="36"/>
    </row>
    <row r="839" ht="14.25" customHeight="1">
      <c r="A839" s="49"/>
      <c r="C839" s="85" t="s">
        <v>24</v>
      </c>
      <c r="D839" s="36"/>
      <c r="E839" s="36"/>
      <c r="F839" s="36"/>
      <c r="G839" s="71"/>
      <c r="H839" s="36"/>
      <c r="I839" s="36"/>
      <c r="J839" s="71"/>
      <c r="K839" s="70"/>
      <c r="L839" s="36"/>
      <c r="M839" s="36"/>
      <c r="N839" s="36"/>
      <c r="O839" s="36"/>
      <c r="P839" s="36"/>
    </row>
    <row r="840" ht="14.25" customHeight="1">
      <c r="A840" s="49"/>
      <c r="C840" s="85" t="s">
        <v>25</v>
      </c>
      <c r="D840" s="36"/>
      <c r="E840" s="36"/>
      <c r="F840" s="36"/>
      <c r="G840" s="71"/>
      <c r="H840" s="36"/>
      <c r="I840" s="36"/>
      <c r="J840" s="71"/>
      <c r="K840" s="70"/>
      <c r="L840" s="36"/>
      <c r="M840" s="36"/>
      <c r="N840" s="36"/>
      <c r="O840" s="36"/>
      <c r="P840" s="36"/>
    </row>
    <row r="841" ht="14.25" customHeight="1">
      <c r="A841" s="56"/>
      <c r="B841" s="57"/>
      <c r="C841" s="86" t="s">
        <v>26</v>
      </c>
      <c r="D841" s="36"/>
      <c r="E841" s="36"/>
      <c r="F841" s="36"/>
      <c r="G841" s="71"/>
      <c r="H841" s="36"/>
      <c r="I841" s="36"/>
      <c r="J841" s="71"/>
      <c r="K841" s="70"/>
      <c r="L841" s="36"/>
      <c r="M841" s="36"/>
      <c r="N841" s="36"/>
      <c r="O841" s="36"/>
      <c r="P841" s="36"/>
    </row>
    <row r="842" ht="14.25" customHeight="1">
      <c r="A842" s="83">
        <v>45623.0</v>
      </c>
      <c r="B842" s="63" t="s">
        <v>45</v>
      </c>
      <c r="C842" s="84" t="s">
        <v>20</v>
      </c>
      <c r="D842" s="66">
        <v>3.0</v>
      </c>
      <c r="E842" s="66">
        <v>4.0</v>
      </c>
      <c r="F842" s="67"/>
      <c r="G842" s="68"/>
      <c r="H842" s="67"/>
      <c r="I842" s="66">
        <v>4.0</v>
      </c>
      <c r="J842" s="68"/>
      <c r="K842" s="65"/>
      <c r="L842" s="67"/>
      <c r="M842" s="67"/>
      <c r="N842" s="67"/>
      <c r="O842" s="67"/>
      <c r="P842" s="67"/>
    </row>
    <row r="843" ht="14.25" customHeight="1">
      <c r="A843" s="49"/>
      <c r="C843" s="85" t="s">
        <v>21</v>
      </c>
      <c r="D843" s="36"/>
      <c r="E843" s="16">
        <v>1.0</v>
      </c>
      <c r="F843" s="36"/>
      <c r="G843" s="71"/>
      <c r="H843" s="36"/>
      <c r="I843" s="16">
        <v>1.0</v>
      </c>
      <c r="J843" s="71"/>
      <c r="K843" s="70"/>
      <c r="L843" s="36"/>
      <c r="M843" s="36"/>
      <c r="N843" s="36"/>
      <c r="O843" s="36"/>
      <c r="P843" s="36"/>
    </row>
    <row r="844" ht="14.25" customHeight="1">
      <c r="A844" s="49"/>
      <c r="C844" s="85" t="s">
        <v>22</v>
      </c>
      <c r="D844" s="36"/>
      <c r="E844" s="36"/>
      <c r="F844" s="36"/>
      <c r="G844" s="71"/>
      <c r="H844" s="36"/>
      <c r="I844" s="36"/>
      <c r="J844" s="71"/>
      <c r="K844" s="70"/>
      <c r="L844" s="36"/>
      <c r="M844" s="36"/>
      <c r="N844" s="36"/>
      <c r="O844" s="36"/>
      <c r="P844" s="36"/>
    </row>
    <row r="845" ht="14.25" customHeight="1">
      <c r="A845" s="49"/>
      <c r="C845" s="85" t="s">
        <v>23</v>
      </c>
      <c r="D845" s="36"/>
      <c r="E845" s="36"/>
      <c r="F845" s="36"/>
      <c r="G845" s="71"/>
      <c r="H845" s="36"/>
      <c r="I845" s="36"/>
      <c r="J845" s="71"/>
      <c r="K845" s="70"/>
      <c r="L845" s="36"/>
      <c r="M845" s="36"/>
      <c r="N845" s="36"/>
      <c r="O845" s="36"/>
      <c r="P845" s="36"/>
    </row>
    <row r="846" ht="14.25" customHeight="1">
      <c r="A846" s="49"/>
      <c r="C846" s="85" t="s">
        <v>24</v>
      </c>
      <c r="D846" s="36"/>
      <c r="E846" s="36"/>
      <c r="F846" s="36"/>
      <c r="G846" s="71"/>
      <c r="H846" s="36"/>
      <c r="I846" s="36"/>
      <c r="J846" s="71"/>
      <c r="K846" s="70"/>
      <c r="L846" s="36"/>
      <c r="M846" s="36"/>
      <c r="N846" s="36"/>
      <c r="O846" s="36"/>
      <c r="P846" s="36"/>
    </row>
    <row r="847" ht="14.25" customHeight="1">
      <c r="A847" s="49"/>
      <c r="C847" s="85" t="s">
        <v>25</v>
      </c>
      <c r="D847" s="36"/>
      <c r="E847" s="36"/>
      <c r="F847" s="36"/>
      <c r="G847" s="71"/>
      <c r="H847" s="36"/>
      <c r="I847" s="36"/>
      <c r="J847" s="71"/>
      <c r="K847" s="70"/>
      <c r="L847" s="36"/>
      <c r="M847" s="36"/>
      <c r="N847" s="36"/>
      <c r="O847" s="36"/>
      <c r="P847" s="36"/>
    </row>
    <row r="848" ht="14.25" customHeight="1">
      <c r="A848" s="56"/>
      <c r="B848" s="57"/>
      <c r="C848" s="86" t="s">
        <v>26</v>
      </c>
      <c r="D848" s="36"/>
      <c r="E848" s="36"/>
      <c r="F848" s="36"/>
      <c r="G848" s="71"/>
      <c r="H848" s="36"/>
      <c r="I848" s="36"/>
      <c r="J848" s="71"/>
      <c r="K848" s="70"/>
      <c r="L848" s="36"/>
      <c r="M848" s="36"/>
      <c r="N848" s="36"/>
      <c r="O848" s="36"/>
      <c r="P848" s="36"/>
    </row>
    <row r="849" ht="14.25" customHeight="1">
      <c r="A849" s="83">
        <v>45623.0</v>
      </c>
      <c r="B849" s="63" t="s">
        <v>44</v>
      </c>
      <c r="C849" s="84" t="s">
        <v>20</v>
      </c>
      <c r="D849" s="67"/>
      <c r="E849" s="66">
        <v>2.0</v>
      </c>
      <c r="F849" s="67"/>
      <c r="G849" s="68"/>
      <c r="H849" s="67"/>
      <c r="I849" s="66">
        <v>2.0</v>
      </c>
      <c r="J849" s="68"/>
      <c r="K849" s="65"/>
      <c r="L849" s="67"/>
      <c r="M849" s="67"/>
      <c r="N849" s="67"/>
      <c r="O849" s="67"/>
      <c r="P849" s="67"/>
    </row>
    <row r="850" ht="14.25" customHeight="1">
      <c r="A850" s="49"/>
      <c r="C850" s="85" t="s">
        <v>21</v>
      </c>
      <c r="D850" s="16">
        <v>1.0</v>
      </c>
      <c r="E850" s="36"/>
      <c r="F850" s="16">
        <v>1.0</v>
      </c>
      <c r="G850" s="71"/>
      <c r="H850" s="36"/>
      <c r="I850" s="16">
        <v>1.0</v>
      </c>
      <c r="J850" s="71"/>
      <c r="K850" s="36"/>
      <c r="L850" s="36"/>
      <c r="M850" s="36"/>
      <c r="N850" s="36"/>
      <c r="O850" s="36"/>
      <c r="P850" s="36"/>
    </row>
    <row r="851" ht="14.25" customHeight="1">
      <c r="A851" s="49"/>
      <c r="C851" s="85" t="s">
        <v>22</v>
      </c>
      <c r="D851" s="36"/>
      <c r="E851" s="36"/>
      <c r="F851" s="36"/>
      <c r="G851" s="71"/>
      <c r="H851" s="36"/>
      <c r="I851" s="36"/>
      <c r="J851" s="71"/>
      <c r="K851" s="36"/>
      <c r="L851" s="36"/>
      <c r="M851" s="36"/>
      <c r="N851" s="36"/>
      <c r="O851" s="36"/>
      <c r="P851" s="36"/>
    </row>
    <row r="852" ht="14.25" customHeight="1">
      <c r="A852" s="49"/>
      <c r="C852" s="85" t="s">
        <v>23</v>
      </c>
      <c r="D852" s="36"/>
      <c r="E852" s="36"/>
      <c r="F852" s="36"/>
      <c r="G852" s="71"/>
      <c r="H852" s="36"/>
      <c r="I852" s="36"/>
      <c r="J852" s="71"/>
      <c r="K852" s="36"/>
      <c r="L852" s="36"/>
      <c r="M852" s="36"/>
      <c r="N852" s="36"/>
      <c r="O852" s="36"/>
      <c r="P852" s="36"/>
    </row>
    <row r="853" ht="14.25" customHeight="1">
      <c r="A853" s="49"/>
      <c r="C853" s="85" t="s">
        <v>24</v>
      </c>
      <c r="D853" s="36"/>
      <c r="E853" s="36"/>
      <c r="F853" s="36"/>
      <c r="G853" s="71"/>
      <c r="H853" s="36"/>
      <c r="I853" s="36"/>
      <c r="J853" s="71"/>
      <c r="K853" s="36"/>
      <c r="L853" s="36"/>
      <c r="M853" s="36"/>
      <c r="N853" s="36"/>
      <c r="O853" s="36"/>
      <c r="P853" s="36"/>
    </row>
    <row r="854" ht="14.25" customHeight="1">
      <c r="A854" s="49"/>
      <c r="C854" s="85" t="s">
        <v>25</v>
      </c>
      <c r="D854" s="36"/>
      <c r="E854" s="36"/>
      <c r="F854" s="36"/>
      <c r="G854" s="71"/>
      <c r="H854" s="36"/>
      <c r="I854" s="36"/>
      <c r="J854" s="71"/>
      <c r="K854" s="36"/>
      <c r="L854" s="36"/>
      <c r="M854" s="36"/>
      <c r="N854" s="36"/>
      <c r="O854" s="36"/>
      <c r="P854" s="36"/>
    </row>
    <row r="855" ht="14.25" customHeight="1">
      <c r="A855" s="56"/>
      <c r="B855" s="57"/>
      <c r="C855" s="86" t="s">
        <v>26</v>
      </c>
      <c r="D855" s="87"/>
      <c r="E855" s="87"/>
      <c r="F855" s="87"/>
      <c r="G855" s="88"/>
      <c r="H855" s="87"/>
      <c r="I855" s="87"/>
      <c r="J855" s="88"/>
      <c r="K855" s="87"/>
      <c r="L855" s="87"/>
      <c r="M855" s="87"/>
      <c r="N855" s="87"/>
      <c r="O855" s="87"/>
      <c r="P855" s="87"/>
    </row>
    <row r="856" ht="14.25" customHeight="1">
      <c r="A856" s="83">
        <v>45624.0</v>
      </c>
      <c r="B856" s="63" t="s">
        <v>42</v>
      </c>
      <c r="C856" s="84" t="s">
        <v>20</v>
      </c>
      <c r="D856" s="66">
        <v>1.0</v>
      </c>
      <c r="E856" s="66">
        <v>1.0</v>
      </c>
      <c r="F856" s="67"/>
      <c r="G856" s="68"/>
      <c r="H856" s="67"/>
      <c r="I856" s="66">
        <v>1.0</v>
      </c>
      <c r="J856" s="68"/>
      <c r="K856" s="65"/>
      <c r="L856" s="67"/>
      <c r="M856" s="67"/>
      <c r="N856" s="67"/>
      <c r="O856" s="67"/>
      <c r="P856" s="67"/>
    </row>
    <row r="857" ht="14.25" customHeight="1">
      <c r="A857" s="49"/>
      <c r="C857" s="85" t="s">
        <v>21</v>
      </c>
      <c r="D857" s="36"/>
      <c r="E857" s="36"/>
      <c r="F857" s="36"/>
      <c r="G857" s="71"/>
      <c r="H857" s="36"/>
      <c r="I857" s="36"/>
      <c r="J857" s="71"/>
      <c r="K857" s="70"/>
      <c r="L857" s="36"/>
      <c r="M857" s="36"/>
      <c r="N857" s="36"/>
      <c r="O857" s="36"/>
      <c r="P857" s="36"/>
    </row>
    <row r="858" ht="14.25" customHeight="1">
      <c r="A858" s="49"/>
      <c r="C858" s="85" t="s">
        <v>22</v>
      </c>
      <c r="D858" s="36"/>
      <c r="E858" s="36"/>
      <c r="F858" s="36"/>
      <c r="G858" s="71"/>
      <c r="H858" s="36"/>
      <c r="I858" s="36"/>
      <c r="J858" s="71"/>
      <c r="K858" s="70"/>
      <c r="L858" s="36"/>
      <c r="M858" s="36"/>
      <c r="N858" s="36"/>
      <c r="O858" s="36"/>
      <c r="P858" s="36"/>
    </row>
    <row r="859" ht="14.25" customHeight="1">
      <c r="A859" s="49"/>
      <c r="C859" s="85" t="s">
        <v>23</v>
      </c>
      <c r="D859" s="36"/>
      <c r="E859" s="36"/>
      <c r="F859" s="36"/>
      <c r="G859" s="71"/>
      <c r="H859" s="36"/>
      <c r="I859" s="36"/>
      <c r="J859" s="71"/>
      <c r="K859" s="70"/>
      <c r="L859" s="36"/>
      <c r="M859" s="36"/>
      <c r="N859" s="36"/>
      <c r="O859" s="36"/>
      <c r="P859" s="36"/>
    </row>
    <row r="860" ht="14.25" customHeight="1">
      <c r="A860" s="49"/>
      <c r="C860" s="85" t="s">
        <v>24</v>
      </c>
      <c r="D860" s="36"/>
      <c r="E860" s="36"/>
      <c r="F860" s="36"/>
      <c r="G860" s="71"/>
      <c r="H860" s="36"/>
      <c r="I860" s="36"/>
      <c r="J860" s="71"/>
      <c r="K860" s="70"/>
      <c r="L860" s="36"/>
      <c r="M860" s="36"/>
      <c r="N860" s="36"/>
      <c r="O860" s="36"/>
      <c r="P860" s="36"/>
    </row>
    <row r="861" ht="14.25" customHeight="1">
      <c r="A861" s="49"/>
      <c r="C861" s="85" t="s">
        <v>25</v>
      </c>
      <c r="D861" s="36"/>
      <c r="E861" s="36"/>
      <c r="F861" s="36"/>
      <c r="G861" s="71"/>
      <c r="H861" s="36"/>
      <c r="I861" s="36"/>
      <c r="J861" s="71"/>
      <c r="K861" s="70"/>
      <c r="L861" s="36"/>
      <c r="M861" s="36"/>
      <c r="N861" s="36"/>
      <c r="O861" s="36"/>
      <c r="P861" s="36"/>
    </row>
    <row r="862" ht="14.25" customHeight="1">
      <c r="A862" s="56"/>
      <c r="B862" s="57"/>
      <c r="C862" s="86" t="s">
        <v>26</v>
      </c>
      <c r="D862" s="36"/>
      <c r="E862" s="36"/>
      <c r="F862" s="36"/>
      <c r="G862" s="71"/>
      <c r="H862" s="36"/>
      <c r="I862" s="36"/>
      <c r="J862" s="71"/>
      <c r="K862" s="70"/>
      <c r="L862" s="36"/>
      <c r="M862" s="36"/>
      <c r="N862" s="36"/>
      <c r="O862" s="36"/>
      <c r="P862" s="36"/>
    </row>
    <row r="863" ht="14.25" customHeight="1">
      <c r="A863" s="83">
        <v>45624.0</v>
      </c>
      <c r="B863" s="58" t="s">
        <v>66</v>
      </c>
      <c r="C863" s="84" t="s">
        <v>20</v>
      </c>
      <c r="D863" s="67"/>
      <c r="E863" s="66">
        <v>2.0</v>
      </c>
      <c r="F863" s="67"/>
      <c r="G863" s="68"/>
      <c r="H863" s="67"/>
      <c r="I863" s="66">
        <v>2.0</v>
      </c>
      <c r="J863" s="68"/>
      <c r="K863" s="65"/>
      <c r="L863" s="67"/>
      <c r="M863" s="67"/>
      <c r="N863" s="67"/>
      <c r="O863" s="67"/>
      <c r="P863" s="67"/>
    </row>
    <row r="864" ht="14.25" customHeight="1">
      <c r="A864" s="49"/>
      <c r="C864" s="85" t="s">
        <v>21</v>
      </c>
      <c r="D864" s="36"/>
      <c r="E864" s="36"/>
      <c r="F864" s="36"/>
      <c r="G864" s="71"/>
      <c r="H864" s="36"/>
      <c r="I864" s="36"/>
      <c r="J864" s="71"/>
      <c r="K864" s="36"/>
      <c r="L864" s="36"/>
      <c r="M864" s="36"/>
      <c r="N864" s="36"/>
      <c r="O864" s="36"/>
      <c r="P864" s="36"/>
    </row>
    <row r="865" ht="14.25" customHeight="1">
      <c r="A865" s="49"/>
      <c r="C865" s="85" t="s">
        <v>22</v>
      </c>
      <c r="D865" s="36"/>
      <c r="E865" s="36"/>
      <c r="F865" s="36"/>
      <c r="G865" s="71"/>
      <c r="H865" s="36"/>
      <c r="I865" s="36"/>
      <c r="J865" s="71"/>
      <c r="K865" s="36"/>
      <c r="L865" s="36"/>
      <c r="M865" s="36"/>
      <c r="N865" s="36"/>
      <c r="O865" s="36"/>
      <c r="P865" s="36"/>
    </row>
    <row r="866" ht="14.25" customHeight="1">
      <c r="A866" s="49"/>
      <c r="C866" s="85" t="s">
        <v>23</v>
      </c>
      <c r="D866" s="36"/>
      <c r="E866" s="36"/>
      <c r="F866" s="36"/>
      <c r="G866" s="71"/>
      <c r="H866" s="36"/>
      <c r="I866" s="36"/>
      <c r="J866" s="71"/>
      <c r="K866" s="36"/>
      <c r="L866" s="36"/>
      <c r="M866" s="36"/>
      <c r="N866" s="36"/>
      <c r="O866" s="36"/>
      <c r="P866" s="36"/>
    </row>
    <row r="867" ht="14.25" customHeight="1">
      <c r="A867" s="49"/>
      <c r="C867" s="85" t="s">
        <v>24</v>
      </c>
      <c r="D867" s="36"/>
      <c r="E867" s="36"/>
      <c r="F867" s="36"/>
      <c r="G867" s="71"/>
      <c r="H867" s="36"/>
      <c r="I867" s="36"/>
      <c r="J867" s="71"/>
      <c r="K867" s="36"/>
      <c r="L867" s="36"/>
      <c r="M867" s="36"/>
      <c r="N867" s="36"/>
      <c r="O867" s="36"/>
      <c r="P867" s="36"/>
    </row>
    <row r="868" ht="14.25" customHeight="1">
      <c r="A868" s="49"/>
      <c r="C868" s="85" t="s">
        <v>25</v>
      </c>
      <c r="D868" s="36"/>
      <c r="E868" s="36"/>
      <c r="F868" s="36"/>
      <c r="G868" s="71"/>
      <c r="H868" s="36"/>
      <c r="I868" s="36"/>
      <c r="J868" s="71"/>
      <c r="K868" s="36"/>
      <c r="L868" s="36"/>
      <c r="M868" s="36"/>
      <c r="N868" s="36"/>
      <c r="O868" s="36"/>
      <c r="P868" s="36"/>
    </row>
    <row r="869" ht="14.25" customHeight="1">
      <c r="A869" s="56"/>
      <c r="B869" s="57"/>
      <c r="C869" s="86" t="s">
        <v>26</v>
      </c>
      <c r="D869" s="87"/>
      <c r="E869" s="87"/>
      <c r="F869" s="87"/>
      <c r="G869" s="88"/>
      <c r="H869" s="87"/>
      <c r="I869" s="87"/>
      <c r="J869" s="88"/>
      <c r="K869" s="87"/>
      <c r="L869" s="87"/>
      <c r="M869" s="87"/>
      <c r="N869" s="87"/>
      <c r="O869" s="87"/>
      <c r="P869" s="87"/>
    </row>
    <row r="870" ht="14.25" customHeight="1">
      <c r="A870" s="89">
        <v>45638.0</v>
      </c>
      <c r="B870" s="63" t="s">
        <v>42</v>
      </c>
      <c r="C870" s="84" t="s">
        <v>20</v>
      </c>
      <c r="D870" s="67"/>
      <c r="E870" s="66">
        <v>1.0</v>
      </c>
      <c r="F870" s="67"/>
      <c r="G870" s="68"/>
      <c r="H870" s="66">
        <v>1.0</v>
      </c>
      <c r="I870" s="67"/>
      <c r="J870" s="68"/>
      <c r="K870" s="65"/>
      <c r="L870" s="67"/>
      <c r="M870" s="67"/>
      <c r="N870" s="67"/>
      <c r="O870" s="67"/>
      <c r="P870" s="67"/>
    </row>
    <row r="871" ht="14.25" customHeight="1">
      <c r="A871" s="49"/>
      <c r="C871" s="85" t="s">
        <v>21</v>
      </c>
      <c r="D871" s="36"/>
      <c r="E871" s="36"/>
      <c r="F871" s="36"/>
      <c r="G871" s="71"/>
      <c r="H871" s="36"/>
      <c r="I871" s="36"/>
      <c r="J871" s="71"/>
      <c r="K871" s="36"/>
      <c r="L871" s="36"/>
      <c r="M871" s="36"/>
      <c r="N871" s="36"/>
      <c r="O871" s="36"/>
      <c r="P871" s="36"/>
    </row>
    <row r="872" ht="14.25" customHeight="1">
      <c r="A872" s="49"/>
      <c r="C872" s="85" t="s">
        <v>22</v>
      </c>
      <c r="D872" s="36"/>
      <c r="E872" s="36"/>
      <c r="F872" s="36"/>
      <c r="G872" s="71"/>
      <c r="H872" s="36"/>
      <c r="I872" s="36"/>
      <c r="J872" s="71"/>
      <c r="K872" s="36"/>
      <c r="L872" s="36"/>
      <c r="M872" s="36"/>
      <c r="N872" s="36"/>
      <c r="O872" s="36"/>
      <c r="P872" s="36"/>
    </row>
    <row r="873" ht="14.25" customHeight="1">
      <c r="A873" s="49"/>
      <c r="C873" s="85" t="s">
        <v>23</v>
      </c>
      <c r="D873" s="36"/>
      <c r="E873" s="36"/>
      <c r="F873" s="36"/>
      <c r="G873" s="71"/>
      <c r="H873" s="36"/>
      <c r="I873" s="36"/>
      <c r="J873" s="71"/>
      <c r="K873" s="36"/>
      <c r="L873" s="36"/>
      <c r="M873" s="36"/>
      <c r="N873" s="36"/>
      <c r="O873" s="36"/>
      <c r="P873" s="36"/>
    </row>
    <row r="874" ht="14.25" customHeight="1">
      <c r="A874" s="49"/>
      <c r="C874" s="85" t="s">
        <v>24</v>
      </c>
      <c r="D874" s="36"/>
      <c r="E874" s="36"/>
      <c r="F874" s="36"/>
      <c r="G874" s="71"/>
      <c r="H874" s="36"/>
      <c r="I874" s="36"/>
      <c r="J874" s="71"/>
      <c r="K874" s="36"/>
      <c r="L874" s="36"/>
      <c r="M874" s="36"/>
      <c r="N874" s="36"/>
      <c r="O874" s="36"/>
      <c r="P874" s="36"/>
    </row>
    <row r="875" ht="14.25" customHeight="1">
      <c r="A875" s="49"/>
      <c r="C875" s="85" t="s">
        <v>25</v>
      </c>
      <c r="D875" s="36"/>
      <c r="E875" s="36"/>
      <c r="F875" s="36"/>
      <c r="G875" s="71"/>
      <c r="H875" s="36"/>
      <c r="I875" s="36"/>
      <c r="J875" s="71"/>
      <c r="K875" s="36"/>
      <c r="L875" s="36"/>
      <c r="M875" s="36"/>
      <c r="N875" s="36"/>
      <c r="O875" s="36"/>
      <c r="P875" s="36"/>
    </row>
    <row r="876" ht="14.25" customHeight="1">
      <c r="A876" s="56"/>
      <c r="B876" s="57"/>
      <c r="C876" s="86" t="s">
        <v>26</v>
      </c>
      <c r="D876" s="87"/>
      <c r="E876" s="87"/>
      <c r="F876" s="87"/>
      <c r="G876" s="88"/>
      <c r="H876" s="87"/>
      <c r="I876" s="87"/>
      <c r="J876" s="88"/>
      <c r="K876" s="87"/>
      <c r="L876" s="87"/>
      <c r="M876" s="87"/>
      <c r="N876" s="87"/>
      <c r="O876" s="87"/>
      <c r="P876" s="87"/>
    </row>
    <row r="877" ht="14.25" customHeight="1">
      <c r="A877" s="83">
        <v>45639.0</v>
      </c>
      <c r="B877" s="16" t="s">
        <v>43</v>
      </c>
      <c r="C877" s="84" t="s">
        <v>20</v>
      </c>
      <c r="D877" s="66">
        <v>1.0</v>
      </c>
      <c r="E877" s="66">
        <v>4.0</v>
      </c>
      <c r="F877" s="67"/>
      <c r="G877" s="68"/>
      <c r="H877" s="67"/>
      <c r="I877" s="66">
        <v>2.0</v>
      </c>
      <c r="J877" s="68"/>
      <c r="K877" s="65"/>
      <c r="L877" s="67"/>
      <c r="M877" s="67"/>
      <c r="N877" s="66">
        <v>1.0</v>
      </c>
      <c r="O877" s="67"/>
      <c r="P877" s="67"/>
    </row>
    <row r="878" ht="14.25" customHeight="1">
      <c r="A878" s="49"/>
      <c r="C878" s="85" t="s">
        <v>21</v>
      </c>
      <c r="D878" s="36"/>
      <c r="E878" s="36"/>
      <c r="F878" s="36"/>
      <c r="G878" s="71"/>
      <c r="H878" s="36"/>
      <c r="I878" s="36"/>
      <c r="J878" s="71"/>
      <c r="K878" s="36"/>
      <c r="L878" s="36"/>
      <c r="M878" s="36"/>
      <c r="N878" s="36"/>
      <c r="O878" s="36"/>
      <c r="P878" s="36"/>
    </row>
    <row r="879" ht="14.25" customHeight="1">
      <c r="A879" s="49"/>
      <c r="C879" s="85" t="s">
        <v>22</v>
      </c>
      <c r="D879" s="36"/>
      <c r="E879" s="36"/>
      <c r="F879" s="36"/>
      <c r="G879" s="71"/>
      <c r="H879" s="36"/>
      <c r="I879" s="36"/>
      <c r="J879" s="71"/>
      <c r="K879" s="36"/>
      <c r="L879" s="36"/>
      <c r="M879" s="36"/>
      <c r="N879" s="36"/>
      <c r="O879" s="36"/>
      <c r="P879" s="36"/>
    </row>
    <row r="880" ht="14.25" customHeight="1">
      <c r="A880" s="49"/>
      <c r="C880" s="85" t="s">
        <v>23</v>
      </c>
      <c r="D880" s="36"/>
      <c r="E880" s="36"/>
      <c r="F880" s="36"/>
      <c r="G880" s="71"/>
      <c r="H880" s="36"/>
      <c r="I880" s="36"/>
      <c r="J880" s="71"/>
      <c r="K880" s="36"/>
      <c r="L880" s="36"/>
      <c r="M880" s="36"/>
      <c r="N880" s="36"/>
      <c r="O880" s="36"/>
      <c r="P880" s="36"/>
    </row>
    <row r="881" ht="14.25" customHeight="1">
      <c r="A881" s="49"/>
      <c r="C881" s="85" t="s">
        <v>24</v>
      </c>
      <c r="D881" s="36"/>
      <c r="E881" s="36"/>
      <c r="F881" s="36"/>
      <c r="G881" s="71"/>
      <c r="H881" s="36"/>
      <c r="I881" s="36"/>
      <c r="J881" s="71"/>
      <c r="K881" s="36"/>
      <c r="L881" s="36"/>
      <c r="M881" s="36"/>
      <c r="N881" s="36"/>
      <c r="O881" s="36"/>
      <c r="P881" s="36"/>
    </row>
    <row r="882" ht="14.25" customHeight="1">
      <c r="A882" s="49"/>
      <c r="C882" s="85" t="s">
        <v>25</v>
      </c>
      <c r="D882" s="36"/>
      <c r="E882" s="36"/>
      <c r="F882" s="36"/>
      <c r="G882" s="71"/>
      <c r="H882" s="36"/>
      <c r="I882" s="36"/>
      <c r="J882" s="71"/>
      <c r="K882" s="36"/>
      <c r="L882" s="36"/>
      <c r="M882" s="36"/>
      <c r="N882" s="36"/>
      <c r="O882" s="36"/>
      <c r="P882" s="36"/>
    </row>
    <row r="883" ht="14.25" customHeight="1">
      <c r="A883" s="56"/>
      <c r="C883" s="86" t="s">
        <v>26</v>
      </c>
      <c r="D883" s="87"/>
      <c r="E883" s="87"/>
      <c r="F883" s="87"/>
      <c r="G883" s="88"/>
      <c r="H883" s="87"/>
      <c r="I883" s="87"/>
      <c r="J883" s="88"/>
      <c r="K883" s="87"/>
      <c r="L883" s="87"/>
      <c r="M883" s="87"/>
      <c r="N883" s="87"/>
      <c r="O883" s="87"/>
      <c r="P883" s="87"/>
    </row>
    <row r="884" ht="14.25" customHeight="1">
      <c r="A884" s="83">
        <v>45639.0</v>
      </c>
      <c r="B884" s="63" t="s">
        <v>44</v>
      </c>
      <c r="C884" s="84" t="s">
        <v>20</v>
      </c>
      <c r="D884" s="66">
        <v>3.0</v>
      </c>
      <c r="E884" s="66">
        <v>9.0</v>
      </c>
      <c r="F884" s="67"/>
      <c r="G884" s="68"/>
      <c r="H884" s="67"/>
      <c r="I884" s="67"/>
      <c r="J884" s="68"/>
      <c r="K884" s="65"/>
      <c r="L884" s="67"/>
      <c r="M884" s="67"/>
      <c r="N884" s="67"/>
      <c r="O884" s="67"/>
      <c r="P884" s="67"/>
    </row>
    <row r="885" ht="14.25" customHeight="1">
      <c r="A885" s="49"/>
      <c r="C885" s="85" t="s">
        <v>21</v>
      </c>
      <c r="D885" s="16">
        <v>1.0</v>
      </c>
      <c r="E885" s="36"/>
      <c r="F885" s="36"/>
      <c r="G885" s="69">
        <v>1.0</v>
      </c>
      <c r="H885" s="36"/>
      <c r="I885" s="36"/>
      <c r="J885" s="71"/>
      <c r="K885" s="36"/>
      <c r="L885" s="36"/>
      <c r="M885" s="36"/>
      <c r="N885" s="36"/>
      <c r="O885" s="36"/>
      <c r="P885" s="36"/>
    </row>
    <row r="886" ht="14.25" customHeight="1">
      <c r="A886" s="49"/>
      <c r="C886" s="85" t="s">
        <v>22</v>
      </c>
      <c r="D886" s="36"/>
      <c r="E886" s="36"/>
      <c r="F886" s="36"/>
      <c r="G886" s="71"/>
      <c r="H886" s="36"/>
      <c r="I886" s="36"/>
      <c r="J886" s="71"/>
      <c r="K886" s="36"/>
      <c r="L886" s="36"/>
      <c r="M886" s="36"/>
      <c r="N886" s="36"/>
      <c r="O886" s="36"/>
      <c r="P886" s="36"/>
    </row>
    <row r="887" ht="14.25" customHeight="1">
      <c r="A887" s="49"/>
      <c r="C887" s="85" t="s">
        <v>23</v>
      </c>
      <c r="D887" s="36"/>
      <c r="E887" s="36"/>
      <c r="F887" s="36"/>
      <c r="G887" s="71"/>
      <c r="H887" s="36"/>
      <c r="I887" s="36"/>
      <c r="J887" s="71"/>
      <c r="K887" s="36"/>
      <c r="L887" s="36"/>
      <c r="M887" s="36"/>
      <c r="N887" s="36"/>
      <c r="O887" s="36"/>
      <c r="P887" s="36"/>
    </row>
    <row r="888" ht="14.25" customHeight="1">
      <c r="A888" s="49"/>
      <c r="C888" s="85" t="s">
        <v>24</v>
      </c>
      <c r="D888" s="36"/>
      <c r="E888" s="36"/>
      <c r="F888" s="36"/>
      <c r="G888" s="71"/>
      <c r="H888" s="36"/>
      <c r="I888" s="36"/>
      <c r="J888" s="71"/>
      <c r="K888" s="36"/>
      <c r="L888" s="36"/>
      <c r="M888" s="36"/>
      <c r="N888" s="36"/>
      <c r="O888" s="36"/>
      <c r="P888" s="36"/>
    </row>
    <row r="889" ht="14.25" customHeight="1">
      <c r="A889" s="49"/>
      <c r="C889" s="85" t="s">
        <v>25</v>
      </c>
      <c r="D889" s="36"/>
      <c r="E889" s="36"/>
      <c r="F889" s="36"/>
      <c r="G889" s="71"/>
      <c r="H889" s="36"/>
      <c r="I889" s="36"/>
      <c r="J889" s="71"/>
      <c r="K889" s="36"/>
      <c r="L889" s="36"/>
      <c r="M889" s="36"/>
      <c r="N889" s="36"/>
      <c r="O889" s="36"/>
      <c r="P889" s="36"/>
    </row>
    <row r="890" ht="14.25" customHeight="1">
      <c r="A890" s="56"/>
      <c r="B890" s="57"/>
      <c r="C890" s="86" t="s">
        <v>26</v>
      </c>
      <c r="D890" s="87"/>
      <c r="E890" s="87"/>
      <c r="F890" s="87"/>
      <c r="G890" s="88"/>
      <c r="H890" s="87"/>
      <c r="I890" s="87"/>
      <c r="J890" s="88"/>
      <c r="K890" s="87"/>
      <c r="L890" s="87"/>
      <c r="M890" s="87"/>
      <c r="N890" s="87"/>
      <c r="O890" s="87"/>
      <c r="P890" s="87"/>
    </row>
    <row r="891" ht="14.25" customHeight="1">
      <c r="A891" s="83">
        <v>45642.0</v>
      </c>
      <c r="B891" s="63" t="s">
        <v>44</v>
      </c>
      <c r="C891" s="84" t="s">
        <v>20</v>
      </c>
      <c r="D891" s="66">
        <v>1.0</v>
      </c>
      <c r="E891" s="66">
        <v>1.0</v>
      </c>
      <c r="F891" s="67"/>
      <c r="G891" s="68"/>
      <c r="H891" s="67"/>
      <c r="I891" s="67"/>
      <c r="J891" s="68"/>
      <c r="K891" s="65"/>
      <c r="L891" s="67"/>
      <c r="M891" s="67"/>
      <c r="N891" s="67"/>
      <c r="O891" s="67"/>
      <c r="P891" s="67"/>
    </row>
    <row r="892" ht="14.25" customHeight="1">
      <c r="A892" s="49"/>
      <c r="C892" s="85" t="s">
        <v>21</v>
      </c>
      <c r="D892" s="16">
        <v>1.0</v>
      </c>
      <c r="E892" s="36"/>
      <c r="F892" s="16">
        <v>2.0</v>
      </c>
      <c r="G892" s="69">
        <v>1.0</v>
      </c>
      <c r="H892" s="36"/>
      <c r="I892" s="36"/>
      <c r="J892" s="71"/>
      <c r="K892" s="36"/>
      <c r="L892" s="36"/>
      <c r="M892" s="36"/>
      <c r="N892" s="16">
        <v>2.0</v>
      </c>
      <c r="O892" s="36"/>
      <c r="P892" s="36"/>
    </row>
    <row r="893" ht="14.25" customHeight="1">
      <c r="A893" s="49"/>
      <c r="C893" s="85" t="s">
        <v>22</v>
      </c>
      <c r="D893" s="36"/>
      <c r="E893" s="36"/>
      <c r="F893" s="36"/>
      <c r="G893" s="71"/>
      <c r="H893" s="36"/>
      <c r="I893" s="36"/>
      <c r="J893" s="71"/>
      <c r="K893" s="36"/>
      <c r="L893" s="36"/>
      <c r="M893" s="36"/>
      <c r="N893" s="36"/>
      <c r="O893" s="36"/>
      <c r="P893" s="36"/>
    </row>
    <row r="894" ht="14.25" customHeight="1">
      <c r="A894" s="49"/>
      <c r="C894" s="85" t="s">
        <v>23</v>
      </c>
      <c r="D894" s="36"/>
      <c r="E894" s="36"/>
      <c r="F894" s="36"/>
      <c r="G894" s="71"/>
      <c r="H894" s="36"/>
      <c r="I894" s="36"/>
      <c r="J894" s="71"/>
      <c r="K894" s="36"/>
      <c r="L894" s="36"/>
      <c r="M894" s="36"/>
      <c r="N894" s="36"/>
      <c r="O894" s="36"/>
      <c r="P894" s="36"/>
    </row>
    <row r="895" ht="14.25" customHeight="1">
      <c r="A895" s="49"/>
      <c r="C895" s="85" t="s">
        <v>24</v>
      </c>
      <c r="D895" s="16">
        <v>2.0</v>
      </c>
      <c r="E895" s="36"/>
      <c r="F895" s="36"/>
      <c r="G895" s="71"/>
      <c r="H895" s="36"/>
      <c r="I895" s="36"/>
      <c r="J895" s="71"/>
      <c r="K895" s="36"/>
      <c r="L895" s="36"/>
      <c r="M895" s="36"/>
      <c r="N895" s="36"/>
      <c r="O895" s="36"/>
      <c r="P895" s="36"/>
    </row>
    <row r="896" ht="14.25" customHeight="1">
      <c r="A896" s="49"/>
      <c r="C896" s="85" t="s">
        <v>25</v>
      </c>
      <c r="D896" s="36"/>
      <c r="E896" s="36"/>
      <c r="F896" s="36"/>
      <c r="G896" s="71"/>
      <c r="H896" s="36"/>
      <c r="I896" s="36"/>
      <c r="J896" s="71"/>
      <c r="K896" s="36"/>
      <c r="L896" s="36"/>
      <c r="M896" s="36"/>
      <c r="N896" s="36"/>
      <c r="O896" s="36"/>
      <c r="P896" s="36"/>
    </row>
    <row r="897" ht="14.25" customHeight="1">
      <c r="A897" s="56"/>
      <c r="B897" s="57"/>
      <c r="C897" s="86" t="s">
        <v>26</v>
      </c>
      <c r="D897" s="87"/>
      <c r="E897" s="90">
        <v>1.0</v>
      </c>
      <c r="F897" s="87"/>
      <c r="G897" s="88"/>
      <c r="H897" s="87"/>
      <c r="I897" s="87"/>
      <c r="J897" s="88"/>
      <c r="K897" s="87"/>
      <c r="L897" s="87"/>
      <c r="M897" s="87"/>
      <c r="N897" s="90">
        <v>1.0</v>
      </c>
      <c r="O897" s="87"/>
      <c r="P897" s="87"/>
    </row>
    <row r="898" ht="14.25" customHeight="1">
      <c r="A898" s="83">
        <v>45642.0</v>
      </c>
      <c r="B898" s="16" t="s">
        <v>43</v>
      </c>
      <c r="C898" s="84" t="s">
        <v>20</v>
      </c>
      <c r="D898" s="66">
        <v>2.0</v>
      </c>
      <c r="E898" s="67"/>
      <c r="F898" s="66">
        <v>1.0</v>
      </c>
      <c r="G898" s="68"/>
      <c r="H898" s="67"/>
      <c r="I898" s="66">
        <v>1.0</v>
      </c>
      <c r="J898" s="68"/>
      <c r="K898" s="65"/>
      <c r="L898" s="67"/>
      <c r="M898" s="67"/>
      <c r="N898" s="67"/>
      <c r="O898" s="67"/>
      <c r="P898" s="67"/>
    </row>
    <row r="899" ht="14.25" customHeight="1">
      <c r="A899" s="49"/>
      <c r="C899" s="85" t="s">
        <v>21</v>
      </c>
      <c r="D899" s="36"/>
      <c r="E899" s="36"/>
      <c r="F899" s="36"/>
      <c r="G899" s="71"/>
      <c r="H899" s="36"/>
      <c r="I899" s="36"/>
      <c r="J899" s="71"/>
      <c r="K899" s="36"/>
      <c r="L899" s="36"/>
      <c r="M899" s="36"/>
      <c r="N899" s="36"/>
      <c r="O899" s="36"/>
      <c r="P899" s="36"/>
    </row>
    <row r="900" ht="14.25" customHeight="1">
      <c r="A900" s="49"/>
      <c r="C900" s="85" t="s">
        <v>22</v>
      </c>
      <c r="D900" s="36"/>
      <c r="E900" s="36"/>
      <c r="F900" s="36"/>
      <c r="G900" s="71"/>
      <c r="H900" s="36"/>
      <c r="I900" s="36"/>
      <c r="J900" s="71"/>
      <c r="K900" s="36"/>
      <c r="L900" s="36"/>
      <c r="M900" s="36"/>
      <c r="N900" s="36"/>
      <c r="O900" s="36"/>
      <c r="P900" s="36"/>
    </row>
    <row r="901" ht="14.25" customHeight="1">
      <c r="A901" s="49"/>
      <c r="C901" s="85" t="s">
        <v>23</v>
      </c>
      <c r="D901" s="36"/>
      <c r="E901" s="36"/>
      <c r="F901" s="36"/>
      <c r="G901" s="71"/>
      <c r="H901" s="36"/>
      <c r="I901" s="36"/>
      <c r="J901" s="71"/>
      <c r="K901" s="36"/>
      <c r="L901" s="36"/>
      <c r="M901" s="36"/>
      <c r="N901" s="36"/>
      <c r="O901" s="36"/>
      <c r="P901" s="36"/>
    </row>
    <row r="902" ht="14.25" customHeight="1">
      <c r="A902" s="49"/>
      <c r="C902" s="85" t="s">
        <v>24</v>
      </c>
      <c r="D902" s="36"/>
      <c r="E902" s="36"/>
      <c r="F902" s="36"/>
      <c r="G902" s="71"/>
      <c r="H902" s="36"/>
      <c r="I902" s="36"/>
      <c r="J902" s="71"/>
      <c r="K902" s="36"/>
      <c r="L902" s="36"/>
      <c r="M902" s="36"/>
      <c r="N902" s="36"/>
      <c r="O902" s="36"/>
      <c r="P902" s="36"/>
    </row>
    <row r="903" ht="14.25" customHeight="1">
      <c r="A903" s="49"/>
      <c r="C903" s="85" t="s">
        <v>25</v>
      </c>
      <c r="D903" s="16">
        <v>1.0</v>
      </c>
      <c r="E903" s="36"/>
      <c r="F903" s="36"/>
      <c r="G903" s="71"/>
      <c r="H903" s="36"/>
      <c r="I903" s="36"/>
      <c r="J903" s="71"/>
      <c r="K903" s="36"/>
      <c r="L903" s="36"/>
      <c r="M903" s="36"/>
      <c r="N903" s="36"/>
      <c r="O903" s="36"/>
      <c r="P903" s="36"/>
    </row>
    <row r="904" ht="14.25" customHeight="1">
      <c r="A904" s="56"/>
      <c r="C904" s="86" t="s">
        <v>26</v>
      </c>
      <c r="D904" s="87"/>
      <c r="E904" s="87"/>
      <c r="F904" s="87"/>
      <c r="G904" s="88"/>
      <c r="H904" s="87"/>
      <c r="I904" s="87"/>
      <c r="J904" s="88"/>
      <c r="K904" s="87"/>
      <c r="L904" s="87"/>
      <c r="M904" s="87"/>
      <c r="N904" s="87"/>
      <c r="O904" s="87"/>
      <c r="P904" s="87"/>
    </row>
    <row r="905" ht="14.25" customHeight="1">
      <c r="A905" s="83">
        <v>45643.0</v>
      </c>
      <c r="B905" s="58" t="s">
        <v>65</v>
      </c>
      <c r="C905" s="84" t="s">
        <v>20</v>
      </c>
      <c r="D905" s="66">
        <v>3.0</v>
      </c>
      <c r="E905" s="67"/>
      <c r="F905" s="67"/>
      <c r="G905" s="68"/>
      <c r="H905" s="67"/>
      <c r="I905" s="67"/>
      <c r="J905" s="68"/>
      <c r="K905" s="65"/>
      <c r="L905" s="67"/>
      <c r="M905" s="67"/>
      <c r="N905" s="67"/>
      <c r="O905" s="67"/>
      <c r="P905" s="67"/>
    </row>
    <row r="906" ht="14.25" customHeight="1">
      <c r="A906" s="49"/>
      <c r="C906" s="85" t="s">
        <v>21</v>
      </c>
      <c r="D906" s="36"/>
      <c r="E906" s="36"/>
      <c r="F906" s="36"/>
      <c r="G906" s="69">
        <v>1.0</v>
      </c>
      <c r="H906" s="36"/>
      <c r="I906" s="36"/>
      <c r="J906" s="71"/>
      <c r="K906" s="36"/>
      <c r="L906" s="36"/>
      <c r="M906" s="36"/>
      <c r="N906" s="36"/>
      <c r="O906" s="36"/>
      <c r="P906" s="36"/>
    </row>
    <row r="907" ht="14.25" customHeight="1">
      <c r="A907" s="49"/>
      <c r="C907" s="85" t="s">
        <v>22</v>
      </c>
      <c r="D907" s="36"/>
      <c r="E907" s="36"/>
      <c r="F907" s="36"/>
      <c r="G907" s="71"/>
      <c r="H907" s="36"/>
      <c r="I907" s="36"/>
      <c r="J907" s="71"/>
      <c r="K907" s="36"/>
      <c r="L907" s="36"/>
      <c r="M907" s="36"/>
      <c r="N907" s="36"/>
      <c r="O907" s="36"/>
      <c r="P907" s="36"/>
    </row>
    <row r="908" ht="14.25" customHeight="1">
      <c r="A908" s="49"/>
      <c r="C908" s="85" t="s">
        <v>23</v>
      </c>
      <c r="D908" s="36"/>
      <c r="E908" s="36"/>
      <c r="F908" s="36"/>
      <c r="G908" s="71"/>
      <c r="H908" s="36"/>
      <c r="I908" s="36"/>
      <c r="J908" s="71"/>
      <c r="K908" s="36"/>
      <c r="L908" s="36"/>
      <c r="M908" s="36"/>
      <c r="N908" s="36"/>
      <c r="O908" s="36"/>
      <c r="P908" s="36"/>
    </row>
    <row r="909" ht="14.25" customHeight="1">
      <c r="A909" s="49"/>
      <c r="C909" s="85" t="s">
        <v>24</v>
      </c>
      <c r="D909" s="36"/>
      <c r="E909" s="36"/>
      <c r="F909" s="36"/>
      <c r="G909" s="71"/>
      <c r="H909" s="36"/>
      <c r="I909" s="36"/>
      <c r="J909" s="71"/>
      <c r="K909" s="36"/>
      <c r="L909" s="36"/>
      <c r="M909" s="36"/>
      <c r="N909" s="36"/>
      <c r="O909" s="36"/>
      <c r="P909" s="36"/>
    </row>
    <row r="910" ht="14.25" customHeight="1">
      <c r="A910" s="49"/>
      <c r="C910" s="85" t="s">
        <v>25</v>
      </c>
      <c r="D910" s="36"/>
      <c r="E910" s="36"/>
      <c r="F910" s="36"/>
      <c r="G910" s="71"/>
      <c r="H910" s="36"/>
      <c r="I910" s="36"/>
      <c r="J910" s="71"/>
      <c r="K910" s="36"/>
      <c r="L910" s="36"/>
      <c r="M910" s="36"/>
      <c r="N910" s="36"/>
      <c r="O910" s="36"/>
      <c r="P910" s="36"/>
    </row>
    <row r="911" ht="14.25" customHeight="1">
      <c r="A911" s="56"/>
      <c r="B911" s="57"/>
      <c r="C911" s="86" t="s">
        <v>26</v>
      </c>
      <c r="D911" s="87"/>
      <c r="E911" s="87"/>
      <c r="F911" s="87"/>
      <c r="G911" s="88"/>
      <c r="H911" s="87"/>
      <c r="I911" s="87"/>
      <c r="J911" s="88"/>
      <c r="K911" s="87"/>
      <c r="L911" s="87"/>
      <c r="M911" s="87"/>
      <c r="N911" s="87"/>
      <c r="O911" s="87"/>
      <c r="P911" s="87"/>
    </row>
    <row r="912" ht="14.25" customHeight="1">
      <c r="A912" s="83">
        <v>45643.0</v>
      </c>
      <c r="B912" s="63" t="s">
        <v>45</v>
      </c>
      <c r="C912" s="84" t="s">
        <v>20</v>
      </c>
      <c r="D912" s="67"/>
      <c r="E912" s="66">
        <v>1.0</v>
      </c>
      <c r="F912" s="67"/>
      <c r="G912" s="68"/>
      <c r="H912" s="66">
        <v>1.0</v>
      </c>
      <c r="I912" s="67"/>
      <c r="J912" s="68"/>
      <c r="K912" s="65"/>
      <c r="L912" s="67"/>
      <c r="M912" s="67"/>
      <c r="N912" s="67"/>
      <c r="O912" s="67"/>
      <c r="P912" s="67"/>
    </row>
    <row r="913" ht="14.25" customHeight="1">
      <c r="A913" s="49"/>
      <c r="C913" s="85" t="s">
        <v>21</v>
      </c>
      <c r="D913" s="36"/>
      <c r="E913" s="36"/>
      <c r="F913" s="36"/>
      <c r="G913" s="71"/>
      <c r="H913" s="36"/>
      <c r="I913" s="36"/>
      <c r="J913" s="71"/>
      <c r="K913" s="36"/>
      <c r="L913" s="36"/>
      <c r="M913" s="36"/>
      <c r="N913" s="36"/>
      <c r="O913" s="36"/>
      <c r="P913" s="36"/>
    </row>
    <row r="914" ht="14.25" customHeight="1">
      <c r="A914" s="49"/>
      <c r="C914" s="85" t="s">
        <v>22</v>
      </c>
      <c r="D914" s="36"/>
      <c r="E914" s="36"/>
      <c r="F914" s="36"/>
      <c r="G914" s="71"/>
      <c r="H914" s="36"/>
      <c r="I914" s="36"/>
      <c r="J914" s="71"/>
      <c r="K914" s="36"/>
      <c r="L914" s="36"/>
      <c r="M914" s="36"/>
      <c r="N914" s="36"/>
      <c r="O914" s="36"/>
      <c r="P914" s="36"/>
    </row>
    <row r="915" ht="14.25" customHeight="1">
      <c r="A915" s="49"/>
      <c r="C915" s="85" t="s">
        <v>23</v>
      </c>
      <c r="D915" s="36"/>
      <c r="E915" s="36"/>
      <c r="F915" s="36"/>
      <c r="G915" s="71"/>
      <c r="H915" s="36"/>
      <c r="I915" s="36"/>
      <c r="J915" s="71"/>
      <c r="K915" s="36"/>
      <c r="L915" s="36"/>
      <c r="M915" s="36"/>
      <c r="N915" s="36"/>
      <c r="O915" s="36"/>
      <c r="P915" s="36"/>
    </row>
    <row r="916" ht="14.25" customHeight="1">
      <c r="A916" s="49"/>
      <c r="C916" s="85" t="s">
        <v>24</v>
      </c>
      <c r="D916" s="36"/>
      <c r="E916" s="36"/>
      <c r="F916" s="36"/>
      <c r="G916" s="71"/>
      <c r="H916" s="36"/>
      <c r="I916" s="36"/>
      <c r="J916" s="71"/>
      <c r="K916" s="36"/>
      <c r="L916" s="36"/>
      <c r="M916" s="36"/>
      <c r="N916" s="36"/>
      <c r="O916" s="36"/>
      <c r="P916" s="36"/>
    </row>
    <row r="917" ht="14.25" customHeight="1">
      <c r="A917" s="49"/>
      <c r="C917" s="85" t="s">
        <v>25</v>
      </c>
      <c r="D917" s="36"/>
      <c r="E917" s="36"/>
      <c r="F917" s="16">
        <v>2.0</v>
      </c>
      <c r="G917" s="71"/>
      <c r="H917" s="36"/>
      <c r="I917" s="16">
        <v>2.0</v>
      </c>
      <c r="J917" s="71"/>
      <c r="K917" s="36"/>
      <c r="L917" s="36"/>
      <c r="M917" s="36"/>
      <c r="N917" s="36"/>
      <c r="O917" s="36"/>
      <c r="P917" s="36"/>
    </row>
    <row r="918" ht="14.25" customHeight="1">
      <c r="A918" s="56"/>
      <c r="B918" s="57"/>
      <c r="C918" s="86" t="s">
        <v>26</v>
      </c>
      <c r="D918" s="87"/>
      <c r="E918" s="87"/>
      <c r="F918" s="87"/>
      <c r="G918" s="88"/>
      <c r="H918" s="87"/>
      <c r="I918" s="87"/>
      <c r="J918" s="88"/>
      <c r="K918" s="87"/>
      <c r="L918" s="87"/>
      <c r="M918" s="87"/>
      <c r="N918" s="87"/>
      <c r="O918" s="87"/>
      <c r="P918" s="87"/>
    </row>
    <row r="919" ht="14.25" customHeight="1">
      <c r="A919" s="83">
        <v>45644.0</v>
      </c>
      <c r="B919" s="16" t="s">
        <v>43</v>
      </c>
      <c r="C919" s="84" t="s">
        <v>20</v>
      </c>
      <c r="D919" s="66">
        <v>10.0</v>
      </c>
      <c r="E919" s="66">
        <v>4.0</v>
      </c>
      <c r="F919" s="66">
        <v>2.0</v>
      </c>
      <c r="G919" s="64">
        <v>2.0</v>
      </c>
      <c r="H919" s="66">
        <v>2.0</v>
      </c>
      <c r="I919" s="66">
        <v>1.0</v>
      </c>
      <c r="J919" s="68"/>
      <c r="K919" s="65"/>
      <c r="L919" s="67"/>
      <c r="M919" s="67"/>
      <c r="N919" s="66">
        <v>2.0</v>
      </c>
      <c r="O919" s="67"/>
      <c r="P919" s="67"/>
    </row>
    <row r="920" ht="14.25" customHeight="1">
      <c r="A920" s="49"/>
      <c r="C920" s="85" t="s">
        <v>21</v>
      </c>
      <c r="D920" s="36"/>
      <c r="E920" s="36"/>
      <c r="F920" s="36"/>
      <c r="G920" s="71"/>
      <c r="H920" s="36"/>
      <c r="I920" s="36"/>
      <c r="J920" s="71"/>
      <c r="K920" s="36"/>
      <c r="L920" s="36"/>
      <c r="M920" s="36"/>
      <c r="N920" s="36"/>
      <c r="O920" s="36"/>
      <c r="P920" s="36"/>
    </row>
    <row r="921" ht="14.25" customHeight="1">
      <c r="A921" s="49"/>
      <c r="C921" s="85" t="s">
        <v>22</v>
      </c>
      <c r="D921" s="36"/>
      <c r="E921" s="36"/>
      <c r="F921" s="36"/>
      <c r="G921" s="71"/>
      <c r="H921" s="36"/>
      <c r="I921" s="36"/>
      <c r="J921" s="71"/>
      <c r="K921" s="36"/>
      <c r="L921" s="36"/>
      <c r="M921" s="36"/>
      <c r="N921" s="36"/>
      <c r="O921" s="36"/>
      <c r="P921" s="36"/>
    </row>
    <row r="922" ht="14.25" customHeight="1">
      <c r="A922" s="49"/>
      <c r="C922" s="85" t="s">
        <v>23</v>
      </c>
      <c r="D922" s="36"/>
      <c r="E922" s="16">
        <v>1.0</v>
      </c>
      <c r="F922" s="36"/>
      <c r="G922" s="71"/>
      <c r="H922" s="16">
        <v>1.0</v>
      </c>
      <c r="I922" s="36"/>
      <c r="J922" s="71"/>
      <c r="K922" s="36"/>
      <c r="L922" s="36"/>
      <c r="M922" s="36"/>
      <c r="N922" s="36"/>
      <c r="O922" s="36"/>
      <c r="P922" s="36"/>
    </row>
    <row r="923" ht="14.25" customHeight="1">
      <c r="A923" s="49"/>
      <c r="C923" s="85" t="s">
        <v>24</v>
      </c>
      <c r="D923" s="36"/>
      <c r="E923" s="36"/>
      <c r="F923" s="36"/>
      <c r="G923" s="71"/>
      <c r="H923" s="36"/>
      <c r="I923" s="36"/>
      <c r="J923" s="71"/>
      <c r="K923" s="36"/>
      <c r="L923" s="36"/>
      <c r="M923" s="36"/>
      <c r="N923" s="36"/>
      <c r="O923" s="36"/>
      <c r="P923" s="36"/>
    </row>
    <row r="924" ht="14.25" customHeight="1">
      <c r="A924" s="49"/>
      <c r="C924" s="85" t="s">
        <v>25</v>
      </c>
      <c r="D924" s="36"/>
      <c r="E924" s="36"/>
      <c r="F924" s="36"/>
      <c r="G924" s="71"/>
      <c r="H924" s="36"/>
      <c r="I924" s="36"/>
      <c r="J924" s="71"/>
      <c r="K924" s="36"/>
      <c r="L924" s="36"/>
      <c r="M924" s="36"/>
      <c r="N924" s="36"/>
      <c r="O924" s="36"/>
      <c r="P924" s="36"/>
    </row>
    <row r="925" ht="14.25" customHeight="1">
      <c r="A925" s="56"/>
      <c r="C925" s="86" t="s">
        <v>26</v>
      </c>
      <c r="D925" s="87"/>
      <c r="E925" s="87"/>
      <c r="F925" s="87"/>
      <c r="G925" s="88"/>
      <c r="H925" s="87"/>
      <c r="I925" s="87"/>
      <c r="J925" s="88"/>
      <c r="K925" s="87"/>
      <c r="L925" s="87"/>
      <c r="M925" s="87"/>
      <c r="N925" s="87"/>
      <c r="O925" s="87"/>
      <c r="P925" s="87"/>
    </row>
    <row r="926" ht="14.25" customHeight="1">
      <c r="A926" s="83">
        <v>45644.0</v>
      </c>
      <c r="B926" s="63" t="s">
        <v>44</v>
      </c>
      <c r="C926" s="84" t="s">
        <v>20</v>
      </c>
      <c r="D926" s="67"/>
      <c r="E926" s="66">
        <v>2.0</v>
      </c>
      <c r="F926" s="66">
        <v>1.0</v>
      </c>
      <c r="G926" s="68"/>
      <c r="H926" s="67"/>
      <c r="I926" s="67"/>
      <c r="J926" s="68"/>
      <c r="K926" s="65"/>
      <c r="L926" s="67"/>
      <c r="M926" s="67"/>
      <c r="N926" s="66">
        <v>1.0</v>
      </c>
      <c r="O926" s="67"/>
      <c r="P926" s="66">
        <v>2.0</v>
      </c>
    </row>
    <row r="927" ht="14.25" customHeight="1">
      <c r="A927" s="49"/>
      <c r="C927" s="85" t="s">
        <v>21</v>
      </c>
      <c r="D927" s="36"/>
      <c r="E927" s="16">
        <v>1.0</v>
      </c>
      <c r="F927" s="36"/>
      <c r="G927" s="71"/>
      <c r="H927" s="36"/>
      <c r="I927" s="36"/>
      <c r="J927" s="71"/>
      <c r="K927" s="36"/>
      <c r="L927" s="36"/>
      <c r="M927" s="36"/>
      <c r="N927" s="16">
        <v>1.0</v>
      </c>
      <c r="O927" s="36"/>
      <c r="P927" s="36"/>
    </row>
    <row r="928" ht="14.25" customHeight="1">
      <c r="A928" s="49"/>
      <c r="C928" s="85" t="s">
        <v>22</v>
      </c>
      <c r="D928" s="36"/>
      <c r="E928" s="36"/>
      <c r="F928" s="36"/>
      <c r="G928" s="71"/>
      <c r="H928" s="36"/>
      <c r="I928" s="36"/>
      <c r="J928" s="71"/>
      <c r="K928" s="36"/>
      <c r="L928" s="36"/>
      <c r="M928" s="36"/>
      <c r="N928" s="36"/>
      <c r="O928" s="36"/>
      <c r="P928" s="36"/>
    </row>
    <row r="929" ht="14.25" customHeight="1">
      <c r="A929" s="49"/>
      <c r="C929" s="85" t="s">
        <v>23</v>
      </c>
      <c r="D929" s="36"/>
      <c r="E929" s="36"/>
      <c r="F929" s="36"/>
      <c r="G929" s="69">
        <v>3.0</v>
      </c>
      <c r="H929" s="36"/>
      <c r="I929" s="36"/>
      <c r="J929" s="71"/>
      <c r="K929" s="36"/>
      <c r="L929" s="36"/>
      <c r="M929" s="36"/>
      <c r="N929" s="36"/>
      <c r="O929" s="36"/>
      <c r="P929" s="36"/>
    </row>
    <row r="930" ht="14.25" customHeight="1">
      <c r="A930" s="49"/>
      <c r="C930" s="85" t="s">
        <v>24</v>
      </c>
      <c r="D930" s="36"/>
      <c r="E930" s="36"/>
      <c r="F930" s="16">
        <v>2.0</v>
      </c>
      <c r="G930" s="71"/>
      <c r="H930" s="36"/>
      <c r="I930" s="16">
        <v>2.0</v>
      </c>
      <c r="J930" s="71"/>
      <c r="K930" s="36"/>
      <c r="L930" s="36"/>
      <c r="M930" s="36"/>
      <c r="N930" s="36"/>
      <c r="O930" s="36"/>
      <c r="P930" s="36"/>
    </row>
    <row r="931" ht="14.25" customHeight="1">
      <c r="A931" s="49"/>
      <c r="C931" s="85" t="s">
        <v>25</v>
      </c>
      <c r="D931" s="36"/>
      <c r="E931" s="36"/>
      <c r="F931" s="36"/>
      <c r="G931" s="71"/>
      <c r="H931" s="36"/>
      <c r="I931" s="36"/>
      <c r="J931" s="71"/>
      <c r="K931" s="36"/>
      <c r="L931" s="36"/>
      <c r="M931" s="36"/>
      <c r="N931" s="36"/>
      <c r="O931" s="36"/>
      <c r="P931" s="36"/>
    </row>
    <row r="932" ht="14.25" customHeight="1">
      <c r="A932" s="56"/>
      <c r="B932" s="57"/>
      <c r="C932" s="86" t="s">
        <v>26</v>
      </c>
      <c r="D932" s="87"/>
      <c r="E932" s="87"/>
      <c r="F932" s="87"/>
      <c r="G932" s="88"/>
      <c r="H932" s="87"/>
      <c r="I932" s="87"/>
      <c r="J932" s="88"/>
      <c r="K932" s="87"/>
      <c r="L932" s="87"/>
      <c r="M932" s="87"/>
      <c r="N932" s="87"/>
      <c r="O932" s="87"/>
      <c r="P932" s="87"/>
    </row>
    <row r="933" ht="14.25" customHeight="1">
      <c r="A933" s="83">
        <v>45645.0</v>
      </c>
      <c r="B933" s="63" t="s">
        <v>42</v>
      </c>
      <c r="C933" s="84" t="s">
        <v>20</v>
      </c>
      <c r="D933" s="67"/>
      <c r="E933" s="66">
        <v>4.0</v>
      </c>
      <c r="F933" s="66">
        <v>1.0</v>
      </c>
      <c r="G933" s="68"/>
      <c r="H933" s="67"/>
      <c r="I933" s="67"/>
      <c r="J933" s="68"/>
      <c r="K933" s="65"/>
      <c r="L933" s="67"/>
      <c r="M933" s="67"/>
      <c r="N933" s="66">
        <v>1.0</v>
      </c>
      <c r="O933" s="67"/>
      <c r="P933" s="66">
        <v>4.0</v>
      </c>
    </row>
    <row r="934" ht="14.25" customHeight="1">
      <c r="A934" s="49"/>
      <c r="C934" s="85" t="s">
        <v>21</v>
      </c>
      <c r="D934" s="36"/>
      <c r="E934" s="36"/>
      <c r="F934" s="36"/>
      <c r="G934" s="71"/>
      <c r="H934" s="36"/>
      <c r="I934" s="36"/>
      <c r="J934" s="71"/>
      <c r="K934" s="36"/>
      <c r="L934" s="36"/>
      <c r="M934" s="36"/>
      <c r="N934" s="36"/>
      <c r="O934" s="36"/>
      <c r="P934" s="36"/>
    </row>
    <row r="935" ht="14.25" customHeight="1">
      <c r="A935" s="49"/>
      <c r="C935" s="85" t="s">
        <v>22</v>
      </c>
      <c r="D935" s="36"/>
      <c r="E935" s="36"/>
      <c r="F935" s="36"/>
      <c r="G935" s="71"/>
      <c r="H935" s="36"/>
      <c r="I935" s="36"/>
      <c r="J935" s="71"/>
      <c r="K935" s="36"/>
      <c r="L935" s="36"/>
      <c r="M935" s="36"/>
      <c r="N935" s="36"/>
      <c r="O935" s="36"/>
      <c r="P935" s="36"/>
    </row>
    <row r="936" ht="14.25" customHeight="1">
      <c r="A936" s="49"/>
      <c r="C936" s="85" t="s">
        <v>23</v>
      </c>
      <c r="D936" s="36"/>
      <c r="E936" s="36"/>
      <c r="F936" s="36"/>
      <c r="G936" s="71"/>
      <c r="H936" s="36"/>
      <c r="I936" s="36"/>
      <c r="J936" s="71"/>
      <c r="K936" s="36"/>
      <c r="L936" s="36"/>
      <c r="M936" s="36"/>
      <c r="N936" s="36"/>
      <c r="O936" s="36"/>
      <c r="P936" s="36"/>
    </row>
    <row r="937" ht="14.25" customHeight="1">
      <c r="A937" s="49"/>
      <c r="C937" s="85" t="s">
        <v>24</v>
      </c>
      <c r="D937" s="36"/>
      <c r="E937" s="36"/>
      <c r="F937" s="36"/>
      <c r="G937" s="71"/>
      <c r="H937" s="36"/>
      <c r="I937" s="36"/>
      <c r="J937" s="71"/>
      <c r="K937" s="36"/>
      <c r="L937" s="36"/>
      <c r="M937" s="36"/>
      <c r="N937" s="36"/>
      <c r="O937" s="36"/>
      <c r="P937" s="36"/>
    </row>
    <row r="938" ht="14.25" customHeight="1">
      <c r="A938" s="49"/>
      <c r="C938" s="85" t="s">
        <v>25</v>
      </c>
      <c r="D938" s="16">
        <v>1.0</v>
      </c>
      <c r="E938" s="16">
        <v>8.0</v>
      </c>
      <c r="F938" s="16">
        <v>1.0</v>
      </c>
      <c r="G938" s="69">
        <v>1.0</v>
      </c>
      <c r="H938" s="36"/>
      <c r="I938" s="16">
        <v>8.0</v>
      </c>
      <c r="J938" s="71"/>
      <c r="K938" s="36"/>
      <c r="L938" s="36"/>
      <c r="M938" s="36"/>
      <c r="N938" s="36"/>
      <c r="O938" s="36"/>
      <c r="P938" s="36"/>
    </row>
    <row r="939" ht="14.25" customHeight="1">
      <c r="A939" s="56"/>
      <c r="B939" s="57"/>
      <c r="C939" s="86" t="s">
        <v>26</v>
      </c>
      <c r="D939" s="87"/>
      <c r="E939" s="87"/>
      <c r="F939" s="87"/>
      <c r="G939" s="88"/>
      <c r="H939" s="87"/>
      <c r="I939" s="87"/>
      <c r="J939" s="88"/>
      <c r="K939" s="87"/>
      <c r="L939" s="87"/>
      <c r="M939" s="87"/>
      <c r="N939" s="87"/>
      <c r="O939" s="87"/>
      <c r="P939" s="87"/>
    </row>
    <row r="940" ht="14.25" customHeight="1">
      <c r="A940" s="83">
        <v>45646.0</v>
      </c>
      <c r="B940" s="63" t="s">
        <v>44</v>
      </c>
      <c r="C940" s="84" t="s">
        <v>20</v>
      </c>
      <c r="D940" s="66">
        <v>1.0</v>
      </c>
      <c r="E940" s="67"/>
      <c r="F940" s="67"/>
      <c r="G940" s="68"/>
      <c r="H940" s="67"/>
      <c r="I940" s="67"/>
      <c r="J940" s="68"/>
      <c r="K940" s="65"/>
      <c r="L940" s="67"/>
      <c r="M940" s="67"/>
      <c r="N940" s="67"/>
      <c r="O940" s="67"/>
      <c r="P940" s="67"/>
    </row>
    <row r="941" ht="14.25" customHeight="1">
      <c r="A941" s="49"/>
      <c r="C941" s="85" t="s">
        <v>21</v>
      </c>
      <c r="D941" s="36"/>
      <c r="E941" s="36"/>
      <c r="F941" s="16">
        <v>1.0</v>
      </c>
      <c r="G941" s="69">
        <v>1.0</v>
      </c>
      <c r="H941" s="36"/>
      <c r="I941" s="16">
        <v>1.0</v>
      </c>
      <c r="J941" s="71"/>
      <c r="K941" s="36"/>
      <c r="L941" s="36"/>
      <c r="M941" s="36"/>
      <c r="N941" s="36"/>
      <c r="O941" s="36"/>
      <c r="P941" s="36"/>
    </row>
    <row r="942" ht="14.25" customHeight="1">
      <c r="A942" s="49"/>
      <c r="C942" s="85" t="s">
        <v>22</v>
      </c>
      <c r="D942" s="36"/>
      <c r="E942" s="36"/>
      <c r="F942" s="36"/>
      <c r="G942" s="71"/>
      <c r="H942" s="36"/>
      <c r="I942" s="36"/>
      <c r="J942" s="71"/>
      <c r="K942" s="36"/>
      <c r="L942" s="36"/>
      <c r="M942" s="36"/>
      <c r="N942" s="36"/>
      <c r="O942" s="36"/>
      <c r="P942" s="36"/>
    </row>
    <row r="943" ht="14.25" customHeight="1">
      <c r="A943" s="49"/>
      <c r="C943" s="85" t="s">
        <v>23</v>
      </c>
      <c r="D943" s="36"/>
      <c r="E943" s="36"/>
      <c r="F943" s="36"/>
      <c r="G943" s="71"/>
      <c r="H943" s="36"/>
      <c r="I943" s="36"/>
      <c r="J943" s="71"/>
      <c r="K943" s="36"/>
      <c r="L943" s="36"/>
      <c r="M943" s="36"/>
      <c r="N943" s="36"/>
      <c r="O943" s="36"/>
      <c r="P943" s="36"/>
    </row>
    <row r="944" ht="14.25" customHeight="1">
      <c r="A944" s="49"/>
      <c r="C944" s="85" t="s">
        <v>24</v>
      </c>
      <c r="D944" s="36"/>
      <c r="E944" s="36"/>
      <c r="F944" s="36"/>
      <c r="G944" s="71"/>
      <c r="H944" s="36"/>
      <c r="I944" s="36"/>
      <c r="J944" s="71"/>
      <c r="K944" s="36"/>
      <c r="L944" s="36"/>
      <c r="M944" s="36"/>
      <c r="N944" s="36"/>
      <c r="O944" s="36"/>
      <c r="P944" s="36"/>
    </row>
    <row r="945" ht="14.25" customHeight="1">
      <c r="A945" s="49"/>
      <c r="C945" s="85" t="s">
        <v>25</v>
      </c>
      <c r="D945" s="36"/>
      <c r="E945" s="36"/>
      <c r="F945" s="36"/>
      <c r="G945" s="71"/>
      <c r="H945" s="36"/>
      <c r="I945" s="36"/>
      <c r="J945" s="71"/>
      <c r="K945" s="36"/>
      <c r="L945" s="36"/>
      <c r="M945" s="36"/>
      <c r="N945" s="36"/>
      <c r="O945" s="36"/>
      <c r="P945" s="36"/>
    </row>
    <row r="946" ht="14.25" customHeight="1">
      <c r="A946" s="56"/>
      <c r="B946" s="57"/>
      <c r="C946" s="86" t="s">
        <v>26</v>
      </c>
      <c r="D946" s="87"/>
      <c r="E946" s="87"/>
      <c r="F946" s="87"/>
      <c r="G946" s="88"/>
      <c r="H946" s="87"/>
      <c r="I946" s="87"/>
      <c r="J946" s="88"/>
      <c r="K946" s="87"/>
      <c r="L946" s="87"/>
      <c r="M946" s="87"/>
      <c r="N946" s="87"/>
      <c r="O946" s="87"/>
      <c r="P946" s="87"/>
    </row>
    <row r="947" ht="14.25" customHeight="1">
      <c r="A947" s="91">
        <v>45659.0</v>
      </c>
      <c r="B947" s="63" t="s">
        <v>42</v>
      </c>
      <c r="C947" s="64" t="s">
        <v>20</v>
      </c>
      <c r="D947" s="75">
        <v>1.0</v>
      </c>
      <c r="E947" s="66">
        <v>2.0</v>
      </c>
      <c r="F947" s="67"/>
      <c r="G947" s="68"/>
      <c r="H947" s="67"/>
      <c r="I947" s="67"/>
      <c r="J947" s="67"/>
      <c r="K947" s="65"/>
      <c r="L947" s="67"/>
      <c r="M947" s="67"/>
      <c r="N947" s="67"/>
      <c r="O947" s="67"/>
      <c r="P947" s="67"/>
    </row>
    <row r="948" ht="14.25" customHeight="1">
      <c r="A948" s="49"/>
      <c r="C948" s="69" t="s">
        <v>21</v>
      </c>
      <c r="D948" s="70"/>
      <c r="E948" s="36"/>
      <c r="F948" s="36"/>
      <c r="G948" s="71"/>
      <c r="H948" s="36"/>
      <c r="I948" s="36"/>
      <c r="J948" s="36"/>
      <c r="K948" s="70"/>
      <c r="L948" s="36"/>
      <c r="M948" s="36"/>
      <c r="N948" s="36"/>
      <c r="O948" s="36"/>
      <c r="P948" s="36"/>
    </row>
    <row r="949" ht="14.25" customHeight="1">
      <c r="A949" s="49"/>
      <c r="C949" s="69" t="s">
        <v>22</v>
      </c>
      <c r="D949" s="70"/>
      <c r="E949" s="36"/>
      <c r="F949" s="36"/>
      <c r="G949" s="71"/>
      <c r="H949" s="36"/>
      <c r="I949" s="36"/>
      <c r="J949" s="36"/>
      <c r="K949" s="70"/>
      <c r="L949" s="36"/>
      <c r="M949" s="36"/>
      <c r="N949" s="36"/>
      <c r="O949" s="36"/>
      <c r="P949" s="36"/>
    </row>
    <row r="950" ht="14.25" customHeight="1">
      <c r="A950" s="49"/>
      <c r="C950" s="69" t="s">
        <v>23</v>
      </c>
      <c r="D950" s="70"/>
      <c r="E950" s="36"/>
      <c r="F950" s="36"/>
      <c r="G950" s="71"/>
      <c r="H950" s="36"/>
      <c r="I950" s="36"/>
      <c r="J950" s="36"/>
      <c r="K950" s="70"/>
      <c r="L950" s="36"/>
      <c r="M950" s="36"/>
      <c r="N950" s="36"/>
      <c r="O950" s="36"/>
      <c r="P950" s="36"/>
    </row>
    <row r="951" ht="14.25" customHeight="1">
      <c r="A951" s="49"/>
      <c r="C951" s="69" t="s">
        <v>24</v>
      </c>
      <c r="D951" s="70"/>
      <c r="E951" s="36"/>
      <c r="F951" s="36"/>
      <c r="G951" s="71"/>
      <c r="H951" s="36"/>
      <c r="I951" s="36"/>
      <c r="J951" s="36"/>
      <c r="K951" s="70"/>
      <c r="L951" s="36"/>
      <c r="M951" s="36"/>
      <c r="N951" s="36"/>
      <c r="O951" s="36"/>
      <c r="P951" s="36"/>
    </row>
    <row r="952" ht="14.25" customHeight="1">
      <c r="A952" s="49"/>
      <c r="C952" s="69" t="s">
        <v>25</v>
      </c>
      <c r="D952" s="70"/>
      <c r="E952" s="36"/>
      <c r="F952" s="36"/>
      <c r="G952" s="71"/>
      <c r="H952" s="36"/>
      <c r="I952" s="36"/>
      <c r="J952" s="36"/>
      <c r="K952" s="70"/>
      <c r="L952" s="36"/>
      <c r="M952" s="36"/>
      <c r="N952" s="36"/>
      <c r="O952" s="36"/>
      <c r="P952" s="36"/>
    </row>
    <row r="953" ht="14.25" customHeight="1">
      <c r="A953" s="56"/>
      <c r="B953" s="57"/>
      <c r="C953" s="69" t="s">
        <v>26</v>
      </c>
      <c r="D953" s="70"/>
      <c r="E953" s="36"/>
      <c r="F953" s="36"/>
      <c r="G953" s="71"/>
      <c r="H953" s="36"/>
      <c r="I953" s="36"/>
      <c r="J953" s="36"/>
      <c r="K953" s="70"/>
      <c r="L953" s="36"/>
      <c r="M953" s="36"/>
      <c r="N953" s="36"/>
      <c r="O953" s="36"/>
      <c r="P953" s="36"/>
    </row>
    <row r="954" ht="14.25" customHeight="1">
      <c r="A954" s="91">
        <v>45659.0</v>
      </c>
      <c r="B954" s="66" t="s">
        <v>44</v>
      </c>
      <c r="C954" s="64" t="s">
        <v>20</v>
      </c>
      <c r="D954" s="75">
        <v>5.0</v>
      </c>
      <c r="E954" s="67"/>
      <c r="F954" s="67"/>
      <c r="G954" s="68"/>
      <c r="H954" s="67"/>
      <c r="I954" s="67"/>
      <c r="J954" s="67"/>
      <c r="K954" s="65"/>
      <c r="L954" s="67"/>
      <c r="M954" s="67"/>
      <c r="N954" s="67"/>
      <c r="O954" s="67"/>
      <c r="P954" s="67"/>
    </row>
    <row r="955" ht="14.25" customHeight="1">
      <c r="A955" s="49"/>
      <c r="C955" s="69" t="s">
        <v>21</v>
      </c>
      <c r="D955" s="70"/>
      <c r="E955" s="36"/>
      <c r="F955" s="36"/>
      <c r="G955" s="71"/>
      <c r="H955" s="36"/>
      <c r="I955" s="36"/>
      <c r="J955" s="36"/>
      <c r="K955" s="70"/>
      <c r="L955" s="36"/>
      <c r="M955" s="36"/>
      <c r="N955" s="36"/>
      <c r="O955" s="36"/>
      <c r="P955" s="36"/>
    </row>
    <row r="956" ht="14.25" customHeight="1">
      <c r="A956" s="49"/>
      <c r="C956" s="69" t="s">
        <v>22</v>
      </c>
      <c r="D956" s="70"/>
      <c r="E956" s="36"/>
      <c r="F956" s="36"/>
      <c r="G956" s="71"/>
      <c r="H956" s="36"/>
      <c r="I956" s="36"/>
      <c r="J956" s="36"/>
      <c r="K956" s="70"/>
      <c r="L956" s="36"/>
      <c r="M956" s="36"/>
      <c r="N956" s="36"/>
      <c r="O956" s="36"/>
      <c r="P956" s="36"/>
    </row>
    <row r="957" ht="14.25" customHeight="1">
      <c r="A957" s="49"/>
      <c r="C957" s="69" t="s">
        <v>23</v>
      </c>
      <c r="D957" s="70"/>
      <c r="E957" s="36"/>
      <c r="F957" s="36"/>
      <c r="G957" s="71"/>
      <c r="H957" s="36"/>
      <c r="I957" s="36"/>
      <c r="J957" s="36"/>
      <c r="K957" s="70"/>
      <c r="L957" s="36"/>
      <c r="M957" s="36"/>
      <c r="N957" s="36"/>
      <c r="O957" s="36"/>
      <c r="P957" s="36"/>
    </row>
    <row r="958" ht="14.25" customHeight="1">
      <c r="A958" s="49"/>
      <c r="C958" s="69" t="s">
        <v>24</v>
      </c>
      <c r="D958" s="70"/>
      <c r="E958" s="36"/>
      <c r="F958" s="36"/>
      <c r="G958" s="71"/>
      <c r="H958" s="36"/>
      <c r="I958" s="36"/>
      <c r="J958" s="36"/>
      <c r="K958" s="70"/>
      <c r="L958" s="36"/>
      <c r="M958" s="36"/>
      <c r="N958" s="36"/>
      <c r="O958" s="36"/>
      <c r="P958" s="36"/>
    </row>
    <row r="959" ht="14.25" customHeight="1">
      <c r="A959" s="49"/>
      <c r="C959" s="69" t="s">
        <v>25</v>
      </c>
      <c r="D959" s="70"/>
      <c r="E959" s="36"/>
      <c r="F959" s="36"/>
      <c r="G959" s="71"/>
      <c r="H959" s="36"/>
      <c r="I959" s="36"/>
      <c r="J959" s="36"/>
      <c r="K959" s="70"/>
      <c r="L959" s="36"/>
      <c r="M959" s="36"/>
      <c r="N959" s="36"/>
      <c r="O959" s="36"/>
      <c r="P959" s="36"/>
    </row>
    <row r="960" ht="14.25" customHeight="1">
      <c r="A960" s="56"/>
      <c r="B960" s="57"/>
      <c r="C960" s="69" t="s">
        <v>26</v>
      </c>
      <c r="D960" s="72"/>
      <c r="E960" s="73"/>
      <c r="F960" s="73"/>
      <c r="G960" s="74"/>
      <c r="H960" s="73"/>
      <c r="I960" s="73"/>
      <c r="J960" s="73"/>
      <c r="K960" s="72"/>
      <c r="L960" s="73"/>
      <c r="M960" s="73"/>
      <c r="N960" s="73"/>
      <c r="O960" s="73"/>
      <c r="P960" s="73"/>
    </row>
    <row r="961" ht="14.25" customHeight="1">
      <c r="A961" s="91">
        <v>45661.0</v>
      </c>
      <c r="B961" s="58" t="s">
        <v>65</v>
      </c>
      <c r="C961" s="64" t="s">
        <v>20</v>
      </c>
      <c r="D961" s="75">
        <v>1.0</v>
      </c>
      <c r="E961" s="66">
        <v>3.0</v>
      </c>
      <c r="F961" s="67"/>
      <c r="G961" s="68"/>
      <c r="H961" s="67"/>
      <c r="I961" s="67"/>
      <c r="J961" s="67"/>
      <c r="K961" s="65"/>
      <c r="L961" s="67"/>
      <c r="M961" s="67"/>
      <c r="N961" s="67"/>
      <c r="O961" s="67"/>
      <c r="P961" s="67"/>
    </row>
    <row r="962" ht="14.25" customHeight="1">
      <c r="A962" s="49"/>
      <c r="C962" s="69" t="s">
        <v>21</v>
      </c>
      <c r="D962" s="70"/>
      <c r="E962" s="36"/>
      <c r="F962" s="36"/>
      <c r="G962" s="71"/>
      <c r="H962" s="36"/>
      <c r="I962" s="36"/>
      <c r="J962" s="36"/>
      <c r="K962" s="70"/>
      <c r="L962" s="36"/>
      <c r="M962" s="36"/>
      <c r="N962" s="36"/>
      <c r="O962" s="36"/>
      <c r="P962" s="36"/>
    </row>
    <row r="963" ht="14.25" customHeight="1">
      <c r="A963" s="49"/>
      <c r="C963" s="69" t="s">
        <v>22</v>
      </c>
      <c r="D963" s="70"/>
      <c r="E963" s="36"/>
      <c r="F963" s="36"/>
      <c r="G963" s="71"/>
      <c r="H963" s="36"/>
      <c r="I963" s="36"/>
      <c r="J963" s="36"/>
      <c r="K963" s="70"/>
      <c r="L963" s="36"/>
      <c r="M963" s="36"/>
      <c r="N963" s="36"/>
      <c r="O963" s="36"/>
      <c r="P963" s="36"/>
    </row>
    <row r="964" ht="14.25" customHeight="1">
      <c r="A964" s="49"/>
      <c r="C964" s="69" t="s">
        <v>23</v>
      </c>
      <c r="D964" s="70"/>
      <c r="E964" s="36"/>
      <c r="F964" s="36"/>
      <c r="G964" s="71"/>
      <c r="H964" s="36"/>
      <c r="I964" s="36"/>
      <c r="J964" s="36"/>
      <c r="K964" s="70"/>
      <c r="L964" s="36"/>
      <c r="M964" s="36"/>
      <c r="N964" s="36"/>
      <c r="O964" s="36"/>
      <c r="P964" s="36"/>
    </row>
    <row r="965" ht="14.25" customHeight="1">
      <c r="A965" s="49"/>
      <c r="C965" s="69" t="s">
        <v>24</v>
      </c>
      <c r="D965" s="70"/>
      <c r="E965" s="36"/>
      <c r="F965" s="36"/>
      <c r="G965" s="71"/>
      <c r="H965" s="36"/>
      <c r="I965" s="36"/>
      <c r="J965" s="36"/>
      <c r="K965" s="70"/>
      <c r="L965" s="36"/>
      <c r="M965" s="36"/>
      <c r="N965" s="36"/>
      <c r="O965" s="36"/>
      <c r="P965" s="36"/>
    </row>
    <row r="966" ht="14.25" customHeight="1">
      <c r="A966" s="49"/>
      <c r="C966" s="69" t="s">
        <v>25</v>
      </c>
      <c r="D966" s="70"/>
      <c r="E966" s="36"/>
      <c r="F966" s="36"/>
      <c r="G966" s="71"/>
      <c r="H966" s="36"/>
      <c r="I966" s="36"/>
      <c r="J966" s="36"/>
      <c r="K966" s="70"/>
      <c r="L966" s="36"/>
      <c r="M966" s="36"/>
      <c r="N966" s="36"/>
      <c r="O966" s="36"/>
      <c r="P966" s="36"/>
    </row>
    <row r="967" ht="14.25" customHeight="1">
      <c r="A967" s="56"/>
      <c r="B967" s="57"/>
      <c r="C967" s="69" t="s">
        <v>26</v>
      </c>
      <c r="D967" s="70"/>
      <c r="E967" s="36"/>
      <c r="F967" s="36"/>
      <c r="G967" s="71"/>
      <c r="H967" s="36"/>
      <c r="I967" s="36"/>
      <c r="J967" s="36"/>
      <c r="K967" s="70"/>
      <c r="L967" s="36"/>
      <c r="M967" s="36"/>
      <c r="N967" s="36"/>
      <c r="O967" s="36"/>
      <c r="P967" s="36"/>
    </row>
    <row r="968" ht="14.25" customHeight="1">
      <c r="A968" s="91">
        <v>45661.0</v>
      </c>
      <c r="B968" s="66" t="s">
        <v>43</v>
      </c>
      <c r="C968" s="64" t="s">
        <v>20</v>
      </c>
      <c r="D968" s="75">
        <v>9.0</v>
      </c>
      <c r="E968" s="66">
        <v>5.0</v>
      </c>
      <c r="F968" s="67"/>
      <c r="G968" s="68"/>
      <c r="H968" s="66">
        <v>5.0</v>
      </c>
      <c r="I968" s="67"/>
      <c r="J968" s="67"/>
      <c r="K968" s="65"/>
      <c r="L968" s="67"/>
      <c r="M968" s="67"/>
      <c r="N968" s="67"/>
      <c r="O968" s="67"/>
      <c r="P968" s="67"/>
    </row>
    <row r="969" ht="14.25" customHeight="1">
      <c r="A969" s="49"/>
      <c r="C969" s="69" t="s">
        <v>21</v>
      </c>
      <c r="D969" s="70"/>
      <c r="E969" s="36"/>
      <c r="F969" s="36"/>
      <c r="G969" s="71"/>
      <c r="H969" s="36"/>
      <c r="I969" s="36"/>
      <c r="J969" s="36"/>
      <c r="K969" s="70"/>
      <c r="L969" s="36"/>
      <c r="M969" s="36"/>
      <c r="N969" s="36"/>
      <c r="O969" s="36"/>
      <c r="P969" s="36"/>
    </row>
    <row r="970" ht="14.25" customHeight="1">
      <c r="A970" s="49"/>
      <c r="C970" s="69" t="s">
        <v>22</v>
      </c>
      <c r="D970" s="70"/>
      <c r="E970" s="36"/>
      <c r="F970" s="36"/>
      <c r="G970" s="71"/>
      <c r="H970" s="36"/>
      <c r="I970" s="36"/>
      <c r="J970" s="36"/>
      <c r="K970" s="70"/>
      <c r="L970" s="36"/>
      <c r="M970" s="36"/>
      <c r="N970" s="36"/>
      <c r="O970" s="36"/>
      <c r="P970" s="36"/>
    </row>
    <row r="971" ht="14.25" customHeight="1">
      <c r="A971" s="49"/>
      <c r="C971" s="69" t="s">
        <v>23</v>
      </c>
      <c r="D971" s="70"/>
      <c r="E971" s="36"/>
      <c r="F971" s="36"/>
      <c r="G971" s="71"/>
      <c r="H971" s="36"/>
      <c r="I971" s="36"/>
      <c r="J971" s="36"/>
      <c r="K971" s="70"/>
      <c r="L971" s="36"/>
      <c r="M971" s="36"/>
      <c r="N971" s="36"/>
      <c r="O971" s="36"/>
      <c r="P971" s="36"/>
    </row>
    <row r="972" ht="14.25" customHeight="1">
      <c r="A972" s="49"/>
      <c r="C972" s="69" t="s">
        <v>24</v>
      </c>
      <c r="D972" s="70"/>
      <c r="E972" s="36"/>
      <c r="F972" s="36"/>
      <c r="G972" s="71"/>
      <c r="H972" s="36"/>
      <c r="I972" s="36"/>
      <c r="J972" s="36"/>
      <c r="K972" s="70"/>
      <c r="L972" s="36"/>
      <c r="M972" s="36"/>
      <c r="N972" s="36"/>
      <c r="O972" s="36"/>
      <c r="P972" s="36"/>
    </row>
    <row r="973" ht="14.25" customHeight="1">
      <c r="A973" s="49"/>
      <c r="C973" s="69" t="s">
        <v>25</v>
      </c>
      <c r="D973" s="70"/>
      <c r="E973" s="36"/>
      <c r="F973" s="36"/>
      <c r="G973" s="71"/>
      <c r="H973" s="36"/>
      <c r="I973" s="36"/>
      <c r="J973" s="36"/>
      <c r="K973" s="70"/>
      <c r="L973" s="36"/>
      <c r="M973" s="36"/>
      <c r="N973" s="36"/>
      <c r="O973" s="36"/>
      <c r="P973" s="36"/>
    </row>
    <row r="974" ht="14.25" customHeight="1">
      <c r="A974" s="56"/>
      <c r="B974" s="57"/>
      <c r="C974" s="69" t="s">
        <v>26</v>
      </c>
      <c r="D974" s="72"/>
      <c r="E974" s="73"/>
      <c r="F974" s="73"/>
      <c r="G974" s="74"/>
      <c r="H974" s="73"/>
      <c r="I974" s="73"/>
      <c r="J974" s="73"/>
      <c r="K974" s="72"/>
      <c r="L974" s="73"/>
      <c r="M974" s="73"/>
      <c r="N974" s="73"/>
      <c r="O974" s="73"/>
      <c r="P974" s="73"/>
    </row>
    <row r="975" ht="14.25" customHeight="1">
      <c r="A975" s="91">
        <v>45664.0</v>
      </c>
      <c r="B975" s="66" t="s">
        <v>43</v>
      </c>
      <c r="C975" s="64" t="s">
        <v>20</v>
      </c>
      <c r="D975" s="75">
        <v>5.0</v>
      </c>
      <c r="E975" s="67"/>
      <c r="F975" s="67"/>
      <c r="G975" s="68"/>
      <c r="H975" s="67"/>
      <c r="I975" s="67"/>
      <c r="J975" s="67"/>
      <c r="K975" s="65"/>
      <c r="L975" s="67"/>
      <c r="M975" s="67"/>
      <c r="N975" s="67"/>
      <c r="O975" s="67"/>
      <c r="P975" s="67"/>
    </row>
    <row r="976" ht="14.25" customHeight="1">
      <c r="A976" s="49"/>
      <c r="C976" s="69" t="s">
        <v>21</v>
      </c>
      <c r="D976" s="70"/>
      <c r="E976" s="36"/>
      <c r="F976" s="36"/>
      <c r="G976" s="71"/>
      <c r="H976" s="36"/>
      <c r="I976" s="36"/>
      <c r="J976" s="36"/>
      <c r="K976" s="70"/>
      <c r="L976" s="36"/>
      <c r="M976" s="36"/>
      <c r="N976" s="36"/>
      <c r="O976" s="36"/>
      <c r="P976" s="36"/>
    </row>
    <row r="977" ht="14.25" customHeight="1">
      <c r="A977" s="49"/>
      <c r="C977" s="69" t="s">
        <v>22</v>
      </c>
      <c r="D977" s="70"/>
      <c r="E977" s="36"/>
      <c r="F977" s="36"/>
      <c r="G977" s="71"/>
      <c r="H977" s="36"/>
      <c r="I977" s="36"/>
      <c r="J977" s="36"/>
      <c r="K977" s="70"/>
      <c r="L977" s="36"/>
      <c r="M977" s="36"/>
      <c r="N977" s="36"/>
      <c r="O977" s="36"/>
      <c r="P977" s="36"/>
    </row>
    <row r="978" ht="14.25" customHeight="1">
      <c r="A978" s="49"/>
      <c r="C978" s="69" t="s">
        <v>23</v>
      </c>
      <c r="D978" s="70"/>
      <c r="E978" s="36"/>
      <c r="F978" s="36"/>
      <c r="G978" s="71"/>
      <c r="H978" s="36"/>
      <c r="I978" s="36"/>
      <c r="J978" s="36"/>
      <c r="K978" s="70"/>
      <c r="L978" s="36"/>
      <c r="M978" s="36"/>
      <c r="N978" s="36"/>
      <c r="O978" s="36"/>
      <c r="P978" s="36"/>
    </row>
    <row r="979" ht="14.25" customHeight="1">
      <c r="A979" s="49"/>
      <c r="C979" s="69" t="s">
        <v>24</v>
      </c>
      <c r="D979" s="70"/>
      <c r="E979" s="36"/>
      <c r="F979" s="36"/>
      <c r="G979" s="71"/>
      <c r="H979" s="36"/>
      <c r="I979" s="36"/>
      <c r="J979" s="36"/>
      <c r="K979" s="70"/>
      <c r="L979" s="36"/>
      <c r="M979" s="36"/>
      <c r="N979" s="36"/>
      <c r="O979" s="36"/>
      <c r="P979" s="36"/>
    </row>
    <row r="980" ht="14.25" customHeight="1">
      <c r="A980" s="49"/>
      <c r="C980" s="69" t="s">
        <v>25</v>
      </c>
      <c r="D980" s="70"/>
      <c r="E980" s="36"/>
      <c r="F980" s="36"/>
      <c r="G980" s="71"/>
      <c r="H980" s="36"/>
      <c r="I980" s="36"/>
      <c r="J980" s="36"/>
      <c r="K980" s="70"/>
      <c r="L980" s="36"/>
      <c r="M980" s="36"/>
      <c r="N980" s="36"/>
      <c r="O980" s="36"/>
      <c r="P980" s="36"/>
    </row>
    <row r="981" ht="14.25" customHeight="1">
      <c r="A981" s="56"/>
      <c r="B981" s="57"/>
      <c r="C981" s="69" t="s">
        <v>26</v>
      </c>
      <c r="D981" s="70"/>
      <c r="E981" s="36"/>
      <c r="F981" s="36"/>
      <c r="G981" s="71"/>
      <c r="H981" s="36"/>
      <c r="I981" s="36"/>
      <c r="J981" s="36"/>
      <c r="K981" s="70"/>
      <c r="L981" s="36"/>
      <c r="M981" s="36"/>
      <c r="N981" s="36"/>
      <c r="O981" s="36"/>
      <c r="P981" s="36"/>
    </row>
    <row r="982" ht="14.25" customHeight="1">
      <c r="A982" s="91">
        <v>45665.0</v>
      </c>
      <c r="B982" s="66" t="s">
        <v>43</v>
      </c>
      <c r="C982" s="64" t="s">
        <v>20</v>
      </c>
      <c r="D982" s="75">
        <v>10.0</v>
      </c>
      <c r="E982" s="66">
        <v>2.0</v>
      </c>
      <c r="F982" s="67"/>
      <c r="G982" s="68"/>
      <c r="H982" s="66">
        <v>3.0</v>
      </c>
      <c r="I982" s="67"/>
      <c r="J982" s="67"/>
      <c r="K982" s="65"/>
      <c r="L982" s="67"/>
      <c r="M982" s="67"/>
      <c r="N982" s="67"/>
      <c r="O982" s="67"/>
      <c r="P982" s="67"/>
    </row>
    <row r="983" ht="14.25" customHeight="1">
      <c r="A983" s="49"/>
      <c r="C983" s="69" t="s">
        <v>21</v>
      </c>
      <c r="D983" s="70"/>
      <c r="E983" s="36"/>
      <c r="F983" s="36"/>
      <c r="G983" s="71"/>
      <c r="H983" s="36"/>
      <c r="I983" s="36"/>
      <c r="J983" s="36"/>
      <c r="K983" s="70"/>
      <c r="L983" s="36"/>
      <c r="M983" s="36"/>
      <c r="N983" s="36"/>
      <c r="O983" s="36"/>
      <c r="P983" s="36"/>
    </row>
    <row r="984" ht="14.25" customHeight="1">
      <c r="A984" s="49"/>
      <c r="C984" s="69" t="s">
        <v>22</v>
      </c>
      <c r="D984" s="70"/>
      <c r="E984" s="36"/>
      <c r="F984" s="36"/>
      <c r="G984" s="71"/>
      <c r="H984" s="36"/>
      <c r="I984" s="36"/>
      <c r="J984" s="36"/>
      <c r="K984" s="70"/>
      <c r="L984" s="36"/>
      <c r="M984" s="36"/>
      <c r="N984" s="36"/>
      <c r="O984" s="36"/>
      <c r="P984" s="36"/>
    </row>
    <row r="985" ht="14.25" customHeight="1">
      <c r="A985" s="49"/>
      <c r="C985" s="69" t="s">
        <v>23</v>
      </c>
      <c r="D985" s="70"/>
      <c r="E985" s="36"/>
      <c r="F985" s="36"/>
      <c r="G985" s="71"/>
      <c r="H985" s="36"/>
      <c r="I985" s="36"/>
      <c r="J985" s="36"/>
      <c r="K985" s="70"/>
      <c r="L985" s="36"/>
      <c r="M985" s="36"/>
      <c r="N985" s="36"/>
      <c r="O985" s="36"/>
      <c r="P985" s="36"/>
    </row>
    <row r="986" ht="14.25" customHeight="1">
      <c r="A986" s="49"/>
      <c r="C986" s="69" t="s">
        <v>24</v>
      </c>
      <c r="D986" s="70"/>
      <c r="E986" s="36"/>
      <c r="F986" s="36"/>
      <c r="G986" s="71"/>
      <c r="H986" s="36"/>
      <c r="I986" s="36"/>
      <c r="J986" s="36"/>
      <c r="K986" s="70"/>
      <c r="L986" s="36"/>
      <c r="M986" s="36"/>
      <c r="N986" s="36"/>
      <c r="O986" s="36"/>
      <c r="P986" s="36"/>
    </row>
    <row r="987" ht="14.25" customHeight="1">
      <c r="A987" s="49"/>
      <c r="C987" s="69" t="s">
        <v>25</v>
      </c>
      <c r="D987" s="70"/>
      <c r="E987" s="36"/>
      <c r="F987" s="36"/>
      <c r="G987" s="71"/>
      <c r="H987" s="36"/>
      <c r="I987" s="36"/>
      <c r="J987" s="36"/>
      <c r="K987" s="70"/>
      <c r="L987" s="36"/>
      <c r="M987" s="36"/>
      <c r="N987" s="36"/>
      <c r="O987" s="36"/>
      <c r="P987" s="36"/>
    </row>
    <row r="988" ht="14.25" customHeight="1">
      <c r="A988" s="56"/>
      <c r="B988" s="57"/>
      <c r="C988" s="69" t="s">
        <v>26</v>
      </c>
      <c r="D988" s="72"/>
      <c r="E988" s="73"/>
      <c r="F988" s="73"/>
      <c r="G988" s="74"/>
      <c r="H988" s="73"/>
      <c r="I988" s="73"/>
      <c r="J988" s="73"/>
      <c r="K988" s="72"/>
      <c r="L988" s="73"/>
      <c r="M988" s="73"/>
      <c r="N988" s="73"/>
      <c r="O988" s="73"/>
      <c r="P988" s="73"/>
    </row>
    <row r="989" ht="14.25" customHeight="1">
      <c r="A989" s="91">
        <v>45665.0</v>
      </c>
      <c r="B989" s="66" t="s">
        <v>42</v>
      </c>
      <c r="C989" s="64" t="s">
        <v>20</v>
      </c>
      <c r="D989" s="75">
        <v>2.0</v>
      </c>
      <c r="E989" s="66">
        <v>3.0</v>
      </c>
      <c r="F989" s="67"/>
      <c r="G989" s="68"/>
      <c r="H989" s="66">
        <v>1.0</v>
      </c>
      <c r="I989" s="67"/>
      <c r="J989" s="67"/>
      <c r="K989" s="65"/>
      <c r="L989" s="67"/>
      <c r="M989" s="67"/>
      <c r="N989" s="66">
        <v>1.0</v>
      </c>
      <c r="O989" s="67"/>
      <c r="P989" s="67"/>
    </row>
    <row r="990" ht="14.25" customHeight="1">
      <c r="A990" s="49"/>
      <c r="C990" s="69" t="s">
        <v>21</v>
      </c>
      <c r="D990" s="70"/>
      <c r="E990" s="36"/>
      <c r="F990" s="36"/>
      <c r="G990" s="71"/>
      <c r="H990" s="36"/>
      <c r="I990" s="36"/>
      <c r="J990" s="36"/>
      <c r="K990" s="70"/>
      <c r="L990" s="36"/>
      <c r="M990" s="36"/>
      <c r="N990" s="36"/>
      <c r="O990" s="36"/>
      <c r="P990" s="36"/>
    </row>
    <row r="991" ht="14.25" customHeight="1">
      <c r="A991" s="49"/>
      <c r="C991" s="69" t="s">
        <v>22</v>
      </c>
      <c r="D991" s="70"/>
      <c r="E991" s="36"/>
      <c r="F991" s="36"/>
      <c r="G991" s="71"/>
      <c r="H991" s="36"/>
      <c r="I991" s="36"/>
      <c r="J991" s="36"/>
      <c r="K991" s="70"/>
      <c r="L991" s="36"/>
      <c r="M991" s="36"/>
      <c r="N991" s="36"/>
      <c r="O991" s="36"/>
      <c r="P991" s="36"/>
    </row>
    <row r="992" ht="14.25" customHeight="1">
      <c r="A992" s="49"/>
      <c r="C992" s="69" t="s">
        <v>23</v>
      </c>
      <c r="D992" s="70"/>
      <c r="E992" s="36"/>
      <c r="F992" s="36"/>
      <c r="G992" s="71"/>
      <c r="H992" s="36"/>
      <c r="I992" s="36"/>
      <c r="J992" s="36"/>
      <c r="K992" s="70"/>
      <c r="L992" s="36"/>
      <c r="M992" s="36"/>
      <c r="N992" s="36"/>
      <c r="O992" s="36"/>
      <c r="P992" s="36"/>
    </row>
    <row r="993" ht="14.25" customHeight="1">
      <c r="A993" s="49"/>
      <c r="C993" s="69" t="s">
        <v>24</v>
      </c>
      <c r="D993" s="70"/>
      <c r="E993" s="36"/>
      <c r="F993" s="36"/>
      <c r="G993" s="71"/>
      <c r="H993" s="36"/>
      <c r="I993" s="36"/>
      <c r="J993" s="36"/>
      <c r="K993" s="70"/>
      <c r="L993" s="36"/>
      <c r="M993" s="36"/>
      <c r="N993" s="36"/>
      <c r="O993" s="36"/>
      <c r="P993" s="36"/>
    </row>
    <row r="994" ht="14.25" customHeight="1">
      <c r="A994" s="49"/>
      <c r="C994" s="69" t="s">
        <v>25</v>
      </c>
      <c r="D994" s="70"/>
      <c r="E994" s="36"/>
      <c r="F994" s="36"/>
      <c r="G994" s="71"/>
      <c r="H994" s="36"/>
      <c r="I994" s="36"/>
      <c r="J994" s="36"/>
      <c r="K994" s="70"/>
      <c r="L994" s="36"/>
      <c r="M994" s="36"/>
      <c r="N994" s="36"/>
      <c r="O994" s="36"/>
      <c r="P994" s="36"/>
    </row>
    <row r="995" ht="14.25" customHeight="1">
      <c r="A995" s="56"/>
      <c r="B995" s="57"/>
      <c r="C995" s="69" t="s">
        <v>26</v>
      </c>
      <c r="D995" s="70"/>
      <c r="E995" s="36"/>
      <c r="F995" s="36"/>
      <c r="G995" s="71"/>
      <c r="H995" s="36"/>
      <c r="I995" s="36"/>
      <c r="J995" s="36"/>
      <c r="K995" s="70"/>
      <c r="L995" s="36"/>
      <c r="M995" s="36"/>
      <c r="N995" s="36"/>
      <c r="O995" s="36"/>
      <c r="P995" s="36"/>
    </row>
    <row r="996" ht="14.25" customHeight="1">
      <c r="A996" s="91">
        <v>45666.0</v>
      </c>
      <c r="B996" s="66" t="s">
        <v>43</v>
      </c>
      <c r="C996" s="64" t="s">
        <v>20</v>
      </c>
      <c r="D996" s="75">
        <v>1.0</v>
      </c>
      <c r="E996" s="66">
        <v>2.0</v>
      </c>
      <c r="F996" s="66">
        <v>5.0</v>
      </c>
      <c r="G996" s="64">
        <v>1.0</v>
      </c>
      <c r="H996" s="67"/>
      <c r="I996" s="67"/>
      <c r="J996" s="67"/>
      <c r="K996" s="65"/>
      <c r="L996" s="67"/>
      <c r="M996" s="67"/>
      <c r="N996" s="67"/>
      <c r="O996" s="67"/>
      <c r="P996" s="67"/>
    </row>
    <row r="997" ht="14.25" customHeight="1">
      <c r="A997" s="49"/>
      <c r="C997" s="69" t="s">
        <v>21</v>
      </c>
      <c r="D997" s="70"/>
      <c r="E997" s="36"/>
      <c r="F997" s="36"/>
      <c r="G997" s="71"/>
      <c r="H997" s="36"/>
      <c r="I997" s="36"/>
      <c r="J997" s="36"/>
      <c r="K997" s="70"/>
      <c r="L997" s="36"/>
      <c r="M997" s="36"/>
      <c r="N997" s="36"/>
      <c r="O997" s="36"/>
      <c r="P997" s="36"/>
    </row>
    <row r="998" ht="14.25" customHeight="1">
      <c r="A998" s="49"/>
      <c r="C998" s="69" t="s">
        <v>22</v>
      </c>
      <c r="D998" s="70"/>
      <c r="E998" s="36"/>
      <c r="F998" s="36"/>
      <c r="G998" s="71"/>
      <c r="H998" s="36"/>
      <c r="I998" s="36"/>
      <c r="J998" s="36"/>
      <c r="K998" s="70"/>
      <c r="L998" s="36"/>
      <c r="M998" s="36"/>
      <c r="N998" s="36"/>
      <c r="O998" s="36"/>
      <c r="P998" s="36"/>
    </row>
    <row r="999" ht="14.25" customHeight="1">
      <c r="A999" s="49"/>
      <c r="C999" s="69" t="s">
        <v>23</v>
      </c>
      <c r="D999" s="70"/>
      <c r="E999" s="36"/>
      <c r="F999" s="36"/>
      <c r="G999" s="71"/>
      <c r="H999" s="36"/>
      <c r="I999" s="36"/>
      <c r="J999" s="36"/>
      <c r="K999" s="70"/>
      <c r="L999" s="36"/>
      <c r="M999" s="36"/>
      <c r="N999" s="36"/>
      <c r="O999" s="36"/>
      <c r="P999" s="36"/>
    </row>
    <row r="1000" ht="14.25" customHeight="1">
      <c r="A1000" s="49"/>
      <c r="C1000" s="69" t="s">
        <v>24</v>
      </c>
      <c r="D1000" s="70"/>
      <c r="E1000" s="36"/>
      <c r="F1000" s="36"/>
      <c r="G1000" s="71"/>
      <c r="H1000" s="36"/>
      <c r="I1000" s="36"/>
      <c r="J1000" s="36"/>
      <c r="K1000" s="70"/>
      <c r="L1000" s="36"/>
      <c r="M1000" s="36"/>
      <c r="N1000" s="36"/>
      <c r="O1000" s="36"/>
      <c r="P1000" s="36"/>
    </row>
    <row r="1001" ht="14.25" customHeight="1">
      <c r="A1001" s="49"/>
      <c r="C1001" s="69" t="s">
        <v>25</v>
      </c>
      <c r="D1001" s="70"/>
      <c r="E1001" s="36"/>
      <c r="F1001" s="36"/>
      <c r="G1001" s="71"/>
      <c r="H1001" s="36"/>
      <c r="I1001" s="36"/>
      <c r="J1001" s="36"/>
      <c r="K1001" s="70"/>
      <c r="L1001" s="36"/>
      <c r="M1001" s="36"/>
      <c r="N1001" s="36"/>
      <c r="O1001" s="36"/>
      <c r="P1001" s="36"/>
    </row>
    <row r="1002" ht="14.25" customHeight="1">
      <c r="A1002" s="56"/>
      <c r="B1002" s="57"/>
      <c r="C1002" s="69" t="s">
        <v>26</v>
      </c>
      <c r="D1002" s="72"/>
      <c r="E1002" s="73"/>
      <c r="F1002" s="73"/>
      <c r="G1002" s="74"/>
      <c r="H1002" s="73"/>
      <c r="I1002" s="73"/>
      <c r="J1002" s="73"/>
      <c r="K1002" s="72"/>
      <c r="L1002" s="73"/>
      <c r="M1002" s="73"/>
      <c r="N1002" s="73"/>
      <c r="O1002" s="73"/>
      <c r="P1002" s="73"/>
    </row>
    <row r="1003" ht="14.25" customHeight="1">
      <c r="A1003" s="91">
        <v>45666.0</v>
      </c>
      <c r="B1003" s="66" t="s">
        <v>43</v>
      </c>
      <c r="C1003" s="64" t="s">
        <v>20</v>
      </c>
      <c r="D1003" s="75">
        <v>2.0</v>
      </c>
      <c r="E1003" s="66">
        <v>2.0</v>
      </c>
      <c r="F1003" s="67"/>
      <c r="G1003" s="64">
        <v>6.0</v>
      </c>
      <c r="H1003" s="66">
        <v>1.0</v>
      </c>
      <c r="I1003" s="67"/>
      <c r="J1003" s="67"/>
      <c r="K1003" s="65"/>
      <c r="L1003" s="67"/>
      <c r="M1003" s="67"/>
      <c r="N1003" s="67"/>
      <c r="O1003" s="67"/>
      <c r="P1003" s="67"/>
    </row>
    <row r="1004" ht="14.25" customHeight="1">
      <c r="A1004" s="49"/>
      <c r="C1004" s="69" t="s">
        <v>21</v>
      </c>
      <c r="D1004" s="70"/>
      <c r="E1004" s="36"/>
      <c r="F1004" s="36"/>
      <c r="G1004" s="71"/>
      <c r="H1004" s="36"/>
      <c r="I1004" s="36"/>
      <c r="J1004" s="36"/>
      <c r="K1004" s="70"/>
      <c r="L1004" s="36"/>
      <c r="M1004" s="36"/>
      <c r="N1004" s="36"/>
      <c r="O1004" s="36"/>
      <c r="P1004" s="36"/>
    </row>
    <row r="1005" ht="14.25" customHeight="1">
      <c r="A1005" s="49"/>
      <c r="C1005" s="69" t="s">
        <v>22</v>
      </c>
      <c r="D1005" s="70"/>
      <c r="E1005" s="36"/>
      <c r="F1005" s="36"/>
      <c r="G1005" s="71"/>
      <c r="H1005" s="36"/>
      <c r="I1005" s="36"/>
      <c r="J1005" s="36"/>
      <c r="K1005" s="70"/>
      <c r="L1005" s="36"/>
      <c r="M1005" s="36"/>
      <c r="N1005" s="36"/>
      <c r="O1005" s="36"/>
      <c r="P1005" s="36"/>
    </row>
    <row r="1006" ht="14.25" customHeight="1">
      <c r="A1006" s="49"/>
      <c r="C1006" s="69" t="s">
        <v>23</v>
      </c>
      <c r="D1006" s="70"/>
      <c r="E1006" s="36"/>
      <c r="F1006" s="36"/>
      <c r="G1006" s="71"/>
      <c r="H1006" s="36"/>
      <c r="I1006" s="36"/>
      <c r="J1006" s="36"/>
      <c r="K1006" s="70"/>
      <c r="L1006" s="36"/>
      <c r="M1006" s="36"/>
      <c r="N1006" s="36"/>
      <c r="O1006" s="36"/>
      <c r="P1006" s="36"/>
    </row>
    <row r="1007" ht="14.25" customHeight="1">
      <c r="A1007" s="49"/>
      <c r="C1007" s="69" t="s">
        <v>24</v>
      </c>
      <c r="D1007" s="70"/>
      <c r="E1007" s="36"/>
      <c r="F1007" s="36"/>
      <c r="G1007" s="71"/>
      <c r="H1007" s="36"/>
      <c r="I1007" s="36"/>
      <c r="J1007" s="36"/>
      <c r="K1007" s="70"/>
      <c r="L1007" s="36"/>
      <c r="M1007" s="36"/>
      <c r="N1007" s="36"/>
      <c r="O1007" s="36"/>
      <c r="P1007" s="36"/>
    </row>
    <row r="1008" ht="14.25" customHeight="1">
      <c r="A1008" s="49"/>
      <c r="C1008" s="69" t="s">
        <v>25</v>
      </c>
      <c r="D1008" s="70"/>
      <c r="E1008" s="36"/>
      <c r="F1008" s="36"/>
      <c r="G1008" s="71"/>
      <c r="H1008" s="36"/>
      <c r="I1008" s="36"/>
      <c r="J1008" s="36"/>
      <c r="K1008" s="70"/>
      <c r="L1008" s="36"/>
      <c r="M1008" s="36"/>
      <c r="N1008" s="36"/>
      <c r="O1008" s="36"/>
      <c r="P1008" s="36"/>
    </row>
    <row r="1009" ht="14.25" customHeight="1">
      <c r="A1009" s="56"/>
      <c r="B1009" s="57"/>
      <c r="C1009" s="69" t="s">
        <v>26</v>
      </c>
      <c r="D1009" s="70"/>
      <c r="E1009" s="36"/>
      <c r="F1009" s="36"/>
      <c r="G1009" s="71"/>
      <c r="H1009" s="36"/>
      <c r="I1009" s="36"/>
      <c r="J1009" s="36"/>
      <c r="K1009" s="70"/>
      <c r="L1009" s="36"/>
      <c r="M1009" s="36"/>
      <c r="N1009" s="36"/>
      <c r="O1009" s="36"/>
      <c r="P1009" s="36"/>
    </row>
    <row r="1010" ht="14.25" customHeight="1">
      <c r="A1010" s="91">
        <v>45667.0</v>
      </c>
      <c r="B1010" s="66" t="s">
        <v>42</v>
      </c>
      <c r="C1010" s="64" t="s">
        <v>20</v>
      </c>
      <c r="D1010" s="75">
        <v>2.0</v>
      </c>
      <c r="E1010" s="66">
        <v>3.0</v>
      </c>
      <c r="F1010" s="67"/>
      <c r="G1010" s="68"/>
      <c r="H1010" s="67"/>
      <c r="I1010" s="67"/>
      <c r="J1010" s="67"/>
      <c r="K1010" s="65"/>
      <c r="L1010" s="67"/>
      <c r="M1010" s="67"/>
      <c r="N1010" s="67"/>
      <c r="O1010" s="67"/>
      <c r="P1010" s="67"/>
    </row>
    <row r="1011" ht="14.25" customHeight="1">
      <c r="A1011" s="49"/>
      <c r="C1011" s="69" t="s">
        <v>21</v>
      </c>
      <c r="D1011" s="70"/>
      <c r="E1011" s="36"/>
      <c r="F1011" s="36"/>
      <c r="G1011" s="71"/>
      <c r="H1011" s="36"/>
      <c r="I1011" s="36"/>
      <c r="J1011" s="36"/>
      <c r="K1011" s="70"/>
      <c r="L1011" s="36"/>
      <c r="M1011" s="36"/>
      <c r="N1011" s="36"/>
      <c r="O1011" s="36"/>
      <c r="P1011" s="36"/>
    </row>
    <row r="1012" ht="14.25" customHeight="1">
      <c r="A1012" s="49"/>
      <c r="C1012" s="69" t="s">
        <v>22</v>
      </c>
      <c r="D1012" s="70"/>
      <c r="E1012" s="36"/>
      <c r="F1012" s="36"/>
      <c r="G1012" s="71"/>
      <c r="H1012" s="36"/>
      <c r="I1012" s="36"/>
      <c r="J1012" s="36"/>
      <c r="K1012" s="70"/>
      <c r="L1012" s="36"/>
      <c r="M1012" s="36"/>
      <c r="N1012" s="36"/>
      <c r="O1012" s="36"/>
      <c r="P1012" s="36"/>
    </row>
    <row r="1013" ht="14.25" customHeight="1">
      <c r="A1013" s="49"/>
      <c r="C1013" s="69" t="s">
        <v>23</v>
      </c>
      <c r="D1013" s="70"/>
      <c r="E1013" s="36"/>
      <c r="F1013" s="36"/>
      <c r="G1013" s="71"/>
      <c r="H1013" s="36"/>
      <c r="I1013" s="36"/>
      <c r="J1013" s="36"/>
      <c r="K1013" s="70"/>
      <c r="L1013" s="36"/>
      <c r="M1013" s="36"/>
      <c r="N1013" s="36"/>
      <c r="O1013" s="36"/>
      <c r="P1013" s="36"/>
    </row>
    <row r="1014" ht="14.25" customHeight="1">
      <c r="A1014" s="49"/>
      <c r="C1014" s="69" t="s">
        <v>24</v>
      </c>
      <c r="D1014" s="70"/>
      <c r="E1014" s="36"/>
      <c r="F1014" s="36"/>
      <c r="G1014" s="71"/>
      <c r="H1014" s="36"/>
      <c r="I1014" s="36"/>
      <c r="J1014" s="36"/>
      <c r="K1014" s="70"/>
      <c r="L1014" s="36"/>
      <c r="M1014" s="36"/>
      <c r="N1014" s="36"/>
      <c r="O1014" s="36"/>
      <c r="P1014" s="36"/>
    </row>
    <row r="1015" ht="14.25" customHeight="1">
      <c r="A1015" s="49"/>
      <c r="C1015" s="69" t="s">
        <v>25</v>
      </c>
      <c r="D1015" s="70"/>
      <c r="E1015" s="36"/>
      <c r="F1015" s="36"/>
      <c r="G1015" s="71"/>
      <c r="H1015" s="36"/>
      <c r="I1015" s="36"/>
      <c r="J1015" s="36"/>
      <c r="K1015" s="70"/>
      <c r="L1015" s="36"/>
      <c r="M1015" s="36"/>
      <c r="N1015" s="36"/>
      <c r="O1015" s="36"/>
      <c r="P1015" s="36"/>
    </row>
    <row r="1016" ht="14.25" customHeight="1">
      <c r="A1016" s="56"/>
      <c r="B1016" s="57"/>
      <c r="C1016" s="69" t="s">
        <v>26</v>
      </c>
      <c r="D1016" s="72"/>
      <c r="E1016" s="73"/>
      <c r="F1016" s="73"/>
      <c r="G1016" s="74"/>
      <c r="H1016" s="73"/>
      <c r="I1016" s="73"/>
      <c r="J1016" s="73"/>
      <c r="K1016" s="72"/>
      <c r="L1016" s="73"/>
      <c r="M1016" s="73"/>
      <c r="N1016" s="73"/>
      <c r="O1016" s="73"/>
      <c r="P1016" s="73"/>
    </row>
    <row r="1017" ht="14.25" customHeight="1">
      <c r="A1017" s="91">
        <v>45670.0</v>
      </c>
      <c r="B1017" s="66" t="s">
        <v>44</v>
      </c>
      <c r="C1017" s="64" t="s">
        <v>20</v>
      </c>
      <c r="D1017" s="75">
        <v>3.0</v>
      </c>
      <c r="E1017" s="66">
        <v>1.0</v>
      </c>
      <c r="F1017" s="67"/>
      <c r="G1017" s="64">
        <v>1.0</v>
      </c>
      <c r="H1017" s="67"/>
      <c r="I1017" s="66">
        <v>2.0</v>
      </c>
      <c r="J1017" s="66">
        <v>1.0</v>
      </c>
      <c r="K1017" s="65"/>
      <c r="L1017" s="67"/>
      <c r="M1017" s="67"/>
      <c r="N1017" s="67"/>
      <c r="O1017" s="67"/>
      <c r="P1017" s="67"/>
    </row>
    <row r="1018" ht="14.25" customHeight="1">
      <c r="A1018" s="49"/>
      <c r="C1018" s="69" t="s">
        <v>21</v>
      </c>
      <c r="D1018" s="70"/>
      <c r="E1018" s="36"/>
      <c r="F1018" s="36"/>
      <c r="G1018" s="71"/>
      <c r="H1018" s="36"/>
      <c r="I1018" s="36"/>
      <c r="J1018" s="36"/>
      <c r="K1018" s="70"/>
      <c r="L1018" s="36"/>
      <c r="M1018" s="36"/>
      <c r="N1018" s="36"/>
      <c r="O1018" s="36"/>
      <c r="P1018" s="36"/>
    </row>
    <row r="1019" ht="14.25" customHeight="1">
      <c r="A1019" s="49"/>
      <c r="C1019" s="69" t="s">
        <v>22</v>
      </c>
      <c r="D1019" s="70"/>
      <c r="E1019" s="36"/>
      <c r="F1019" s="36"/>
      <c r="G1019" s="71"/>
      <c r="H1019" s="36"/>
      <c r="I1019" s="36"/>
      <c r="J1019" s="36"/>
      <c r="K1019" s="70"/>
      <c r="L1019" s="36"/>
      <c r="M1019" s="36"/>
      <c r="N1019" s="36"/>
      <c r="O1019" s="36"/>
      <c r="P1019" s="36"/>
    </row>
    <row r="1020" ht="14.25" customHeight="1">
      <c r="A1020" s="49"/>
      <c r="C1020" s="69" t="s">
        <v>23</v>
      </c>
      <c r="D1020" s="70"/>
      <c r="E1020" s="36"/>
      <c r="F1020" s="36"/>
      <c r="G1020" s="71"/>
      <c r="H1020" s="36"/>
      <c r="I1020" s="36"/>
      <c r="J1020" s="36"/>
      <c r="K1020" s="70"/>
      <c r="L1020" s="36"/>
      <c r="M1020" s="36"/>
      <c r="N1020" s="36"/>
      <c r="O1020" s="36"/>
      <c r="P1020" s="36"/>
    </row>
    <row r="1021" ht="14.25" customHeight="1">
      <c r="A1021" s="49"/>
      <c r="C1021" s="69" t="s">
        <v>24</v>
      </c>
      <c r="D1021" s="70"/>
      <c r="E1021" s="36"/>
      <c r="F1021" s="36"/>
      <c r="G1021" s="71"/>
      <c r="H1021" s="36"/>
      <c r="I1021" s="36"/>
      <c r="J1021" s="36"/>
      <c r="K1021" s="70"/>
      <c r="L1021" s="36"/>
      <c r="M1021" s="36"/>
      <c r="N1021" s="36"/>
      <c r="O1021" s="36"/>
      <c r="P1021" s="36"/>
    </row>
    <row r="1022" ht="14.25" customHeight="1">
      <c r="A1022" s="49"/>
      <c r="C1022" s="69" t="s">
        <v>25</v>
      </c>
      <c r="D1022" s="70"/>
      <c r="E1022" s="36"/>
      <c r="F1022" s="36"/>
      <c r="G1022" s="71"/>
      <c r="H1022" s="36"/>
      <c r="I1022" s="36"/>
      <c r="J1022" s="36"/>
      <c r="K1022" s="70"/>
      <c r="L1022" s="36"/>
      <c r="M1022" s="36"/>
      <c r="N1022" s="36"/>
      <c r="O1022" s="36"/>
      <c r="P1022" s="36"/>
    </row>
    <row r="1023" ht="14.25" customHeight="1">
      <c r="A1023" s="56"/>
      <c r="B1023" s="57"/>
      <c r="C1023" s="69" t="s">
        <v>26</v>
      </c>
      <c r="D1023" s="70"/>
      <c r="E1023" s="36"/>
      <c r="F1023" s="36"/>
      <c r="G1023" s="71"/>
      <c r="H1023" s="36"/>
      <c r="I1023" s="36"/>
      <c r="J1023" s="36"/>
      <c r="K1023" s="70"/>
      <c r="L1023" s="36"/>
      <c r="M1023" s="36"/>
      <c r="N1023" s="36"/>
      <c r="O1023" s="36"/>
      <c r="P1023" s="36"/>
    </row>
    <row r="1024" ht="14.25" customHeight="1">
      <c r="A1024" s="91">
        <v>45670.0</v>
      </c>
      <c r="B1024" s="66" t="s">
        <v>43</v>
      </c>
      <c r="C1024" s="64" t="s">
        <v>20</v>
      </c>
      <c r="D1024" s="75">
        <v>7.0</v>
      </c>
      <c r="E1024" s="66">
        <v>6.0</v>
      </c>
      <c r="F1024" s="67"/>
      <c r="G1024" s="68"/>
      <c r="H1024" s="67"/>
      <c r="I1024" s="67"/>
      <c r="J1024" s="66">
        <v>1.0</v>
      </c>
      <c r="K1024" s="65"/>
      <c r="L1024" s="67"/>
      <c r="M1024" s="67"/>
      <c r="N1024" s="67"/>
      <c r="O1024" s="67"/>
      <c r="P1024" s="67"/>
    </row>
    <row r="1025" ht="14.25" customHeight="1">
      <c r="A1025" s="49"/>
      <c r="C1025" s="69" t="s">
        <v>21</v>
      </c>
      <c r="D1025" s="70"/>
      <c r="E1025" s="36"/>
      <c r="F1025" s="36"/>
      <c r="G1025" s="71"/>
      <c r="H1025" s="36"/>
      <c r="I1025" s="36"/>
      <c r="J1025" s="36"/>
      <c r="K1025" s="70"/>
      <c r="L1025" s="36"/>
      <c r="M1025" s="36"/>
      <c r="N1025" s="36"/>
      <c r="O1025" s="36"/>
      <c r="P1025" s="36"/>
    </row>
    <row r="1026" ht="14.25" customHeight="1">
      <c r="A1026" s="49"/>
      <c r="C1026" s="69" t="s">
        <v>22</v>
      </c>
      <c r="D1026" s="70"/>
      <c r="E1026" s="36"/>
      <c r="F1026" s="36"/>
      <c r="G1026" s="71"/>
      <c r="H1026" s="36"/>
      <c r="I1026" s="36"/>
      <c r="J1026" s="36"/>
      <c r="K1026" s="70"/>
      <c r="L1026" s="36"/>
      <c r="M1026" s="36"/>
      <c r="N1026" s="36"/>
      <c r="O1026" s="36"/>
      <c r="P1026" s="36"/>
    </row>
    <row r="1027" ht="14.25" customHeight="1">
      <c r="A1027" s="49"/>
      <c r="C1027" s="69" t="s">
        <v>23</v>
      </c>
      <c r="D1027" s="70"/>
      <c r="E1027" s="36"/>
      <c r="F1027" s="36"/>
      <c r="G1027" s="71"/>
      <c r="H1027" s="36"/>
      <c r="I1027" s="36"/>
      <c r="J1027" s="36"/>
      <c r="K1027" s="70"/>
      <c r="L1027" s="36"/>
      <c r="M1027" s="36"/>
      <c r="N1027" s="36"/>
      <c r="O1027" s="36"/>
      <c r="P1027" s="36"/>
    </row>
    <row r="1028" ht="14.25" customHeight="1">
      <c r="A1028" s="49"/>
      <c r="C1028" s="69" t="s">
        <v>24</v>
      </c>
      <c r="D1028" s="70"/>
      <c r="E1028" s="36"/>
      <c r="F1028" s="36"/>
      <c r="G1028" s="71"/>
      <c r="H1028" s="36"/>
      <c r="I1028" s="36"/>
      <c r="J1028" s="36"/>
      <c r="K1028" s="70"/>
      <c r="L1028" s="36"/>
      <c r="M1028" s="36"/>
      <c r="N1028" s="36"/>
      <c r="O1028" s="36"/>
      <c r="P1028" s="36"/>
    </row>
    <row r="1029" ht="14.25" customHeight="1">
      <c r="A1029" s="49"/>
      <c r="C1029" s="69" t="s">
        <v>25</v>
      </c>
      <c r="D1029" s="70"/>
      <c r="E1029" s="36"/>
      <c r="F1029" s="36"/>
      <c r="G1029" s="71"/>
      <c r="H1029" s="36"/>
      <c r="I1029" s="36"/>
      <c r="J1029" s="36"/>
      <c r="K1029" s="70"/>
      <c r="L1029" s="36"/>
      <c r="M1029" s="36"/>
      <c r="N1029" s="36"/>
      <c r="O1029" s="36"/>
      <c r="P1029" s="36"/>
    </row>
    <row r="1030" ht="14.25" customHeight="1">
      <c r="A1030" s="56"/>
      <c r="B1030" s="57"/>
      <c r="C1030" s="69" t="s">
        <v>26</v>
      </c>
      <c r="D1030" s="72"/>
      <c r="E1030" s="73"/>
      <c r="F1030" s="73"/>
      <c r="G1030" s="74"/>
      <c r="H1030" s="73"/>
      <c r="I1030" s="73"/>
      <c r="J1030" s="73"/>
      <c r="K1030" s="72"/>
      <c r="L1030" s="73"/>
      <c r="M1030" s="73"/>
      <c r="N1030" s="73"/>
      <c r="O1030" s="73"/>
      <c r="P1030" s="73"/>
    </row>
    <row r="1031" ht="14.25" customHeight="1">
      <c r="A1031" s="91">
        <v>45672.0</v>
      </c>
      <c r="B1031" s="66" t="s">
        <v>42</v>
      </c>
      <c r="C1031" s="64" t="s">
        <v>20</v>
      </c>
      <c r="D1031" s="75">
        <v>5.0</v>
      </c>
      <c r="E1031" s="66">
        <v>2.0</v>
      </c>
      <c r="F1031" s="67"/>
      <c r="G1031" s="68"/>
      <c r="H1031" s="67"/>
      <c r="I1031" s="66">
        <v>1.0</v>
      </c>
      <c r="J1031" s="67"/>
      <c r="K1031" s="65"/>
      <c r="L1031" s="67"/>
      <c r="M1031" s="67"/>
      <c r="N1031" s="67"/>
      <c r="O1031" s="67"/>
      <c r="P1031" s="67"/>
    </row>
    <row r="1032" ht="14.25" customHeight="1">
      <c r="A1032" s="49"/>
      <c r="C1032" s="69" t="s">
        <v>21</v>
      </c>
      <c r="D1032" s="70"/>
      <c r="E1032" s="36"/>
      <c r="F1032" s="36"/>
      <c r="G1032" s="71"/>
      <c r="H1032" s="36"/>
      <c r="I1032" s="36"/>
      <c r="J1032" s="36"/>
      <c r="K1032" s="70"/>
      <c r="L1032" s="36"/>
      <c r="M1032" s="36"/>
      <c r="N1032" s="36"/>
      <c r="O1032" s="36"/>
      <c r="P1032" s="36"/>
    </row>
    <row r="1033" ht="14.25" customHeight="1">
      <c r="A1033" s="49"/>
      <c r="C1033" s="69" t="s">
        <v>22</v>
      </c>
      <c r="D1033" s="70"/>
      <c r="E1033" s="36"/>
      <c r="F1033" s="36"/>
      <c r="G1033" s="71"/>
      <c r="H1033" s="36"/>
      <c r="I1033" s="36"/>
      <c r="J1033" s="36"/>
      <c r="K1033" s="70"/>
      <c r="L1033" s="36"/>
      <c r="M1033" s="36"/>
      <c r="N1033" s="36"/>
      <c r="O1033" s="36"/>
      <c r="P1033" s="36"/>
    </row>
    <row r="1034" ht="14.25" customHeight="1">
      <c r="A1034" s="49"/>
      <c r="C1034" s="69" t="s">
        <v>23</v>
      </c>
      <c r="D1034" s="70"/>
      <c r="E1034" s="36"/>
      <c r="F1034" s="36"/>
      <c r="G1034" s="71"/>
      <c r="H1034" s="36"/>
      <c r="I1034" s="36"/>
      <c r="J1034" s="36"/>
      <c r="K1034" s="70"/>
      <c r="L1034" s="36"/>
      <c r="M1034" s="36"/>
      <c r="N1034" s="36"/>
      <c r="O1034" s="36"/>
      <c r="P1034" s="36"/>
    </row>
    <row r="1035" ht="14.25" customHeight="1">
      <c r="A1035" s="49"/>
      <c r="C1035" s="69" t="s">
        <v>24</v>
      </c>
      <c r="D1035" s="70"/>
      <c r="E1035" s="36"/>
      <c r="F1035" s="36"/>
      <c r="G1035" s="71"/>
      <c r="H1035" s="36"/>
      <c r="I1035" s="36"/>
      <c r="J1035" s="36"/>
      <c r="K1035" s="70"/>
      <c r="L1035" s="36"/>
      <c r="M1035" s="36"/>
      <c r="N1035" s="36"/>
      <c r="O1035" s="36"/>
      <c r="P1035" s="36"/>
    </row>
    <row r="1036" ht="14.25" customHeight="1">
      <c r="A1036" s="49"/>
      <c r="C1036" s="69" t="s">
        <v>25</v>
      </c>
      <c r="D1036" s="70"/>
      <c r="E1036" s="36"/>
      <c r="F1036" s="36"/>
      <c r="G1036" s="71"/>
      <c r="H1036" s="36"/>
      <c r="I1036" s="36"/>
      <c r="J1036" s="36"/>
      <c r="K1036" s="70"/>
      <c r="L1036" s="36"/>
      <c r="M1036" s="36"/>
      <c r="N1036" s="36"/>
      <c r="O1036" s="36"/>
      <c r="P1036" s="36"/>
    </row>
    <row r="1037" ht="14.25" customHeight="1">
      <c r="A1037" s="56"/>
      <c r="B1037" s="57"/>
      <c r="C1037" s="69" t="s">
        <v>26</v>
      </c>
      <c r="D1037" s="70"/>
      <c r="E1037" s="36"/>
      <c r="F1037" s="36"/>
      <c r="G1037" s="71"/>
      <c r="H1037" s="36"/>
      <c r="I1037" s="36"/>
      <c r="J1037" s="36"/>
      <c r="K1037" s="70"/>
      <c r="L1037" s="36"/>
      <c r="M1037" s="36"/>
      <c r="N1037" s="36"/>
      <c r="O1037" s="36"/>
      <c r="P1037" s="36"/>
    </row>
    <row r="1038" ht="14.25" customHeight="1">
      <c r="A1038" s="91">
        <v>45672.0</v>
      </c>
      <c r="B1038" s="66" t="s">
        <v>43</v>
      </c>
      <c r="C1038" s="64" t="s">
        <v>20</v>
      </c>
      <c r="D1038" s="75">
        <v>12.0</v>
      </c>
      <c r="E1038" s="67"/>
      <c r="F1038" s="67"/>
      <c r="G1038" s="68"/>
      <c r="H1038" s="66">
        <v>7.0</v>
      </c>
      <c r="I1038" s="67"/>
      <c r="J1038" s="67"/>
      <c r="K1038" s="65"/>
      <c r="L1038" s="67"/>
      <c r="M1038" s="67"/>
      <c r="N1038" s="67"/>
      <c r="O1038" s="67"/>
      <c r="P1038" s="67"/>
    </row>
    <row r="1039" ht="14.25" customHeight="1">
      <c r="A1039" s="49"/>
      <c r="C1039" s="69" t="s">
        <v>21</v>
      </c>
      <c r="D1039" s="70"/>
      <c r="E1039" s="36"/>
      <c r="F1039" s="36"/>
      <c r="G1039" s="71"/>
      <c r="H1039" s="36"/>
      <c r="I1039" s="36"/>
      <c r="J1039" s="36"/>
      <c r="K1039" s="70"/>
      <c r="L1039" s="36"/>
      <c r="M1039" s="36"/>
      <c r="N1039" s="36"/>
      <c r="O1039" s="36"/>
      <c r="P1039" s="36"/>
    </row>
    <row r="1040" ht="14.25" customHeight="1">
      <c r="A1040" s="49"/>
      <c r="C1040" s="69" t="s">
        <v>22</v>
      </c>
      <c r="D1040" s="70"/>
      <c r="E1040" s="36"/>
      <c r="F1040" s="36"/>
      <c r="G1040" s="71"/>
      <c r="H1040" s="36"/>
      <c r="I1040" s="36"/>
      <c r="J1040" s="36"/>
      <c r="K1040" s="70"/>
      <c r="L1040" s="36"/>
      <c r="M1040" s="36"/>
      <c r="N1040" s="36"/>
      <c r="O1040" s="36"/>
      <c r="P1040" s="36"/>
    </row>
    <row r="1041" ht="14.25" customHeight="1">
      <c r="A1041" s="49"/>
      <c r="C1041" s="69" t="s">
        <v>23</v>
      </c>
      <c r="D1041" s="70"/>
      <c r="E1041" s="36"/>
      <c r="F1041" s="36"/>
      <c r="G1041" s="71"/>
      <c r="H1041" s="36"/>
      <c r="I1041" s="36"/>
      <c r="J1041" s="36"/>
      <c r="K1041" s="70"/>
      <c r="L1041" s="36"/>
      <c r="M1041" s="36"/>
      <c r="N1041" s="36"/>
      <c r="O1041" s="36"/>
      <c r="P1041" s="36"/>
    </row>
    <row r="1042" ht="14.25" customHeight="1">
      <c r="A1042" s="49"/>
      <c r="C1042" s="69" t="s">
        <v>24</v>
      </c>
      <c r="D1042" s="70"/>
      <c r="E1042" s="36"/>
      <c r="F1042" s="36"/>
      <c r="G1042" s="71"/>
      <c r="H1042" s="36"/>
      <c r="I1042" s="36"/>
      <c r="J1042" s="36"/>
      <c r="K1042" s="70"/>
      <c r="L1042" s="36"/>
      <c r="M1042" s="36"/>
      <c r="N1042" s="36"/>
      <c r="O1042" s="36"/>
      <c r="P1042" s="36"/>
    </row>
    <row r="1043" ht="14.25" customHeight="1">
      <c r="A1043" s="49"/>
      <c r="C1043" s="69" t="s">
        <v>25</v>
      </c>
      <c r="D1043" s="70"/>
      <c r="E1043" s="36"/>
      <c r="F1043" s="36"/>
      <c r="G1043" s="71"/>
      <c r="H1043" s="36"/>
      <c r="I1043" s="36"/>
      <c r="J1043" s="36"/>
      <c r="K1043" s="70"/>
      <c r="L1043" s="36"/>
      <c r="M1043" s="36"/>
      <c r="N1043" s="36"/>
      <c r="O1043" s="36"/>
      <c r="P1043" s="36"/>
    </row>
    <row r="1044" ht="14.25" customHeight="1">
      <c r="A1044" s="56"/>
      <c r="B1044" s="57"/>
      <c r="C1044" s="77" t="s">
        <v>26</v>
      </c>
      <c r="D1044" s="72"/>
      <c r="E1044" s="73"/>
      <c r="F1044" s="73"/>
      <c r="G1044" s="74"/>
      <c r="H1044" s="73"/>
      <c r="I1044" s="73"/>
      <c r="J1044" s="73"/>
      <c r="K1044" s="72"/>
      <c r="L1044" s="73"/>
      <c r="M1044" s="73"/>
      <c r="N1044" s="73"/>
      <c r="O1044" s="73"/>
      <c r="P1044" s="73"/>
    </row>
    <row r="1045" ht="14.25" customHeight="1">
      <c r="A1045" s="91">
        <v>45673.0</v>
      </c>
      <c r="B1045" s="66" t="s">
        <v>44</v>
      </c>
      <c r="C1045" s="64" t="s">
        <v>20</v>
      </c>
      <c r="D1045" s="65"/>
      <c r="E1045" s="66">
        <v>2.0</v>
      </c>
      <c r="F1045" s="67"/>
      <c r="G1045" s="68"/>
      <c r="H1045" s="67"/>
      <c r="I1045" s="66">
        <v>1.0</v>
      </c>
      <c r="J1045" s="67"/>
      <c r="K1045" s="65"/>
      <c r="L1045" s="67"/>
      <c r="M1045" s="67"/>
      <c r="N1045" s="66">
        <v>1.0</v>
      </c>
      <c r="O1045" s="67"/>
      <c r="P1045" s="67"/>
    </row>
    <row r="1046" ht="14.25" customHeight="1">
      <c r="A1046" s="49"/>
      <c r="C1046" s="69" t="s">
        <v>21</v>
      </c>
      <c r="D1046" s="70"/>
      <c r="E1046" s="36"/>
      <c r="F1046" s="36"/>
      <c r="G1046" s="71"/>
      <c r="H1046" s="36"/>
      <c r="I1046" s="36"/>
      <c r="J1046" s="36"/>
      <c r="K1046" s="70"/>
      <c r="L1046" s="36"/>
      <c r="M1046" s="36"/>
      <c r="N1046" s="36"/>
      <c r="O1046" s="36"/>
      <c r="P1046" s="36"/>
    </row>
    <row r="1047" ht="14.25" customHeight="1">
      <c r="A1047" s="49"/>
      <c r="C1047" s="69" t="s">
        <v>22</v>
      </c>
      <c r="D1047" s="70"/>
      <c r="E1047" s="36"/>
      <c r="F1047" s="36"/>
      <c r="G1047" s="71"/>
      <c r="H1047" s="36"/>
      <c r="I1047" s="36"/>
      <c r="J1047" s="36"/>
      <c r="K1047" s="70"/>
      <c r="L1047" s="36"/>
      <c r="M1047" s="36"/>
      <c r="N1047" s="36"/>
      <c r="O1047" s="36"/>
      <c r="P1047" s="36"/>
    </row>
    <row r="1048" ht="14.25" customHeight="1">
      <c r="A1048" s="49"/>
      <c r="C1048" s="69" t="s">
        <v>23</v>
      </c>
      <c r="D1048" s="70"/>
      <c r="E1048" s="36"/>
      <c r="F1048" s="36"/>
      <c r="G1048" s="71"/>
      <c r="H1048" s="36"/>
      <c r="I1048" s="36"/>
      <c r="J1048" s="36"/>
      <c r="K1048" s="70"/>
      <c r="L1048" s="36"/>
      <c r="M1048" s="36"/>
      <c r="N1048" s="36"/>
      <c r="O1048" s="36"/>
      <c r="P1048" s="36"/>
    </row>
    <row r="1049" ht="14.25" customHeight="1">
      <c r="A1049" s="49"/>
      <c r="C1049" s="69" t="s">
        <v>24</v>
      </c>
      <c r="D1049" s="70"/>
      <c r="E1049" s="36"/>
      <c r="F1049" s="36"/>
      <c r="G1049" s="71"/>
      <c r="H1049" s="36"/>
      <c r="I1049" s="36"/>
      <c r="J1049" s="36"/>
      <c r="K1049" s="70"/>
      <c r="L1049" s="36"/>
      <c r="M1049" s="36"/>
      <c r="N1049" s="36"/>
      <c r="O1049" s="36"/>
      <c r="P1049" s="36"/>
    </row>
    <row r="1050" ht="14.25" customHeight="1">
      <c r="A1050" s="49"/>
      <c r="C1050" s="69" t="s">
        <v>25</v>
      </c>
      <c r="D1050" s="70"/>
      <c r="E1050" s="36"/>
      <c r="F1050" s="36"/>
      <c r="G1050" s="71"/>
      <c r="H1050" s="36"/>
      <c r="I1050" s="36"/>
      <c r="J1050" s="36"/>
      <c r="K1050" s="70"/>
      <c r="L1050" s="36"/>
      <c r="M1050" s="36"/>
      <c r="N1050" s="36"/>
      <c r="O1050" s="36"/>
      <c r="P1050" s="36"/>
    </row>
    <row r="1051" ht="14.25" customHeight="1">
      <c r="A1051" s="56"/>
      <c r="B1051" s="57"/>
      <c r="C1051" s="77" t="s">
        <v>26</v>
      </c>
      <c r="D1051" s="72"/>
      <c r="E1051" s="73"/>
      <c r="F1051" s="73"/>
      <c r="G1051" s="74"/>
      <c r="H1051" s="73"/>
      <c r="I1051" s="73"/>
      <c r="J1051" s="73"/>
      <c r="K1051" s="72"/>
      <c r="L1051" s="73"/>
      <c r="M1051" s="73"/>
      <c r="N1051" s="73"/>
      <c r="O1051" s="73"/>
      <c r="P1051" s="73"/>
    </row>
    <row r="1052" ht="14.25" customHeight="1">
      <c r="A1052" s="91">
        <v>45673.0</v>
      </c>
      <c r="B1052" s="36" t="s">
        <v>45</v>
      </c>
      <c r="C1052" s="64" t="s">
        <v>20</v>
      </c>
      <c r="D1052" s="65"/>
      <c r="E1052" s="66">
        <v>1.0</v>
      </c>
      <c r="F1052" s="67"/>
      <c r="G1052" s="68"/>
      <c r="H1052" s="67"/>
      <c r="I1052" s="67"/>
      <c r="J1052" s="67"/>
      <c r="K1052" s="65"/>
      <c r="L1052" s="67"/>
      <c r="M1052" s="67"/>
      <c r="N1052" s="67"/>
      <c r="O1052" s="67"/>
      <c r="P1052" s="67"/>
    </row>
    <row r="1053" ht="14.25" customHeight="1">
      <c r="A1053" s="49"/>
      <c r="C1053" s="69" t="s">
        <v>21</v>
      </c>
      <c r="D1053" s="70"/>
      <c r="E1053" s="36"/>
      <c r="F1053" s="36"/>
      <c r="G1053" s="71"/>
      <c r="H1053" s="36"/>
      <c r="I1053" s="36"/>
      <c r="J1053" s="36"/>
      <c r="K1053" s="70"/>
      <c r="L1053" s="36"/>
      <c r="M1053" s="36"/>
      <c r="N1053" s="36"/>
      <c r="O1053" s="36"/>
      <c r="P1053" s="36"/>
    </row>
    <row r="1054" ht="14.25" customHeight="1">
      <c r="A1054" s="49"/>
      <c r="C1054" s="69" t="s">
        <v>22</v>
      </c>
      <c r="D1054" s="70"/>
      <c r="E1054" s="36"/>
      <c r="F1054" s="36"/>
      <c r="G1054" s="71"/>
      <c r="H1054" s="36"/>
      <c r="I1054" s="36"/>
      <c r="J1054" s="36"/>
      <c r="K1054" s="70"/>
      <c r="L1054" s="36"/>
      <c r="M1054" s="36"/>
      <c r="N1054" s="36"/>
      <c r="O1054" s="36"/>
      <c r="P1054" s="36"/>
    </row>
    <row r="1055" ht="14.25" customHeight="1">
      <c r="A1055" s="49"/>
      <c r="C1055" s="69" t="s">
        <v>23</v>
      </c>
      <c r="D1055" s="70"/>
      <c r="E1055" s="36"/>
      <c r="F1055" s="36"/>
      <c r="G1055" s="71"/>
      <c r="H1055" s="36"/>
      <c r="I1055" s="36"/>
      <c r="J1055" s="36"/>
      <c r="K1055" s="70"/>
      <c r="L1055" s="36"/>
      <c r="M1055" s="36"/>
      <c r="N1055" s="36"/>
      <c r="O1055" s="36"/>
      <c r="P1055" s="36"/>
    </row>
    <row r="1056" ht="14.25" customHeight="1">
      <c r="A1056" s="49"/>
      <c r="C1056" s="69" t="s">
        <v>24</v>
      </c>
      <c r="D1056" s="70"/>
      <c r="E1056" s="36"/>
      <c r="F1056" s="36"/>
      <c r="G1056" s="71"/>
      <c r="H1056" s="36"/>
      <c r="I1056" s="36"/>
      <c r="J1056" s="36"/>
      <c r="K1056" s="70"/>
      <c r="L1056" s="36"/>
      <c r="M1056" s="36"/>
      <c r="N1056" s="36"/>
      <c r="O1056" s="36"/>
      <c r="P1056" s="36"/>
    </row>
    <row r="1057" ht="14.25" customHeight="1">
      <c r="A1057" s="49"/>
      <c r="C1057" s="69" t="s">
        <v>25</v>
      </c>
      <c r="D1057" s="70"/>
      <c r="E1057" s="36"/>
      <c r="F1057" s="36"/>
      <c r="G1057" s="71"/>
      <c r="H1057" s="36"/>
      <c r="I1057" s="36"/>
      <c r="J1057" s="36"/>
      <c r="K1057" s="70"/>
      <c r="L1057" s="36"/>
      <c r="M1057" s="36"/>
      <c r="N1057" s="36"/>
      <c r="O1057" s="36"/>
      <c r="P1057" s="36"/>
    </row>
    <row r="1058" ht="14.25" customHeight="1">
      <c r="A1058" s="56"/>
      <c r="C1058" s="77" t="s">
        <v>26</v>
      </c>
      <c r="D1058" s="72"/>
      <c r="E1058" s="73"/>
      <c r="F1058" s="73"/>
      <c r="G1058" s="74"/>
      <c r="H1058" s="73"/>
      <c r="I1058" s="73"/>
      <c r="J1058" s="73"/>
      <c r="K1058" s="72"/>
      <c r="L1058" s="73"/>
      <c r="M1058" s="73"/>
      <c r="N1058" s="73"/>
      <c r="O1058" s="73"/>
      <c r="P1058" s="73"/>
    </row>
    <row r="1059" ht="14.25" customHeight="1">
      <c r="A1059" s="91">
        <v>45674.0</v>
      </c>
      <c r="B1059" s="66" t="s">
        <v>42</v>
      </c>
      <c r="C1059" s="64" t="s">
        <v>20</v>
      </c>
      <c r="D1059" s="75">
        <v>8.0</v>
      </c>
      <c r="E1059" s="66">
        <v>2.0</v>
      </c>
      <c r="F1059" s="67"/>
      <c r="G1059" s="64">
        <v>3.0</v>
      </c>
      <c r="H1059" s="67"/>
      <c r="I1059" s="67"/>
      <c r="J1059" s="67"/>
      <c r="K1059" s="65"/>
      <c r="L1059" s="67"/>
      <c r="M1059" s="67"/>
      <c r="N1059" s="67"/>
      <c r="O1059" s="67"/>
      <c r="P1059" s="67"/>
    </row>
    <row r="1060" ht="14.25" customHeight="1">
      <c r="A1060" s="49"/>
      <c r="C1060" s="69" t="s">
        <v>21</v>
      </c>
      <c r="D1060" s="70"/>
      <c r="E1060" s="36"/>
      <c r="F1060" s="36"/>
      <c r="G1060" s="71"/>
      <c r="H1060" s="36"/>
      <c r="I1060" s="36"/>
      <c r="J1060" s="36"/>
      <c r="K1060" s="70"/>
      <c r="L1060" s="36"/>
      <c r="M1060" s="36"/>
      <c r="N1060" s="36"/>
      <c r="O1060" s="36"/>
      <c r="P1060" s="36"/>
    </row>
    <row r="1061" ht="14.25" customHeight="1">
      <c r="A1061" s="49"/>
      <c r="C1061" s="69" t="s">
        <v>22</v>
      </c>
      <c r="D1061" s="70"/>
      <c r="E1061" s="36"/>
      <c r="F1061" s="36"/>
      <c r="G1061" s="71"/>
      <c r="H1061" s="36"/>
      <c r="I1061" s="36"/>
      <c r="J1061" s="36"/>
      <c r="K1061" s="70"/>
      <c r="L1061" s="36"/>
      <c r="M1061" s="36"/>
      <c r="N1061" s="36"/>
      <c r="O1061" s="36"/>
      <c r="P1061" s="36"/>
    </row>
    <row r="1062" ht="14.25" customHeight="1">
      <c r="A1062" s="49"/>
      <c r="C1062" s="69" t="s">
        <v>23</v>
      </c>
      <c r="D1062" s="70"/>
      <c r="E1062" s="36"/>
      <c r="F1062" s="36"/>
      <c r="G1062" s="71"/>
      <c r="H1062" s="36"/>
      <c r="I1062" s="36"/>
      <c r="J1062" s="36"/>
      <c r="K1062" s="70"/>
      <c r="L1062" s="36"/>
      <c r="M1062" s="36"/>
      <c r="N1062" s="36"/>
      <c r="O1062" s="36"/>
      <c r="P1062" s="36"/>
    </row>
    <row r="1063" ht="14.25" customHeight="1">
      <c r="A1063" s="49"/>
      <c r="C1063" s="69" t="s">
        <v>24</v>
      </c>
      <c r="D1063" s="70"/>
      <c r="E1063" s="36"/>
      <c r="F1063" s="36"/>
      <c r="G1063" s="71"/>
      <c r="H1063" s="36"/>
      <c r="I1063" s="36"/>
      <c r="J1063" s="36"/>
      <c r="K1063" s="70"/>
      <c r="L1063" s="36"/>
      <c r="M1063" s="36"/>
      <c r="N1063" s="36"/>
      <c r="O1063" s="36"/>
      <c r="P1063" s="36"/>
    </row>
    <row r="1064" ht="14.25" customHeight="1">
      <c r="A1064" s="49"/>
      <c r="C1064" s="69" t="s">
        <v>25</v>
      </c>
      <c r="D1064" s="70"/>
      <c r="E1064" s="36"/>
      <c r="F1064" s="36"/>
      <c r="G1064" s="71"/>
      <c r="H1064" s="36"/>
      <c r="I1064" s="36"/>
      <c r="J1064" s="36"/>
      <c r="K1064" s="70"/>
      <c r="L1064" s="36"/>
      <c r="M1064" s="36"/>
      <c r="N1064" s="36"/>
      <c r="O1064" s="36"/>
      <c r="P1064" s="36"/>
    </row>
    <row r="1065" ht="14.25" customHeight="1">
      <c r="A1065" s="56"/>
      <c r="B1065" s="57"/>
      <c r="C1065" s="77" t="s">
        <v>26</v>
      </c>
      <c r="D1065" s="72"/>
      <c r="E1065" s="73"/>
      <c r="F1065" s="73"/>
      <c r="G1065" s="74"/>
      <c r="H1065" s="73"/>
      <c r="I1065" s="73"/>
      <c r="J1065" s="73"/>
      <c r="K1065" s="72"/>
      <c r="L1065" s="73"/>
      <c r="M1065" s="73"/>
      <c r="N1065" s="73"/>
      <c r="O1065" s="73"/>
      <c r="P1065" s="73"/>
    </row>
    <row r="1066" ht="14.25" customHeight="1">
      <c r="A1066" s="91">
        <v>45700.0</v>
      </c>
      <c r="B1066" s="66" t="s">
        <v>43</v>
      </c>
      <c r="C1066" s="64" t="s">
        <v>20</v>
      </c>
      <c r="D1066" s="75">
        <v>1.0</v>
      </c>
      <c r="E1066" s="67"/>
      <c r="F1066" s="66">
        <v>4.0</v>
      </c>
      <c r="G1066" s="68"/>
      <c r="H1066" s="67"/>
      <c r="I1066" s="67"/>
      <c r="J1066" s="67"/>
      <c r="K1066" s="65"/>
      <c r="L1066" s="67"/>
      <c r="M1066" s="67"/>
      <c r="N1066" s="66">
        <v>2.0</v>
      </c>
      <c r="O1066" s="67"/>
      <c r="P1066" s="67"/>
    </row>
    <row r="1067" ht="14.25" customHeight="1">
      <c r="A1067" s="49"/>
      <c r="C1067" s="69" t="s">
        <v>21</v>
      </c>
      <c r="D1067" s="70"/>
      <c r="E1067" s="36"/>
      <c r="F1067" s="36"/>
      <c r="G1067" s="71"/>
      <c r="H1067" s="36"/>
      <c r="I1067" s="36"/>
      <c r="J1067" s="36"/>
      <c r="K1067" s="70"/>
      <c r="L1067" s="36"/>
      <c r="M1067" s="36"/>
      <c r="N1067" s="36"/>
      <c r="O1067" s="36"/>
      <c r="P1067" s="36"/>
    </row>
    <row r="1068" ht="14.25" customHeight="1">
      <c r="A1068" s="49"/>
      <c r="C1068" s="69" t="s">
        <v>22</v>
      </c>
      <c r="D1068" s="70"/>
      <c r="E1068" s="36"/>
      <c r="F1068" s="36"/>
      <c r="G1068" s="71"/>
      <c r="H1068" s="36"/>
      <c r="I1068" s="36"/>
      <c r="J1068" s="36"/>
      <c r="K1068" s="70"/>
      <c r="L1068" s="36"/>
      <c r="M1068" s="36"/>
      <c r="N1068" s="36"/>
      <c r="O1068" s="36"/>
      <c r="P1068" s="36"/>
    </row>
    <row r="1069" ht="14.25" customHeight="1">
      <c r="A1069" s="49"/>
      <c r="C1069" s="69" t="s">
        <v>23</v>
      </c>
      <c r="D1069" s="70"/>
      <c r="E1069" s="36"/>
      <c r="F1069" s="16">
        <v>2.0</v>
      </c>
      <c r="G1069" s="71"/>
      <c r="H1069" s="36"/>
      <c r="I1069" s="36"/>
      <c r="J1069" s="36"/>
      <c r="K1069" s="70"/>
      <c r="L1069" s="36"/>
      <c r="M1069" s="36"/>
      <c r="N1069" s="16">
        <v>2.0</v>
      </c>
      <c r="O1069" s="36"/>
      <c r="P1069" s="36"/>
    </row>
    <row r="1070" ht="14.25" customHeight="1">
      <c r="A1070" s="49"/>
      <c r="C1070" s="69" t="s">
        <v>24</v>
      </c>
      <c r="D1070" s="70"/>
      <c r="E1070" s="36"/>
      <c r="F1070" s="16">
        <v>2.0</v>
      </c>
      <c r="G1070" s="71"/>
      <c r="H1070" s="36"/>
      <c r="I1070" s="36"/>
      <c r="J1070" s="36"/>
      <c r="K1070" s="70"/>
      <c r="L1070" s="36"/>
      <c r="M1070" s="36"/>
      <c r="N1070" s="36"/>
      <c r="O1070" s="36"/>
      <c r="P1070" s="36"/>
    </row>
    <row r="1071" ht="14.25" customHeight="1">
      <c r="A1071" s="49"/>
      <c r="C1071" s="69" t="s">
        <v>25</v>
      </c>
      <c r="D1071" s="70"/>
      <c r="E1071" s="36"/>
      <c r="F1071" s="36"/>
      <c r="G1071" s="71"/>
      <c r="H1071" s="36"/>
      <c r="I1071" s="36"/>
      <c r="J1071" s="36"/>
      <c r="K1071" s="70"/>
      <c r="L1071" s="36"/>
      <c r="M1071" s="36"/>
      <c r="N1071" s="36"/>
      <c r="O1071" s="36"/>
      <c r="P1071" s="36"/>
    </row>
    <row r="1072" ht="14.25" customHeight="1">
      <c r="A1072" s="56"/>
      <c r="B1072" s="57"/>
      <c r="C1072" s="77" t="s">
        <v>26</v>
      </c>
      <c r="D1072" s="72"/>
      <c r="E1072" s="73"/>
      <c r="F1072" s="73"/>
      <c r="G1072" s="74"/>
      <c r="H1072" s="73"/>
      <c r="I1072" s="73"/>
      <c r="J1072" s="73"/>
      <c r="K1072" s="72"/>
      <c r="L1072" s="73"/>
      <c r="M1072" s="73"/>
      <c r="N1072" s="73"/>
      <c r="O1072" s="73"/>
      <c r="P1072" s="73"/>
    </row>
    <row r="1073" ht="14.25" customHeight="1">
      <c r="A1073" s="91">
        <v>45700.0</v>
      </c>
      <c r="B1073" s="66" t="s">
        <v>44</v>
      </c>
      <c r="C1073" s="64" t="s">
        <v>20</v>
      </c>
      <c r="D1073" s="75">
        <v>2.0</v>
      </c>
      <c r="E1073" s="67"/>
      <c r="F1073" s="66">
        <v>2.0</v>
      </c>
      <c r="G1073" s="68"/>
      <c r="H1073" s="67"/>
      <c r="I1073" s="67"/>
      <c r="J1073" s="67"/>
      <c r="K1073" s="65"/>
      <c r="L1073" s="67"/>
      <c r="M1073" s="67"/>
      <c r="N1073" s="66">
        <v>1.0</v>
      </c>
      <c r="O1073" s="67"/>
      <c r="P1073" s="67"/>
    </row>
    <row r="1074" ht="14.25" customHeight="1">
      <c r="A1074" s="49"/>
      <c r="C1074" s="69" t="s">
        <v>21</v>
      </c>
      <c r="D1074" s="70"/>
      <c r="E1074" s="36"/>
      <c r="F1074" s="36"/>
      <c r="G1074" s="71"/>
      <c r="H1074" s="36"/>
      <c r="I1074" s="36"/>
      <c r="J1074" s="36"/>
      <c r="K1074" s="70"/>
      <c r="L1074" s="36"/>
      <c r="M1074" s="36"/>
      <c r="N1074" s="36"/>
      <c r="O1074" s="36"/>
      <c r="P1074" s="36"/>
    </row>
    <row r="1075" ht="14.25" customHeight="1">
      <c r="A1075" s="49"/>
      <c r="C1075" s="69" t="s">
        <v>22</v>
      </c>
      <c r="D1075" s="70"/>
      <c r="E1075" s="36"/>
      <c r="F1075" s="36"/>
      <c r="G1075" s="71"/>
      <c r="H1075" s="36"/>
      <c r="I1075" s="36"/>
      <c r="J1075" s="36"/>
      <c r="K1075" s="70"/>
      <c r="L1075" s="36"/>
      <c r="M1075" s="36"/>
      <c r="N1075" s="36"/>
      <c r="O1075" s="36"/>
      <c r="P1075" s="36"/>
    </row>
    <row r="1076" ht="14.25" customHeight="1">
      <c r="A1076" s="49"/>
      <c r="C1076" s="69" t="s">
        <v>23</v>
      </c>
      <c r="D1076" s="70"/>
      <c r="E1076" s="36"/>
      <c r="F1076" s="36"/>
      <c r="G1076" s="71"/>
      <c r="H1076" s="36"/>
      <c r="I1076" s="36"/>
      <c r="J1076" s="36"/>
      <c r="K1076" s="70"/>
      <c r="L1076" s="36"/>
      <c r="M1076" s="36"/>
      <c r="N1076" s="36"/>
      <c r="O1076" s="36"/>
      <c r="P1076" s="36"/>
    </row>
    <row r="1077" ht="14.25" customHeight="1">
      <c r="A1077" s="49"/>
      <c r="C1077" s="69" t="s">
        <v>24</v>
      </c>
      <c r="D1077" s="70"/>
      <c r="E1077" s="36"/>
      <c r="F1077" s="36"/>
      <c r="G1077" s="71"/>
      <c r="H1077" s="36"/>
      <c r="I1077" s="36"/>
      <c r="J1077" s="36"/>
      <c r="K1077" s="70"/>
      <c r="L1077" s="36"/>
      <c r="M1077" s="36"/>
      <c r="N1077" s="36"/>
      <c r="O1077" s="36"/>
      <c r="P1077" s="36"/>
    </row>
    <row r="1078" ht="14.25" customHeight="1">
      <c r="A1078" s="49"/>
      <c r="C1078" s="69" t="s">
        <v>25</v>
      </c>
      <c r="D1078" s="70"/>
      <c r="E1078" s="36"/>
      <c r="F1078" s="36"/>
      <c r="G1078" s="71"/>
      <c r="H1078" s="36"/>
      <c r="I1078" s="36"/>
      <c r="J1078" s="36"/>
      <c r="K1078" s="70"/>
      <c r="L1078" s="36"/>
      <c r="M1078" s="36"/>
      <c r="N1078" s="36"/>
      <c r="O1078" s="36"/>
      <c r="P1078" s="36"/>
    </row>
    <row r="1079" ht="14.25" customHeight="1">
      <c r="A1079" s="56"/>
      <c r="B1079" s="57"/>
      <c r="C1079" s="77" t="s">
        <v>26</v>
      </c>
      <c r="D1079" s="72"/>
      <c r="E1079" s="73"/>
      <c r="F1079" s="73"/>
      <c r="G1079" s="74"/>
      <c r="H1079" s="73"/>
      <c r="I1079" s="73"/>
      <c r="J1079" s="73"/>
      <c r="K1079" s="72"/>
      <c r="L1079" s="73"/>
      <c r="M1079" s="73"/>
      <c r="N1079" s="73"/>
      <c r="O1079" s="73"/>
      <c r="P1079" s="73"/>
    </row>
    <row r="1080" ht="14.25" customHeight="1">
      <c r="A1080" s="91">
        <v>45701.0</v>
      </c>
      <c r="B1080" s="66" t="s">
        <v>41</v>
      </c>
      <c r="C1080" s="64" t="s">
        <v>20</v>
      </c>
      <c r="D1080" s="75">
        <v>1.0</v>
      </c>
      <c r="E1080" s="67"/>
      <c r="F1080" s="66">
        <v>4.0</v>
      </c>
      <c r="G1080" s="68"/>
      <c r="H1080" s="67"/>
      <c r="I1080" s="67"/>
      <c r="J1080" s="67"/>
      <c r="K1080" s="65"/>
      <c r="L1080" s="67"/>
      <c r="M1080" s="67"/>
      <c r="N1080" s="67"/>
      <c r="O1080" s="67"/>
      <c r="P1080" s="67"/>
    </row>
    <row r="1081" ht="14.25" customHeight="1">
      <c r="A1081" s="49"/>
      <c r="C1081" s="69" t="s">
        <v>21</v>
      </c>
      <c r="D1081" s="70"/>
      <c r="E1081" s="36"/>
      <c r="F1081" s="36"/>
      <c r="G1081" s="71"/>
      <c r="H1081" s="36"/>
      <c r="I1081" s="36"/>
      <c r="J1081" s="36"/>
      <c r="K1081" s="70"/>
      <c r="L1081" s="36"/>
      <c r="M1081" s="36"/>
      <c r="N1081" s="36"/>
      <c r="O1081" s="36"/>
      <c r="P1081" s="36"/>
    </row>
    <row r="1082" ht="14.25" customHeight="1">
      <c r="A1082" s="49"/>
      <c r="C1082" s="69" t="s">
        <v>22</v>
      </c>
      <c r="D1082" s="70"/>
      <c r="E1082" s="36"/>
      <c r="F1082" s="36"/>
      <c r="G1082" s="71"/>
      <c r="H1082" s="36"/>
      <c r="I1082" s="36"/>
      <c r="J1082" s="36"/>
      <c r="K1082" s="70"/>
      <c r="L1082" s="36"/>
      <c r="M1082" s="36"/>
      <c r="N1082" s="36"/>
      <c r="O1082" s="36"/>
      <c r="P1082" s="36"/>
    </row>
    <row r="1083" ht="14.25" customHeight="1">
      <c r="A1083" s="49"/>
      <c r="C1083" s="69" t="s">
        <v>23</v>
      </c>
      <c r="D1083" s="70"/>
      <c r="E1083" s="36"/>
      <c r="F1083" s="36"/>
      <c r="G1083" s="71"/>
      <c r="H1083" s="36"/>
      <c r="I1083" s="36"/>
      <c r="J1083" s="36"/>
      <c r="K1083" s="70"/>
      <c r="L1083" s="36"/>
      <c r="M1083" s="36"/>
      <c r="N1083" s="36"/>
      <c r="O1083" s="36"/>
      <c r="P1083" s="36"/>
    </row>
    <row r="1084" ht="14.25" customHeight="1">
      <c r="A1084" s="49"/>
      <c r="C1084" s="69" t="s">
        <v>24</v>
      </c>
      <c r="D1084" s="70"/>
      <c r="E1084" s="36"/>
      <c r="F1084" s="36"/>
      <c r="G1084" s="71"/>
      <c r="H1084" s="36"/>
      <c r="I1084" s="36"/>
      <c r="J1084" s="36"/>
      <c r="K1084" s="70"/>
      <c r="L1084" s="36"/>
      <c r="M1084" s="36"/>
      <c r="N1084" s="36"/>
      <c r="O1084" s="36"/>
      <c r="P1084" s="36"/>
    </row>
    <row r="1085" ht="14.25" customHeight="1">
      <c r="A1085" s="49"/>
      <c r="C1085" s="69" t="s">
        <v>25</v>
      </c>
      <c r="D1085" s="70"/>
      <c r="E1085" s="36"/>
      <c r="F1085" s="36"/>
      <c r="G1085" s="71"/>
      <c r="H1085" s="36"/>
      <c r="I1085" s="36"/>
      <c r="J1085" s="36"/>
      <c r="K1085" s="70"/>
      <c r="L1085" s="36"/>
      <c r="M1085" s="36"/>
      <c r="N1085" s="36"/>
      <c r="O1085" s="36"/>
      <c r="P1085" s="36"/>
    </row>
    <row r="1086" ht="14.25" customHeight="1">
      <c r="A1086" s="56"/>
      <c r="B1086" s="57"/>
      <c r="C1086" s="77" t="s">
        <v>26</v>
      </c>
      <c r="D1086" s="72"/>
      <c r="E1086" s="73"/>
      <c r="F1086" s="73"/>
      <c r="G1086" s="74"/>
      <c r="H1086" s="73"/>
      <c r="I1086" s="73"/>
      <c r="J1086" s="73"/>
      <c r="K1086" s="72"/>
      <c r="L1086" s="73"/>
      <c r="M1086" s="73"/>
      <c r="N1086" s="73"/>
      <c r="O1086" s="73"/>
      <c r="P1086" s="73"/>
    </row>
    <row r="1087" ht="14.25" customHeight="1">
      <c r="A1087" s="91">
        <v>45701.0</v>
      </c>
      <c r="B1087" s="16" t="s">
        <v>45</v>
      </c>
      <c r="C1087" s="64" t="s">
        <v>20</v>
      </c>
      <c r="D1087" s="75">
        <v>2.0</v>
      </c>
      <c r="E1087" s="67"/>
      <c r="F1087" s="66">
        <v>4.0</v>
      </c>
      <c r="G1087" s="68"/>
      <c r="H1087" s="66">
        <v>1.0</v>
      </c>
      <c r="I1087" s="67"/>
      <c r="J1087" s="67"/>
      <c r="K1087" s="65"/>
      <c r="L1087" s="67"/>
      <c r="M1087" s="67"/>
      <c r="N1087" s="66">
        <v>1.0</v>
      </c>
      <c r="O1087" s="67"/>
      <c r="P1087" s="67"/>
    </row>
    <row r="1088" ht="14.25" customHeight="1">
      <c r="A1088" s="49"/>
      <c r="C1088" s="69" t="s">
        <v>21</v>
      </c>
      <c r="D1088" s="70"/>
      <c r="E1088" s="36"/>
      <c r="F1088" s="36"/>
      <c r="G1088" s="71"/>
      <c r="H1088" s="36"/>
      <c r="I1088" s="36"/>
      <c r="J1088" s="36"/>
      <c r="K1088" s="70"/>
      <c r="L1088" s="36"/>
      <c r="M1088" s="36"/>
      <c r="N1088" s="36"/>
      <c r="O1088" s="36"/>
      <c r="P1088" s="36"/>
    </row>
    <row r="1089" ht="14.25" customHeight="1">
      <c r="A1089" s="49"/>
      <c r="C1089" s="69" t="s">
        <v>22</v>
      </c>
      <c r="D1089" s="70"/>
      <c r="E1089" s="36"/>
      <c r="F1089" s="36"/>
      <c r="G1089" s="71"/>
      <c r="H1089" s="36"/>
      <c r="I1089" s="36"/>
      <c r="J1089" s="36"/>
      <c r="K1089" s="70"/>
      <c r="L1089" s="36"/>
      <c r="M1089" s="36"/>
      <c r="N1089" s="36"/>
      <c r="O1089" s="36"/>
      <c r="P1089" s="36"/>
    </row>
    <row r="1090" ht="14.25" customHeight="1">
      <c r="A1090" s="49"/>
      <c r="C1090" s="69" t="s">
        <v>23</v>
      </c>
      <c r="D1090" s="70"/>
      <c r="E1090" s="36"/>
      <c r="F1090" s="36"/>
      <c r="G1090" s="71"/>
      <c r="H1090" s="36"/>
      <c r="I1090" s="36"/>
      <c r="J1090" s="36"/>
      <c r="K1090" s="70"/>
      <c r="L1090" s="36"/>
      <c r="M1090" s="36"/>
      <c r="N1090" s="36"/>
      <c r="O1090" s="36"/>
      <c r="P1090" s="36"/>
    </row>
    <row r="1091" ht="14.25" customHeight="1">
      <c r="A1091" s="49"/>
      <c r="C1091" s="69" t="s">
        <v>24</v>
      </c>
      <c r="D1091" s="70"/>
      <c r="E1091" s="36"/>
      <c r="F1091" s="36"/>
      <c r="G1091" s="71"/>
      <c r="H1091" s="36"/>
      <c r="I1091" s="36"/>
      <c r="J1091" s="36"/>
      <c r="K1091" s="70"/>
      <c r="L1091" s="36"/>
      <c r="M1091" s="36"/>
      <c r="N1091" s="36"/>
      <c r="O1091" s="36"/>
      <c r="P1091" s="36"/>
    </row>
    <row r="1092" ht="14.25" customHeight="1">
      <c r="A1092" s="49"/>
      <c r="C1092" s="69" t="s">
        <v>25</v>
      </c>
      <c r="D1092" s="70"/>
      <c r="E1092" s="36"/>
      <c r="F1092" s="36"/>
      <c r="G1092" s="71"/>
      <c r="H1092" s="36"/>
      <c r="I1092" s="36"/>
      <c r="J1092" s="36"/>
      <c r="K1092" s="70"/>
      <c r="L1092" s="36"/>
      <c r="M1092" s="36"/>
      <c r="N1092" s="36"/>
      <c r="O1092" s="36"/>
      <c r="P1092" s="36"/>
    </row>
    <row r="1093" ht="14.25" customHeight="1">
      <c r="A1093" s="56"/>
      <c r="C1093" s="77" t="s">
        <v>26</v>
      </c>
      <c r="D1093" s="72"/>
      <c r="E1093" s="73"/>
      <c r="F1093" s="73"/>
      <c r="G1093" s="74"/>
      <c r="H1093" s="73"/>
      <c r="I1093" s="73"/>
      <c r="J1093" s="73"/>
      <c r="K1093" s="72"/>
      <c r="L1093" s="73"/>
      <c r="M1093" s="73"/>
      <c r="N1093" s="73"/>
      <c r="O1093" s="73"/>
      <c r="P1093" s="73"/>
    </row>
    <row r="1094" ht="14.25" customHeight="1">
      <c r="A1094" s="91">
        <v>45702.0</v>
      </c>
      <c r="B1094" s="66" t="s">
        <v>43</v>
      </c>
      <c r="C1094" s="64" t="s">
        <v>20</v>
      </c>
      <c r="D1094" s="75">
        <v>7.0</v>
      </c>
      <c r="E1094" s="66">
        <v>4.0</v>
      </c>
      <c r="F1094" s="66">
        <v>2.0</v>
      </c>
      <c r="G1094" s="64">
        <v>2.0</v>
      </c>
      <c r="H1094" s="67"/>
      <c r="I1094" s="67"/>
      <c r="J1094" s="67"/>
      <c r="K1094" s="65"/>
      <c r="L1094" s="67"/>
      <c r="M1094" s="67"/>
      <c r="N1094" s="66">
        <v>4.0</v>
      </c>
      <c r="O1094" s="67"/>
      <c r="P1094" s="67"/>
    </row>
    <row r="1095" ht="14.25" customHeight="1">
      <c r="A1095" s="49"/>
      <c r="C1095" s="69" t="s">
        <v>21</v>
      </c>
      <c r="D1095" s="70"/>
      <c r="E1095" s="36"/>
      <c r="F1095" s="36"/>
      <c r="G1095" s="71"/>
      <c r="H1095" s="36"/>
      <c r="I1095" s="36"/>
      <c r="J1095" s="36"/>
      <c r="K1095" s="70"/>
      <c r="L1095" s="36"/>
      <c r="M1095" s="36"/>
      <c r="N1095" s="36"/>
      <c r="O1095" s="36"/>
      <c r="P1095" s="36"/>
    </row>
    <row r="1096" ht="14.25" customHeight="1">
      <c r="A1096" s="49"/>
      <c r="C1096" s="69" t="s">
        <v>22</v>
      </c>
      <c r="D1096" s="70"/>
      <c r="E1096" s="36"/>
      <c r="F1096" s="36"/>
      <c r="G1096" s="71"/>
      <c r="H1096" s="36"/>
      <c r="I1096" s="36"/>
      <c r="J1096" s="36"/>
      <c r="K1096" s="70"/>
      <c r="L1096" s="36"/>
      <c r="M1096" s="36"/>
      <c r="N1096" s="36"/>
      <c r="O1096" s="36"/>
      <c r="P1096" s="36"/>
    </row>
    <row r="1097" ht="14.25" customHeight="1">
      <c r="A1097" s="49"/>
      <c r="C1097" s="69" t="s">
        <v>23</v>
      </c>
      <c r="D1097" s="70"/>
      <c r="E1097" s="36"/>
      <c r="F1097" s="36"/>
      <c r="G1097" s="71"/>
      <c r="H1097" s="36"/>
      <c r="I1097" s="36"/>
      <c r="J1097" s="36"/>
      <c r="K1097" s="70"/>
      <c r="L1097" s="36"/>
      <c r="M1097" s="36"/>
      <c r="N1097" s="36"/>
      <c r="O1097" s="36"/>
      <c r="P1097" s="36"/>
    </row>
    <row r="1098" ht="14.25" customHeight="1">
      <c r="A1098" s="49"/>
      <c r="C1098" s="69" t="s">
        <v>24</v>
      </c>
      <c r="D1098" s="70"/>
      <c r="E1098" s="36"/>
      <c r="F1098" s="36"/>
      <c r="G1098" s="71"/>
      <c r="H1098" s="36"/>
      <c r="I1098" s="36"/>
      <c r="J1098" s="36"/>
      <c r="K1098" s="70"/>
      <c r="L1098" s="36"/>
      <c r="M1098" s="36"/>
      <c r="N1098" s="36"/>
      <c r="O1098" s="36"/>
      <c r="P1098" s="36"/>
    </row>
    <row r="1099" ht="14.25" customHeight="1">
      <c r="A1099" s="49"/>
      <c r="C1099" s="69" t="s">
        <v>25</v>
      </c>
      <c r="D1099" s="70"/>
      <c r="E1099" s="36"/>
      <c r="F1099" s="36"/>
      <c r="G1099" s="71"/>
      <c r="H1099" s="36"/>
      <c r="I1099" s="36"/>
      <c r="J1099" s="36"/>
      <c r="K1099" s="70"/>
      <c r="L1099" s="36"/>
      <c r="M1099" s="36"/>
      <c r="N1099" s="36"/>
      <c r="O1099" s="36"/>
      <c r="P1099" s="36"/>
    </row>
    <row r="1100" ht="14.25" customHeight="1">
      <c r="A1100" s="56"/>
      <c r="B1100" s="57"/>
      <c r="C1100" s="77" t="s">
        <v>26</v>
      </c>
      <c r="D1100" s="72"/>
      <c r="E1100" s="73"/>
      <c r="F1100" s="73"/>
      <c r="G1100" s="74"/>
      <c r="H1100" s="73"/>
      <c r="I1100" s="73"/>
      <c r="J1100" s="73"/>
      <c r="K1100" s="72"/>
      <c r="L1100" s="73"/>
      <c r="M1100" s="73"/>
      <c r="N1100" s="73"/>
      <c r="O1100" s="73"/>
      <c r="P1100" s="73"/>
    </row>
    <row r="1101" ht="14.25" customHeight="1">
      <c r="A1101" s="91">
        <v>45702.0</v>
      </c>
      <c r="B1101" s="66" t="s">
        <v>42</v>
      </c>
      <c r="C1101" s="64" t="s">
        <v>20</v>
      </c>
      <c r="D1101" s="75">
        <v>3.0</v>
      </c>
      <c r="E1101" s="66">
        <v>3.0</v>
      </c>
      <c r="F1101" s="67"/>
      <c r="G1101" s="68"/>
      <c r="H1101" s="67"/>
      <c r="I1101" s="67"/>
      <c r="J1101" s="67"/>
      <c r="K1101" s="65"/>
      <c r="L1101" s="67"/>
      <c r="M1101" s="67"/>
      <c r="N1101" s="67"/>
      <c r="O1101" s="67"/>
      <c r="P1101" s="67"/>
    </row>
    <row r="1102" ht="14.25" customHeight="1">
      <c r="A1102" s="49"/>
      <c r="C1102" s="69" t="s">
        <v>21</v>
      </c>
      <c r="D1102" s="70"/>
      <c r="E1102" s="36"/>
      <c r="F1102" s="36"/>
      <c r="G1102" s="71"/>
      <c r="H1102" s="36"/>
      <c r="I1102" s="36"/>
      <c r="J1102" s="36"/>
      <c r="K1102" s="70"/>
      <c r="L1102" s="36"/>
      <c r="M1102" s="36"/>
      <c r="N1102" s="36"/>
      <c r="O1102" s="36"/>
      <c r="P1102" s="36"/>
    </row>
    <row r="1103" ht="14.25" customHeight="1">
      <c r="A1103" s="49"/>
      <c r="C1103" s="69" t="s">
        <v>22</v>
      </c>
      <c r="D1103" s="70"/>
      <c r="E1103" s="36"/>
      <c r="F1103" s="36"/>
      <c r="G1103" s="71"/>
      <c r="H1103" s="36"/>
      <c r="I1103" s="36"/>
      <c r="J1103" s="36"/>
      <c r="K1103" s="70"/>
      <c r="L1103" s="36"/>
      <c r="M1103" s="36"/>
      <c r="N1103" s="36"/>
      <c r="O1103" s="36"/>
      <c r="P1103" s="36"/>
    </row>
    <row r="1104" ht="14.25" customHeight="1">
      <c r="A1104" s="49"/>
      <c r="C1104" s="69" t="s">
        <v>23</v>
      </c>
      <c r="D1104" s="70"/>
      <c r="E1104" s="36"/>
      <c r="F1104" s="36"/>
      <c r="G1104" s="71"/>
      <c r="H1104" s="36"/>
      <c r="I1104" s="36"/>
      <c r="J1104" s="36"/>
      <c r="K1104" s="70"/>
      <c r="L1104" s="36"/>
      <c r="M1104" s="36"/>
      <c r="N1104" s="36"/>
      <c r="O1104" s="36"/>
      <c r="P1104" s="36"/>
    </row>
    <row r="1105" ht="14.25" customHeight="1">
      <c r="A1105" s="49"/>
      <c r="C1105" s="69" t="s">
        <v>24</v>
      </c>
      <c r="D1105" s="76">
        <v>1.0</v>
      </c>
      <c r="E1105" s="36"/>
      <c r="F1105" s="36"/>
      <c r="G1105" s="71"/>
      <c r="H1105" s="36"/>
      <c r="I1105" s="36"/>
      <c r="J1105" s="36"/>
      <c r="K1105" s="70"/>
      <c r="L1105" s="36"/>
      <c r="M1105" s="36"/>
      <c r="N1105" s="36"/>
      <c r="O1105" s="36"/>
      <c r="P1105" s="36"/>
    </row>
    <row r="1106" ht="14.25" customHeight="1">
      <c r="A1106" s="49"/>
      <c r="C1106" s="69" t="s">
        <v>25</v>
      </c>
      <c r="D1106" s="70"/>
      <c r="E1106" s="36"/>
      <c r="F1106" s="36"/>
      <c r="G1106" s="71"/>
      <c r="H1106" s="36"/>
      <c r="I1106" s="36"/>
      <c r="J1106" s="36"/>
      <c r="K1106" s="70"/>
      <c r="L1106" s="36"/>
      <c r="M1106" s="36"/>
      <c r="N1106" s="36"/>
      <c r="O1106" s="36"/>
      <c r="P1106" s="36"/>
    </row>
    <row r="1107" ht="14.25" customHeight="1">
      <c r="A1107" s="56"/>
      <c r="B1107" s="57"/>
      <c r="C1107" s="77" t="s">
        <v>26</v>
      </c>
      <c r="D1107" s="72"/>
      <c r="E1107" s="73"/>
      <c r="F1107" s="73"/>
      <c r="G1107" s="74"/>
      <c r="H1107" s="73"/>
      <c r="I1107" s="73"/>
      <c r="J1107" s="73"/>
      <c r="K1107" s="72"/>
      <c r="L1107" s="73"/>
      <c r="M1107" s="73"/>
      <c r="N1107" s="73"/>
      <c r="O1107" s="73"/>
      <c r="P1107" s="73"/>
    </row>
    <row r="1108" ht="14.25" customHeight="1">
      <c r="A1108" s="91">
        <v>45714.0</v>
      </c>
      <c r="B1108" s="66" t="s">
        <v>42</v>
      </c>
      <c r="C1108" s="64" t="s">
        <v>20</v>
      </c>
      <c r="D1108" s="75">
        <v>1.0</v>
      </c>
      <c r="E1108" s="67"/>
      <c r="F1108" s="67"/>
      <c r="G1108" s="68"/>
      <c r="H1108" s="67"/>
      <c r="I1108" s="67"/>
      <c r="J1108" s="67"/>
      <c r="K1108" s="65"/>
      <c r="L1108" s="67"/>
      <c r="M1108" s="67"/>
      <c r="N1108" s="67"/>
      <c r="O1108" s="67"/>
      <c r="P1108" s="67"/>
    </row>
    <row r="1109" ht="14.25" customHeight="1">
      <c r="A1109" s="49"/>
      <c r="C1109" s="69" t="s">
        <v>21</v>
      </c>
      <c r="D1109" s="70"/>
      <c r="E1109" s="36"/>
      <c r="F1109" s="36"/>
      <c r="G1109" s="71"/>
      <c r="H1109" s="36"/>
      <c r="I1109" s="36"/>
      <c r="J1109" s="36"/>
      <c r="K1109" s="70"/>
      <c r="L1109" s="36"/>
      <c r="M1109" s="36"/>
      <c r="N1109" s="36"/>
      <c r="O1109" s="36"/>
      <c r="P1109" s="36"/>
    </row>
    <row r="1110" ht="14.25" customHeight="1">
      <c r="A1110" s="49"/>
      <c r="C1110" s="69" t="s">
        <v>22</v>
      </c>
      <c r="D1110" s="76">
        <v>1.0</v>
      </c>
      <c r="E1110" s="36"/>
      <c r="F1110" s="36"/>
      <c r="G1110" s="71"/>
      <c r="H1110" s="36"/>
      <c r="I1110" s="36"/>
      <c r="J1110" s="36"/>
      <c r="K1110" s="70"/>
      <c r="L1110" s="36"/>
      <c r="M1110" s="36"/>
      <c r="N1110" s="36"/>
      <c r="O1110" s="36"/>
      <c r="P1110" s="36"/>
    </row>
    <row r="1111" ht="14.25" customHeight="1">
      <c r="A1111" s="49"/>
      <c r="C1111" s="69" t="s">
        <v>23</v>
      </c>
      <c r="D1111" s="70"/>
      <c r="E1111" s="36"/>
      <c r="F1111" s="36"/>
      <c r="G1111" s="71"/>
      <c r="H1111" s="36"/>
      <c r="I1111" s="36"/>
      <c r="J1111" s="36"/>
      <c r="K1111" s="70"/>
      <c r="L1111" s="36"/>
      <c r="M1111" s="36"/>
      <c r="N1111" s="36"/>
      <c r="O1111" s="36"/>
      <c r="P1111" s="36"/>
    </row>
    <row r="1112" ht="14.25" customHeight="1">
      <c r="A1112" s="49"/>
      <c r="C1112" s="69" t="s">
        <v>24</v>
      </c>
      <c r="D1112" s="70"/>
      <c r="E1112" s="36"/>
      <c r="F1112" s="36"/>
      <c r="G1112" s="71"/>
      <c r="H1112" s="36"/>
      <c r="I1112" s="36"/>
      <c r="J1112" s="36"/>
      <c r="K1112" s="70"/>
      <c r="L1112" s="36"/>
      <c r="M1112" s="36"/>
      <c r="N1112" s="36"/>
      <c r="O1112" s="36"/>
      <c r="P1112" s="36"/>
    </row>
    <row r="1113" ht="14.25" customHeight="1">
      <c r="A1113" s="49"/>
      <c r="C1113" s="69" t="s">
        <v>25</v>
      </c>
      <c r="D1113" s="70"/>
      <c r="E1113" s="36"/>
      <c r="F1113" s="36"/>
      <c r="G1113" s="71"/>
      <c r="H1113" s="36"/>
      <c r="I1113" s="36"/>
      <c r="J1113" s="36"/>
      <c r="K1113" s="70"/>
      <c r="L1113" s="36"/>
      <c r="M1113" s="36"/>
      <c r="N1113" s="36"/>
      <c r="O1113" s="36"/>
      <c r="P1113" s="36"/>
    </row>
    <row r="1114" ht="14.25" customHeight="1">
      <c r="A1114" s="56"/>
      <c r="B1114" s="57"/>
      <c r="C1114" s="77" t="s">
        <v>26</v>
      </c>
      <c r="D1114" s="92">
        <v>1.0</v>
      </c>
      <c r="E1114" s="73"/>
      <c r="F1114" s="73"/>
      <c r="G1114" s="74"/>
      <c r="H1114" s="73"/>
      <c r="I1114" s="73"/>
      <c r="J1114" s="73"/>
      <c r="K1114" s="72"/>
      <c r="L1114" s="73"/>
      <c r="M1114" s="73"/>
      <c r="N1114" s="73"/>
      <c r="O1114" s="73"/>
      <c r="P1114" s="73"/>
    </row>
    <row r="1115" ht="14.25" customHeight="1">
      <c r="A1115" s="91">
        <v>45715.0</v>
      </c>
      <c r="B1115" s="66" t="s">
        <v>42</v>
      </c>
      <c r="C1115" s="64" t="s">
        <v>20</v>
      </c>
      <c r="D1115" s="75">
        <v>3.0</v>
      </c>
      <c r="E1115" s="66">
        <v>8.0</v>
      </c>
      <c r="F1115" s="66">
        <v>1.0</v>
      </c>
      <c r="G1115" s="64">
        <v>1.0</v>
      </c>
      <c r="H1115" s="67"/>
      <c r="I1115" s="67"/>
      <c r="J1115" s="67"/>
      <c r="K1115" s="65"/>
      <c r="L1115" s="67"/>
      <c r="M1115" s="67"/>
      <c r="N1115" s="67"/>
      <c r="O1115" s="67"/>
      <c r="P1115" s="67"/>
    </row>
    <row r="1116" ht="14.25" customHeight="1">
      <c r="A1116" s="49"/>
      <c r="C1116" s="69" t="s">
        <v>21</v>
      </c>
      <c r="D1116" s="70"/>
      <c r="E1116" s="36"/>
      <c r="F1116" s="36"/>
      <c r="G1116" s="71"/>
      <c r="H1116" s="36"/>
      <c r="I1116" s="36"/>
      <c r="J1116" s="36"/>
      <c r="K1116" s="70"/>
      <c r="L1116" s="36"/>
      <c r="M1116" s="36"/>
      <c r="N1116" s="36"/>
      <c r="O1116" s="36"/>
      <c r="P1116" s="36"/>
    </row>
    <row r="1117" ht="14.25" customHeight="1">
      <c r="A1117" s="49"/>
      <c r="C1117" s="69" t="s">
        <v>22</v>
      </c>
      <c r="D1117" s="70"/>
      <c r="E1117" s="36"/>
      <c r="F1117" s="36"/>
      <c r="G1117" s="71"/>
      <c r="H1117" s="36"/>
      <c r="I1117" s="36"/>
      <c r="J1117" s="36"/>
      <c r="K1117" s="70"/>
      <c r="L1117" s="36"/>
      <c r="M1117" s="36"/>
      <c r="N1117" s="36"/>
      <c r="O1117" s="36"/>
      <c r="P1117" s="36"/>
    </row>
    <row r="1118" ht="14.25" customHeight="1">
      <c r="A1118" s="49"/>
      <c r="C1118" s="69" t="s">
        <v>23</v>
      </c>
      <c r="D1118" s="70"/>
      <c r="E1118" s="36"/>
      <c r="F1118" s="36"/>
      <c r="G1118" s="71"/>
      <c r="H1118" s="36"/>
      <c r="I1118" s="36"/>
      <c r="J1118" s="36"/>
      <c r="K1118" s="70"/>
      <c r="L1118" s="36"/>
      <c r="M1118" s="36"/>
      <c r="N1118" s="36"/>
      <c r="O1118" s="36"/>
      <c r="P1118" s="36"/>
    </row>
    <row r="1119" ht="14.25" customHeight="1">
      <c r="A1119" s="49"/>
      <c r="C1119" s="69" t="s">
        <v>24</v>
      </c>
      <c r="D1119" s="76">
        <v>2.0</v>
      </c>
      <c r="E1119" s="36"/>
      <c r="F1119" s="36"/>
      <c r="G1119" s="71"/>
      <c r="H1119" s="36"/>
      <c r="I1119" s="36"/>
      <c r="J1119" s="36"/>
      <c r="K1119" s="70"/>
      <c r="L1119" s="36"/>
      <c r="M1119" s="36"/>
      <c r="N1119" s="36"/>
      <c r="O1119" s="36"/>
      <c r="P1119" s="36"/>
    </row>
    <row r="1120" ht="14.25" customHeight="1">
      <c r="A1120" s="49"/>
      <c r="C1120" s="69" t="s">
        <v>25</v>
      </c>
      <c r="D1120" s="70"/>
      <c r="E1120" s="36"/>
      <c r="F1120" s="36"/>
      <c r="G1120" s="71"/>
      <c r="H1120" s="36"/>
      <c r="I1120" s="36"/>
      <c r="J1120" s="36"/>
      <c r="K1120" s="70"/>
      <c r="L1120" s="36"/>
      <c r="M1120" s="36"/>
      <c r="N1120" s="36"/>
      <c r="O1120" s="36"/>
      <c r="P1120" s="36"/>
    </row>
    <row r="1121" ht="14.25" customHeight="1">
      <c r="A1121" s="56"/>
      <c r="B1121" s="57"/>
      <c r="C1121" s="77" t="s">
        <v>26</v>
      </c>
      <c r="D1121" s="72"/>
      <c r="E1121" s="73"/>
      <c r="F1121" s="73"/>
      <c r="G1121" s="74"/>
      <c r="H1121" s="73"/>
      <c r="I1121" s="73"/>
      <c r="J1121" s="73"/>
      <c r="K1121" s="72"/>
      <c r="L1121" s="73"/>
      <c r="M1121" s="73"/>
      <c r="N1121" s="73"/>
      <c r="O1121" s="73"/>
      <c r="P1121" s="73"/>
    </row>
    <row r="1122" ht="14.25" customHeight="1">
      <c r="A1122" s="93">
        <v>45715.0</v>
      </c>
      <c r="B1122" s="66" t="s">
        <v>43</v>
      </c>
      <c r="C1122" s="64" t="s">
        <v>20</v>
      </c>
      <c r="D1122" s="65"/>
      <c r="E1122" s="66">
        <v>3.0</v>
      </c>
      <c r="F1122" s="66">
        <v>3.0</v>
      </c>
      <c r="G1122" s="64">
        <v>5.0</v>
      </c>
      <c r="H1122" s="67"/>
      <c r="I1122" s="67"/>
      <c r="J1122" s="67"/>
      <c r="K1122" s="65"/>
      <c r="L1122" s="67"/>
      <c r="M1122" s="67"/>
      <c r="N1122" s="67"/>
      <c r="O1122" s="67"/>
      <c r="P1122" s="67"/>
    </row>
    <row r="1123" ht="14.25" customHeight="1">
      <c r="A1123" s="49"/>
      <c r="C1123" s="69" t="s">
        <v>21</v>
      </c>
      <c r="D1123" s="70"/>
      <c r="E1123" s="36"/>
      <c r="F1123" s="36"/>
      <c r="G1123" s="71"/>
      <c r="H1123" s="36"/>
      <c r="I1123" s="36"/>
      <c r="J1123" s="36"/>
      <c r="K1123" s="70"/>
      <c r="L1123" s="36"/>
      <c r="M1123" s="36"/>
      <c r="N1123" s="36"/>
      <c r="O1123" s="36"/>
      <c r="P1123" s="36"/>
    </row>
    <row r="1124" ht="14.25" customHeight="1">
      <c r="A1124" s="49"/>
      <c r="C1124" s="69" t="s">
        <v>22</v>
      </c>
      <c r="D1124" s="70"/>
      <c r="E1124" s="36"/>
      <c r="F1124" s="36"/>
      <c r="G1124" s="71"/>
      <c r="H1124" s="36"/>
      <c r="I1124" s="36"/>
      <c r="J1124" s="36"/>
      <c r="K1124" s="70"/>
      <c r="L1124" s="36"/>
      <c r="M1124" s="36"/>
      <c r="N1124" s="36"/>
      <c r="O1124" s="36"/>
      <c r="P1124" s="36"/>
    </row>
    <row r="1125" ht="14.25" customHeight="1">
      <c r="A1125" s="49"/>
      <c r="C1125" s="69" t="s">
        <v>23</v>
      </c>
      <c r="D1125" s="70"/>
      <c r="E1125" s="36"/>
      <c r="F1125" s="36"/>
      <c r="G1125" s="71"/>
      <c r="H1125" s="36"/>
      <c r="I1125" s="36"/>
      <c r="J1125" s="36"/>
      <c r="K1125" s="70"/>
      <c r="L1125" s="36"/>
      <c r="M1125" s="36"/>
      <c r="N1125" s="36"/>
      <c r="O1125" s="36"/>
      <c r="P1125" s="36"/>
    </row>
    <row r="1126" ht="14.25" customHeight="1">
      <c r="A1126" s="49"/>
      <c r="C1126" s="69" t="s">
        <v>24</v>
      </c>
      <c r="D1126" s="70"/>
      <c r="E1126" s="36"/>
      <c r="F1126" s="36"/>
      <c r="G1126" s="71"/>
      <c r="H1126" s="36"/>
      <c r="I1126" s="36"/>
      <c r="J1126" s="36"/>
      <c r="K1126" s="70"/>
      <c r="L1126" s="36"/>
      <c r="M1126" s="36"/>
      <c r="N1126" s="36"/>
      <c r="O1126" s="36"/>
      <c r="P1126" s="36"/>
    </row>
    <row r="1127" ht="14.25" customHeight="1">
      <c r="A1127" s="49"/>
      <c r="C1127" s="69" t="s">
        <v>25</v>
      </c>
      <c r="D1127" s="70"/>
      <c r="E1127" s="36"/>
      <c r="F1127" s="36"/>
      <c r="G1127" s="71"/>
      <c r="H1127" s="36"/>
      <c r="I1127" s="36"/>
      <c r="J1127" s="36"/>
      <c r="K1127" s="70"/>
      <c r="L1127" s="36"/>
      <c r="M1127" s="36"/>
      <c r="N1127" s="36"/>
      <c r="O1127" s="36"/>
      <c r="P1127" s="36"/>
    </row>
    <row r="1128" ht="14.25" customHeight="1">
      <c r="A1128" s="56"/>
      <c r="B1128" s="57"/>
      <c r="C1128" s="77" t="s">
        <v>26</v>
      </c>
      <c r="D1128" s="72"/>
      <c r="E1128" s="73"/>
      <c r="F1128" s="73"/>
      <c r="G1128" s="74"/>
      <c r="H1128" s="73"/>
      <c r="I1128" s="73"/>
      <c r="J1128" s="73"/>
      <c r="K1128" s="72"/>
      <c r="L1128" s="73"/>
      <c r="M1128" s="73"/>
      <c r="N1128" s="73"/>
      <c r="O1128" s="73"/>
      <c r="P1128" s="73"/>
    </row>
    <row r="1129" ht="14.25" customHeight="1">
      <c r="A1129" s="91">
        <v>45715.0</v>
      </c>
      <c r="B1129" s="66" t="s">
        <v>42</v>
      </c>
      <c r="C1129" s="64" t="s">
        <v>20</v>
      </c>
      <c r="D1129" s="75">
        <v>2.0</v>
      </c>
      <c r="E1129" s="66">
        <v>2.0</v>
      </c>
      <c r="F1129" s="66">
        <v>4.0</v>
      </c>
      <c r="G1129" s="68"/>
      <c r="H1129" s="67"/>
      <c r="I1129" s="67"/>
      <c r="J1129" s="67"/>
      <c r="K1129" s="65"/>
      <c r="L1129" s="67"/>
      <c r="M1129" s="67"/>
      <c r="N1129" s="67"/>
      <c r="O1129" s="67"/>
      <c r="P1129" s="67"/>
    </row>
    <row r="1130" ht="14.25" customHeight="1">
      <c r="A1130" s="49"/>
      <c r="C1130" s="69" t="s">
        <v>21</v>
      </c>
      <c r="D1130" s="70"/>
      <c r="E1130" s="36"/>
      <c r="F1130" s="16">
        <v>1.0</v>
      </c>
      <c r="G1130" s="71"/>
      <c r="H1130" s="36"/>
      <c r="I1130" s="36"/>
      <c r="J1130" s="36"/>
      <c r="K1130" s="70"/>
      <c r="L1130" s="36"/>
      <c r="M1130" s="36"/>
      <c r="N1130" s="36"/>
      <c r="O1130" s="16">
        <v>1.0</v>
      </c>
      <c r="P1130" s="36"/>
    </row>
    <row r="1131" ht="14.25" customHeight="1">
      <c r="A1131" s="49"/>
      <c r="C1131" s="69" t="s">
        <v>22</v>
      </c>
      <c r="D1131" s="70"/>
      <c r="E1131" s="36"/>
      <c r="F1131" s="36"/>
      <c r="G1131" s="71"/>
      <c r="H1131" s="36"/>
      <c r="I1131" s="36"/>
      <c r="J1131" s="36"/>
      <c r="K1131" s="70"/>
      <c r="L1131" s="36"/>
      <c r="M1131" s="36"/>
      <c r="N1131" s="36"/>
      <c r="O1131" s="36"/>
      <c r="P1131" s="36"/>
    </row>
    <row r="1132" ht="14.25" customHeight="1">
      <c r="A1132" s="49"/>
      <c r="C1132" s="69" t="s">
        <v>23</v>
      </c>
      <c r="D1132" s="70"/>
      <c r="E1132" s="36"/>
      <c r="F1132" s="36"/>
      <c r="G1132" s="71"/>
      <c r="H1132" s="36"/>
      <c r="I1132" s="36"/>
      <c r="J1132" s="36"/>
      <c r="K1132" s="70"/>
      <c r="L1132" s="36"/>
      <c r="M1132" s="36"/>
      <c r="N1132" s="36"/>
      <c r="O1132" s="36"/>
      <c r="P1132" s="36"/>
    </row>
    <row r="1133" ht="14.25" customHeight="1">
      <c r="A1133" s="49"/>
      <c r="C1133" s="69" t="s">
        <v>24</v>
      </c>
      <c r="D1133" s="70"/>
      <c r="E1133" s="36"/>
      <c r="F1133" s="36"/>
      <c r="G1133" s="71"/>
      <c r="H1133" s="36"/>
      <c r="I1133" s="36"/>
      <c r="J1133" s="36"/>
      <c r="K1133" s="70"/>
      <c r="L1133" s="36"/>
      <c r="M1133" s="36"/>
      <c r="N1133" s="36"/>
      <c r="O1133" s="36"/>
      <c r="P1133" s="36"/>
    </row>
    <row r="1134" ht="14.25" customHeight="1">
      <c r="A1134" s="49"/>
      <c r="C1134" s="69" t="s">
        <v>25</v>
      </c>
      <c r="D1134" s="70"/>
      <c r="E1134" s="36"/>
      <c r="F1134" s="36"/>
      <c r="G1134" s="71"/>
      <c r="H1134" s="36"/>
      <c r="I1134" s="36"/>
      <c r="J1134" s="36"/>
      <c r="K1134" s="70"/>
      <c r="L1134" s="36"/>
      <c r="M1134" s="36"/>
      <c r="N1134" s="36"/>
      <c r="O1134" s="36"/>
      <c r="P1134" s="36"/>
    </row>
    <row r="1135" ht="14.25" customHeight="1">
      <c r="A1135" s="56"/>
      <c r="B1135" s="57"/>
      <c r="C1135" s="77" t="s">
        <v>26</v>
      </c>
      <c r="D1135" s="72"/>
      <c r="E1135" s="73"/>
      <c r="F1135" s="73"/>
      <c r="G1135" s="74"/>
      <c r="H1135" s="73"/>
      <c r="I1135" s="73"/>
      <c r="J1135" s="73"/>
      <c r="K1135" s="72"/>
      <c r="L1135" s="73"/>
      <c r="M1135" s="73"/>
      <c r="N1135" s="73"/>
      <c r="O1135" s="73"/>
      <c r="P1135" s="73"/>
    </row>
    <row r="1136" ht="14.25" customHeight="1">
      <c r="A1136" s="93">
        <v>45763.0</v>
      </c>
      <c r="B1136" s="66" t="s">
        <v>45</v>
      </c>
      <c r="C1136" s="64" t="s">
        <v>20</v>
      </c>
      <c r="D1136" s="75">
        <v>1.0</v>
      </c>
      <c r="E1136" s="67"/>
      <c r="F1136" s="67"/>
      <c r="G1136" s="68"/>
      <c r="H1136" s="67"/>
      <c r="I1136" s="67"/>
      <c r="J1136" s="67"/>
      <c r="K1136" s="65"/>
      <c r="L1136" s="67"/>
      <c r="M1136" s="67"/>
      <c r="N1136" s="67"/>
      <c r="O1136" s="67"/>
      <c r="P1136" s="67"/>
    </row>
    <row r="1137" ht="14.25" customHeight="1">
      <c r="A1137" s="49"/>
      <c r="C1137" s="69" t="s">
        <v>21</v>
      </c>
      <c r="D1137" s="70"/>
      <c r="E1137" s="36"/>
      <c r="F1137" s="36"/>
      <c r="G1137" s="71"/>
      <c r="H1137" s="36"/>
      <c r="I1137" s="36"/>
      <c r="J1137" s="36"/>
      <c r="K1137" s="70"/>
      <c r="L1137" s="36"/>
      <c r="M1137" s="36"/>
      <c r="N1137" s="36"/>
      <c r="O1137" s="36"/>
      <c r="P1137" s="36"/>
    </row>
    <row r="1138" ht="14.25" customHeight="1">
      <c r="A1138" s="49"/>
      <c r="C1138" s="69" t="s">
        <v>22</v>
      </c>
      <c r="D1138" s="70"/>
      <c r="E1138" s="16">
        <v>3.0</v>
      </c>
      <c r="F1138" s="36"/>
      <c r="G1138" s="71"/>
      <c r="H1138" s="16">
        <v>3.0</v>
      </c>
      <c r="I1138" s="36"/>
      <c r="J1138" s="36"/>
      <c r="K1138" s="70"/>
      <c r="L1138" s="36"/>
      <c r="M1138" s="36"/>
      <c r="N1138" s="16">
        <v>3.0</v>
      </c>
      <c r="O1138" s="36"/>
      <c r="P1138" s="36"/>
    </row>
    <row r="1139" ht="14.25" customHeight="1">
      <c r="A1139" s="49"/>
      <c r="C1139" s="69" t="s">
        <v>23</v>
      </c>
      <c r="D1139" s="70"/>
      <c r="E1139" s="16">
        <v>3.0</v>
      </c>
      <c r="F1139" s="36"/>
      <c r="G1139" s="71"/>
      <c r="H1139" s="16">
        <v>3.0</v>
      </c>
      <c r="I1139" s="36"/>
      <c r="J1139" s="36"/>
      <c r="K1139" s="70"/>
      <c r="L1139" s="36"/>
      <c r="M1139" s="36"/>
      <c r="N1139" s="36"/>
      <c r="O1139" s="36"/>
      <c r="P1139" s="36"/>
    </row>
    <row r="1140" ht="14.25" customHeight="1">
      <c r="A1140" s="49"/>
      <c r="C1140" s="69" t="s">
        <v>24</v>
      </c>
      <c r="D1140" s="70"/>
      <c r="E1140" s="16">
        <v>1.0</v>
      </c>
      <c r="F1140" s="36"/>
      <c r="G1140" s="71"/>
      <c r="H1140" s="16">
        <v>1.0</v>
      </c>
      <c r="I1140" s="36"/>
      <c r="J1140" s="36"/>
      <c r="K1140" s="70"/>
      <c r="L1140" s="36"/>
      <c r="M1140" s="36"/>
      <c r="N1140" s="36"/>
      <c r="O1140" s="36"/>
      <c r="P1140" s="36"/>
    </row>
    <row r="1141" ht="14.25" customHeight="1">
      <c r="A1141" s="49"/>
      <c r="C1141" s="69" t="s">
        <v>25</v>
      </c>
      <c r="D1141" s="70"/>
      <c r="E1141" s="36"/>
      <c r="F1141" s="36"/>
      <c r="G1141" s="71"/>
      <c r="H1141" s="36"/>
      <c r="I1141" s="36"/>
      <c r="J1141" s="36"/>
      <c r="K1141" s="70"/>
      <c r="L1141" s="36"/>
      <c r="M1141" s="36"/>
      <c r="N1141" s="36"/>
      <c r="O1141" s="36"/>
      <c r="P1141" s="36"/>
    </row>
    <row r="1142" ht="14.25" customHeight="1">
      <c r="A1142" s="56"/>
      <c r="B1142" s="57"/>
      <c r="C1142" s="77" t="s">
        <v>26</v>
      </c>
      <c r="D1142" s="72"/>
      <c r="E1142" s="73"/>
      <c r="F1142" s="73"/>
      <c r="G1142" s="74"/>
      <c r="H1142" s="73"/>
      <c r="I1142" s="73"/>
      <c r="J1142" s="73"/>
      <c r="K1142" s="72"/>
      <c r="L1142" s="73"/>
      <c r="M1142" s="73"/>
      <c r="N1142" s="73"/>
      <c r="O1142" s="73"/>
      <c r="P1142" s="73"/>
    </row>
    <row r="1143" ht="14.25" customHeight="1">
      <c r="A1143" s="93">
        <v>45763.0</v>
      </c>
      <c r="B1143" s="66" t="s">
        <v>42</v>
      </c>
      <c r="C1143" s="64" t="s">
        <v>20</v>
      </c>
      <c r="D1143" s="65"/>
      <c r="E1143" s="67"/>
      <c r="F1143" s="66">
        <v>1.0</v>
      </c>
      <c r="G1143" s="68"/>
      <c r="H1143" s="67"/>
      <c r="I1143" s="67"/>
      <c r="J1143" s="67"/>
      <c r="K1143" s="65"/>
      <c r="L1143" s="67"/>
      <c r="M1143" s="67"/>
      <c r="N1143" s="66">
        <v>1.0</v>
      </c>
      <c r="O1143" s="66">
        <v>1.0</v>
      </c>
      <c r="P1143" s="67"/>
    </row>
    <row r="1144" ht="14.25" customHeight="1">
      <c r="A1144" s="49"/>
      <c r="C1144" s="69" t="s">
        <v>21</v>
      </c>
      <c r="D1144" s="70"/>
      <c r="E1144" s="36"/>
      <c r="F1144" s="36"/>
      <c r="G1144" s="71"/>
      <c r="H1144" s="36"/>
      <c r="I1144" s="36"/>
      <c r="J1144" s="36"/>
      <c r="K1144" s="70"/>
      <c r="L1144" s="36"/>
      <c r="M1144" s="36"/>
      <c r="N1144" s="36"/>
      <c r="O1144" s="36"/>
      <c r="P1144" s="36"/>
    </row>
    <row r="1145" ht="14.25" customHeight="1">
      <c r="A1145" s="49"/>
      <c r="C1145" s="69" t="s">
        <v>22</v>
      </c>
      <c r="D1145" s="76">
        <v>1.0</v>
      </c>
      <c r="E1145" s="16">
        <v>5.0</v>
      </c>
      <c r="F1145" s="36"/>
      <c r="G1145" s="71"/>
      <c r="H1145" s="16">
        <v>4.0</v>
      </c>
      <c r="I1145" s="36"/>
      <c r="J1145" s="36"/>
      <c r="K1145" s="70"/>
      <c r="L1145" s="36"/>
      <c r="M1145" s="36"/>
      <c r="N1145" s="16">
        <v>1.0</v>
      </c>
      <c r="O1145" s="36"/>
      <c r="P1145" s="36"/>
    </row>
    <row r="1146" ht="14.25" customHeight="1">
      <c r="A1146" s="49"/>
      <c r="C1146" s="69" t="s">
        <v>23</v>
      </c>
      <c r="D1146" s="70"/>
      <c r="E1146" s="36"/>
      <c r="F1146" s="36"/>
      <c r="G1146" s="71"/>
      <c r="H1146" s="36"/>
      <c r="I1146" s="36"/>
      <c r="J1146" s="36"/>
      <c r="K1146" s="70"/>
      <c r="L1146" s="36"/>
      <c r="M1146" s="36"/>
      <c r="N1146" s="36"/>
      <c r="O1146" s="36"/>
      <c r="P1146" s="36"/>
    </row>
    <row r="1147" ht="14.25" customHeight="1">
      <c r="A1147" s="49"/>
      <c r="C1147" s="69" t="s">
        <v>24</v>
      </c>
      <c r="D1147" s="70"/>
      <c r="E1147" s="36"/>
      <c r="F1147" s="36"/>
      <c r="G1147" s="71"/>
      <c r="H1147" s="36"/>
      <c r="I1147" s="36"/>
      <c r="J1147" s="36"/>
      <c r="K1147" s="70"/>
      <c r="L1147" s="36"/>
      <c r="M1147" s="36"/>
      <c r="N1147" s="36"/>
      <c r="O1147" s="36"/>
      <c r="P1147" s="36"/>
    </row>
    <row r="1148" ht="14.25" customHeight="1">
      <c r="A1148" s="49"/>
      <c r="C1148" s="69" t="s">
        <v>25</v>
      </c>
      <c r="D1148" s="70"/>
      <c r="E1148" s="36"/>
      <c r="F1148" s="36"/>
      <c r="G1148" s="71"/>
      <c r="H1148" s="36"/>
      <c r="I1148" s="36"/>
      <c r="J1148" s="36"/>
      <c r="K1148" s="70"/>
      <c r="L1148" s="36"/>
      <c r="M1148" s="36"/>
      <c r="N1148" s="36"/>
      <c r="O1148" s="36"/>
      <c r="P1148" s="36"/>
    </row>
    <row r="1149" ht="14.25" customHeight="1">
      <c r="A1149" s="56"/>
      <c r="B1149" s="57"/>
      <c r="C1149" s="77" t="s">
        <v>26</v>
      </c>
      <c r="D1149" s="72"/>
      <c r="E1149" s="73"/>
      <c r="F1149" s="73"/>
      <c r="G1149" s="74"/>
      <c r="H1149" s="73"/>
      <c r="I1149" s="73"/>
      <c r="J1149" s="73"/>
      <c r="K1149" s="72"/>
      <c r="L1149" s="73"/>
      <c r="M1149" s="73"/>
      <c r="N1149" s="73"/>
      <c r="O1149" s="73"/>
      <c r="P1149" s="73"/>
    </row>
    <row r="1150" ht="14.25" customHeight="1">
      <c r="A1150" s="91">
        <v>45764.0</v>
      </c>
      <c r="B1150" s="16" t="s">
        <v>43</v>
      </c>
      <c r="C1150" s="64" t="s">
        <v>20</v>
      </c>
      <c r="D1150" s="75">
        <v>3.0</v>
      </c>
      <c r="E1150" s="66">
        <v>6.0</v>
      </c>
      <c r="F1150" s="66">
        <v>4.0</v>
      </c>
      <c r="G1150" s="68"/>
      <c r="H1150" s="66">
        <v>4.0</v>
      </c>
      <c r="I1150" s="67"/>
      <c r="J1150" s="67"/>
      <c r="K1150" s="65"/>
      <c r="L1150" s="67"/>
      <c r="M1150" s="67"/>
      <c r="N1150" s="66">
        <v>4.0</v>
      </c>
      <c r="O1150" s="66">
        <v>3.0</v>
      </c>
      <c r="P1150" s="67"/>
    </row>
    <row r="1151" ht="14.25" customHeight="1">
      <c r="A1151" s="49"/>
      <c r="C1151" s="69" t="s">
        <v>21</v>
      </c>
      <c r="D1151" s="70"/>
      <c r="E1151" s="36"/>
      <c r="F1151" s="36"/>
      <c r="G1151" s="71"/>
      <c r="H1151" s="36"/>
      <c r="I1151" s="36"/>
      <c r="J1151" s="36"/>
      <c r="K1151" s="70"/>
      <c r="L1151" s="36"/>
      <c r="M1151" s="36"/>
      <c r="N1151" s="36"/>
      <c r="O1151" s="36"/>
      <c r="P1151" s="36"/>
    </row>
    <row r="1152" ht="14.25" customHeight="1">
      <c r="A1152" s="49"/>
      <c r="C1152" s="69" t="s">
        <v>22</v>
      </c>
      <c r="D1152" s="70"/>
      <c r="E1152" s="36"/>
      <c r="F1152" s="36"/>
      <c r="G1152" s="71"/>
      <c r="H1152" s="36"/>
      <c r="I1152" s="36"/>
      <c r="J1152" s="36"/>
      <c r="K1152" s="70"/>
      <c r="L1152" s="36"/>
      <c r="M1152" s="36"/>
      <c r="N1152" s="36"/>
      <c r="O1152" s="36"/>
      <c r="P1152" s="36"/>
    </row>
    <row r="1153" ht="14.25" customHeight="1">
      <c r="A1153" s="49"/>
      <c r="C1153" s="69" t="s">
        <v>23</v>
      </c>
      <c r="D1153" s="70"/>
      <c r="E1153" s="36"/>
      <c r="F1153" s="36"/>
      <c r="G1153" s="71"/>
      <c r="H1153" s="36"/>
      <c r="I1153" s="36"/>
      <c r="J1153" s="36"/>
      <c r="K1153" s="70"/>
      <c r="L1153" s="36"/>
      <c r="M1153" s="36"/>
      <c r="N1153" s="36"/>
      <c r="O1153" s="36"/>
      <c r="P1153" s="36"/>
    </row>
    <row r="1154" ht="14.25" customHeight="1">
      <c r="A1154" s="49"/>
      <c r="C1154" s="69" t="s">
        <v>24</v>
      </c>
      <c r="D1154" s="70"/>
      <c r="E1154" s="36"/>
      <c r="F1154" s="36"/>
      <c r="G1154" s="71"/>
      <c r="H1154" s="36"/>
      <c r="I1154" s="36"/>
      <c r="J1154" s="36"/>
      <c r="K1154" s="70"/>
      <c r="L1154" s="36"/>
      <c r="M1154" s="36"/>
      <c r="N1154" s="36"/>
      <c r="O1154" s="36"/>
      <c r="P1154" s="36"/>
    </row>
    <row r="1155" ht="14.25" customHeight="1">
      <c r="A1155" s="49"/>
      <c r="C1155" s="69" t="s">
        <v>25</v>
      </c>
      <c r="D1155" s="70"/>
      <c r="E1155" s="36"/>
      <c r="F1155" s="36"/>
      <c r="G1155" s="71"/>
      <c r="H1155" s="36"/>
      <c r="I1155" s="36"/>
      <c r="J1155" s="36"/>
      <c r="K1155" s="70"/>
      <c r="L1155" s="36"/>
      <c r="M1155" s="36"/>
      <c r="N1155" s="36"/>
      <c r="O1155" s="36"/>
      <c r="P1155" s="36"/>
    </row>
    <row r="1156" ht="14.25" customHeight="1">
      <c r="A1156" s="56"/>
      <c r="C1156" s="77" t="s">
        <v>26</v>
      </c>
      <c r="D1156" s="72"/>
      <c r="E1156" s="73"/>
      <c r="F1156" s="73"/>
      <c r="G1156" s="74"/>
      <c r="H1156" s="73"/>
      <c r="I1156" s="73"/>
      <c r="J1156" s="73"/>
      <c r="K1156" s="72"/>
      <c r="L1156" s="73"/>
      <c r="M1156" s="73"/>
      <c r="N1156" s="73"/>
      <c r="O1156" s="73"/>
      <c r="P1156" s="73"/>
    </row>
    <row r="1157" ht="14.25" customHeight="1">
      <c r="A1157" s="91">
        <v>45764.0</v>
      </c>
      <c r="B1157" s="66" t="s">
        <v>42</v>
      </c>
      <c r="C1157" s="64" t="s">
        <v>20</v>
      </c>
      <c r="D1157" s="65"/>
      <c r="E1157" s="67"/>
      <c r="F1157" s="67"/>
      <c r="G1157" s="64">
        <v>1.0</v>
      </c>
      <c r="H1157" s="67"/>
      <c r="I1157" s="67"/>
      <c r="J1157" s="67"/>
      <c r="K1157" s="65"/>
      <c r="L1157" s="67"/>
      <c r="M1157" s="67"/>
      <c r="N1157" s="67"/>
      <c r="O1157" s="67"/>
      <c r="P1157" s="67"/>
    </row>
    <row r="1158" ht="14.25" customHeight="1">
      <c r="A1158" s="49"/>
      <c r="C1158" s="69" t="s">
        <v>21</v>
      </c>
      <c r="D1158" s="70"/>
      <c r="E1158" s="36"/>
      <c r="F1158" s="36"/>
      <c r="G1158" s="71"/>
      <c r="H1158" s="36"/>
      <c r="I1158" s="36"/>
      <c r="J1158" s="36"/>
      <c r="K1158" s="70"/>
      <c r="L1158" s="36"/>
      <c r="M1158" s="36"/>
      <c r="N1158" s="36"/>
      <c r="O1158" s="36"/>
      <c r="P1158" s="36"/>
    </row>
    <row r="1159" ht="14.25" customHeight="1">
      <c r="A1159" s="49"/>
      <c r="C1159" s="69" t="s">
        <v>22</v>
      </c>
      <c r="D1159" s="70"/>
      <c r="E1159" s="36"/>
      <c r="F1159" s="36"/>
      <c r="G1159" s="71"/>
      <c r="H1159" s="36"/>
      <c r="I1159" s="36"/>
      <c r="J1159" s="36"/>
      <c r="K1159" s="70"/>
      <c r="L1159" s="36"/>
      <c r="M1159" s="36"/>
      <c r="N1159" s="36"/>
      <c r="O1159" s="36"/>
      <c r="P1159" s="36"/>
    </row>
    <row r="1160" ht="14.25" customHeight="1">
      <c r="A1160" s="49"/>
      <c r="C1160" s="69" t="s">
        <v>23</v>
      </c>
      <c r="D1160" s="70"/>
      <c r="E1160" s="36"/>
      <c r="F1160" s="16">
        <v>1.0</v>
      </c>
      <c r="G1160" s="36"/>
      <c r="H1160" s="36"/>
      <c r="I1160" s="16">
        <v>1.0</v>
      </c>
      <c r="J1160" s="36"/>
      <c r="K1160" s="70"/>
      <c r="L1160" s="36"/>
      <c r="M1160" s="36"/>
      <c r="N1160" s="36"/>
      <c r="O1160" s="36"/>
      <c r="P1160" s="36"/>
    </row>
    <row r="1161" ht="14.25" customHeight="1">
      <c r="A1161" s="49"/>
      <c r="C1161" s="69" t="s">
        <v>24</v>
      </c>
      <c r="D1161" s="70"/>
      <c r="E1161" s="36"/>
      <c r="F1161" s="36"/>
      <c r="G1161" s="71"/>
      <c r="H1161" s="36"/>
      <c r="I1161" s="36"/>
      <c r="J1161" s="36"/>
      <c r="K1161" s="70"/>
      <c r="L1161" s="36"/>
      <c r="M1161" s="36"/>
      <c r="N1161" s="36"/>
      <c r="O1161" s="36"/>
      <c r="P1161" s="36"/>
    </row>
    <row r="1162" ht="14.25" customHeight="1">
      <c r="A1162" s="49"/>
      <c r="C1162" s="69" t="s">
        <v>25</v>
      </c>
      <c r="D1162" s="76">
        <v>1.0</v>
      </c>
      <c r="E1162" s="36"/>
      <c r="F1162" s="36"/>
      <c r="G1162" s="71"/>
      <c r="H1162" s="36"/>
      <c r="I1162" s="36"/>
      <c r="J1162" s="36"/>
      <c r="K1162" s="70"/>
      <c r="L1162" s="36"/>
      <c r="M1162" s="36"/>
      <c r="N1162" s="36"/>
      <c r="O1162" s="36"/>
      <c r="P1162" s="36"/>
    </row>
    <row r="1163" ht="14.25" customHeight="1">
      <c r="A1163" s="56"/>
      <c r="B1163" s="57"/>
      <c r="C1163" s="77" t="s">
        <v>26</v>
      </c>
      <c r="D1163" s="72"/>
      <c r="E1163" s="73"/>
      <c r="F1163" s="73"/>
      <c r="G1163" s="74"/>
      <c r="H1163" s="73"/>
      <c r="I1163" s="73"/>
      <c r="J1163" s="73"/>
      <c r="K1163" s="72"/>
      <c r="L1163" s="73"/>
      <c r="M1163" s="73"/>
      <c r="N1163" s="73"/>
      <c r="O1163" s="73"/>
      <c r="P1163" s="73"/>
    </row>
    <row r="1164" ht="14.25" customHeight="1">
      <c r="A1164" s="91">
        <v>45765.0</v>
      </c>
      <c r="B1164" s="66" t="s">
        <v>44</v>
      </c>
      <c r="C1164" s="64" t="s">
        <v>20</v>
      </c>
      <c r="D1164" s="65"/>
      <c r="E1164" s="66">
        <v>3.0</v>
      </c>
      <c r="F1164" s="66">
        <v>3.0</v>
      </c>
      <c r="G1164" s="64">
        <v>3.0</v>
      </c>
      <c r="H1164" s="66">
        <v>3.0</v>
      </c>
      <c r="I1164" s="67"/>
      <c r="J1164" s="66">
        <v>1.0</v>
      </c>
      <c r="K1164" s="65"/>
      <c r="L1164" s="67"/>
      <c r="M1164" s="67"/>
      <c r="N1164" s="66">
        <v>2.0</v>
      </c>
      <c r="O1164" s="66">
        <v>3.0</v>
      </c>
      <c r="P1164" s="66">
        <v>1.0</v>
      </c>
    </row>
    <row r="1165" ht="14.25" customHeight="1">
      <c r="A1165" s="49"/>
      <c r="C1165" s="69" t="s">
        <v>21</v>
      </c>
      <c r="D1165" s="70"/>
      <c r="E1165" s="36"/>
      <c r="F1165" s="36"/>
      <c r="G1165" s="71"/>
      <c r="H1165" s="36"/>
      <c r="I1165" s="36"/>
      <c r="J1165" s="36"/>
      <c r="K1165" s="70"/>
      <c r="L1165" s="36"/>
      <c r="M1165" s="36"/>
      <c r="N1165" s="36"/>
      <c r="O1165" s="36"/>
      <c r="P1165" s="36"/>
    </row>
    <row r="1166" ht="14.25" customHeight="1">
      <c r="A1166" s="49"/>
      <c r="C1166" s="69" t="s">
        <v>22</v>
      </c>
      <c r="D1166" s="70"/>
      <c r="E1166" s="36"/>
      <c r="F1166" s="36"/>
      <c r="G1166" s="71"/>
      <c r="H1166" s="36"/>
      <c r="I1166" s="36"/>
      <c r="J1166" s="36"/>
      <c r="K1166" s="70"/>
      <c r="L1166" s="36"/>
      <c r="M1166" s="36"/>
      <c r="N1166" s="36"/>
      <c r="O1166" s="36"/>
      <c r="P1166" s="36"/>
    </row>
    <row r="1167" ht="14.25" customHeight="1">
      <c r="A1167" s="49"/>
      <c r="C1167" s="69" t="s">
        <v>23</v>
      </c>
      <c r="D1167" s="70"/>
      <c r="E1167" s="36"/>
      <c r="F1167" s="36"/>
      <c r="G1167" s="71"/>
      <c r="H1167" s="36"/>
      <c r="I1167" s="36"/>
      <c r="J1167" s="36"/>
      <c r="K1167" s="70"/>
      <c r="L1167" s="36"/>
      <c r="M1167" s="36"/>
      <c r="N1167" s="36"/>
      <c r="O1167" s="36"/>
      <c r="P1167" s="36"/>
    </row>
    <row r="1168" ht="14.25" customHeight="1">
      <c r="A1168" s="49"/>
      <c r="C1168" s="69" t="s">
        <v>24</v>
      </c>
      <c r="D1168" s="76">
        <v>1.0</v>
      </c>
      <c r="E1168" s="36"/>
      <c r="F1168" s="16">
        <v>2.0</v>
      </c>
      <c r="G1168" s="71"/>
      <c r="H1168" s="16">
        <v>2.0</v>
      </c>
      <c r="I1168" s="36"/>
      <c r="J1168" s="36"/>
      <c r="K1168" s="70"/>
      <c r="L1168" s="36"/>
      <c r="M1168" s="36"/>
      <c r="N1168" s="16">
        <v>2.0</v>
      </c>
      <c r="O1168" s="36"/>
      <c r="P1168" s="36"/>
    </row>
    <row r="1169" ht="14.25" customHeight="1">
      <c r="A1169" s="49"/>
      <c r="C1169" s="69" t="s">
        <v>25</v>
      </c>
      <c r="D1169" s="70"/>
      <c r="E1169" s="36"/>
      <c r="F1169" s="36"/>
      <c r="G1169" s="71"/>
      <c r="H1169" s="36"/>
      <c r="I1169" s="36"/>
      <c r="J1169" s="36"/>
      <c r="K1169" s="70"/>
      <c r="L1169" s="36"/>
      <c r="M1169" s="36"/>
      <c r="N1169" s="36"/>
      <c r="O1169" s="36"/>
      <c r="P1169" s="36"/>
    </row>
    <row r="1170" ht="14.25" customHeight="1">
      <c r="A1170" s="56"/>
      <c r="B1170" s="57"/>
      <c r="C1170" s="77" t="s">
        <v>26</v>
      </c>
      <c r="D1170" s="72"/>
      <c r="E1170" s="73"/>
      <c r="F1170" s="73"/>
      <c r="G1170" s="74"/>
      <c r="H1170" s="73"/>
      <c r="I1170" s="73"/>
      <c r="J1170" s="73"/>
      <c r="K1170" s="72"/>
      <c r="L1170" s="73"/>
      <c r="M1170" s="73"/>
      <c r="N1170" s="73"/>
      <c r="O1170" s="73"/>
      <c r="P1170" s="73"/>
    </row>
    <row r="1171" ht="14.25" customHeight="1">
      <c r="A1171" s="91">
        <v>45765.0</v>
      </c>
      <c r="B1171" s="16" t="s">
        <v>45</v>
      </c>
      <c r="C1171" s="64" t="s">
        <v>20</v>
      </c>
      <c r="D1171" s="65"/>
      <c r="E1171" s="66">
        <v>3.0</v>
      </c>
      <c r="F1171" s="66">
        <v>7.0</v>
      </c>
      <c r="G1171" s="68"/>
      <c r="H1171" s="66">
        <v>6.0</v>
      </c>
      <c r="I1171" s="67"/>
      <c r="J1171" s="67"/>
      <c r="K1171" s="65"/>
      <c r="L1171" s="67"/>
      <c r="M1171" s="67"/>
      <c r="N1171" s="66">
        <v>9.0</v>
      </c>
      <c r="O1171" s="66">
        <v>2.0</v>
      </c>
      <c r="P1171" s="67"/>
    </row>
    <row r="1172" ht="14.25" customHeight="1">
      <c r="A1172" s="49"/>
      <c r="C1172" s="69" t="s">
        <v>21</v>
      </c>
      <c r="D1172" s="76">
        <v>2.0</v>
      </c>
      <c r="E1172" s="36"/>
      <c r="F1172" s="16">
        <v>1.0</v>
      </c>
      <c r="G1172" s="71"/>
      <c r="H1172" s="16">
        <v>2.0</v>
      </c>
      <c r="I1172" s="36"/>
      <c r="J1172" s="36"/>
      <c r="K1172" s="70"/>
      <c r="L1172" s="36"/>
      <c r="M1172" s="36"/>
      <c r="N1172" s="36"/>
      <c r="O1172" s="36"/>
      <c r="P1172" s="36"/>
    </row>
    <row r="1173" ht="14.25" customHeight="1">
      <c r="A1173" s="49"/>
      <c r="C1173" s="69" t="s">
        <v>22</v>
      </c>
      <c r="D1173" s="70"/>
      <c r="E1173" s="36"/>
      <c r="F1173" s="36"/>
      <c r="G1173" s="71"/>
      <c r="H1173" s="36"/>
      <c r="I1173" s="36"/>
      <c r="J1173" s="36"/>
      <c r="K1173" s="70"/>
      <c r="L1173" s="36"/>
      <c r="M1173" s="36"/>
      <c r="N1173" s="36"/>
      <c r="O1173" s="36"/>
      <c r="P1173" s="36"/>
    </row>
    <row r="1174" ht="14.25" customHeight="1">
      <c r="A1174" s="49"/>
      <c r="C1174" s="69" t="s">
        <v>23</v>
      </c>
      <c r="D1174" s="70"/>
      <c r="E1174" s="36"/>
      <c r="F1174" s="36"/>
      <c r="G1174" s="71"/>
      <c r="H1174" s="36"/>
      <c r="I1174" s="36"/>
      <c r="J1174" s="36"/>
      <c r="K1174" s="70"/>
      <c r="L1174" s="36"/>
      <c r="M1174" s="36"/>
      <c r="N1174" s="36"/>
      <c r="O1174" s="36"/>
      <c r="P1174" s="36"/>
    </row>
    <row r="1175" ht="14.25" customHeight="1">
      <c r="A1175" s="49"/>
      <c r="C1175" s="69" t="s">
        <v>24</v>
      </c>
      <c r="D1175" s="70"/>
      <c r="E1175" s="36"/>
      <c r="F1175" s="36"/>
      <c r="G1175" s="71"/>
      <c r="H1175" s="36"/>
      <c r="I1175" s="36"/>
      <c r="J1175" s="36"/>
      <c r="K1175" s="70"/>
      <c r="L1175" s="36"/>
      <c r="M1175" s="36"/>
      <c r="N1175" s="36"/>
      <c r="O1175" s="36"/>
      <c r="P1175" s="36"/>
    </row>
    <row r="1176" ht="14.25" customHeight="1">
      <c r="A1176" s="49"/>
      <c r="C1176" s="69" t="s">
        <v>25</v>
      </c>
      <c r="D1176" s="70"/>
      <c r="E1176" s="36"/>
      <c r="F1176" s="36"/>
      <c r="G1176" s="71"/>
      <c r="H1176" s="36"/>
      <c r="I1176" s="36"/>
      <c r="J1176" s="36"/>
      <c r="K1176" s="70"/>
      <c r="L1176" s="36"/>
      <c r="M1176" s="36"/>
      <c r="N1176" s="36"/>
      <c r="O1176" s="36"/>
      <c r="P1176" s="36"/>
    </row>
    <row r="1177" ht="14.25" customHeight="1">
      <c r="A1177" s="56"/>
      <c r="C1177" s="77" t="s">
        <v>26</v>
      </c>
      <c r="D1177" s="72"/>
      <c r="E1177" s="73"/>
      <c r="F1177" s="73"/>
      <c r="G1177" s="74"/>
      <c r="H1177" s="73"/>
      <c r="I1177" s="73"/>
      <c r="J1177" s="73"/>
      <c r="K1177" s="72"/>
      <c r="L1177" s="73"/>
      <c r="M1177" s="73"/>
      <c r="N1177" s="73"/>
      <c r="O1177" s="73"/>
      <c r="P1177" s="73"/>
    </row>
    <row r="1178" ht="14.25" customHeight="1">
      <c r="A1178" s="91">
        <v>45791.0</v>
      </c>
      <c r="B1178" s="66" t="s">
        <v>42</v>
      </c>
      <c r="C1178" s="64" t="s">
        <v>20</v>
      </c>
      <c r="D1178" s="65"/>
      <c r="E1178" s="66">
        <v>5.0</v>
      </c>
      <c r="F1178" s="67"/>
      <c r="G1178" s="68"/>
      <c r="H1178" s="66">
        <v>3.0</v>
      </c>
      <c r="I1178" s="66">
        <v>1.0</v>
      </c>
      <c r="J1178" s="67"/>
      <c r="K1178" s="65"/>
      <c r="L1178" s="67"/>
      <c r="M1178" s="67"/>
      <c r="N1178" s="66">
        <v>3.0</v>
      </c>
      <c r="O1178" s="67"/>
      <c r="P1178" s="67"/>
    </row>
    <row r="1179" ht="14.25" customHeight="1">
      <c r="A1179" s="49"/>
      <c r="C1179" s="69" t="s">
        <v>21</v>
      </c>
      <c r="D1179" s="70"/>
      <c r="E1179" s="36"/>
      <c r="F1179" s="36"/>
      <c r="G1179" s="71"/>
      <c r="H1179" s="36"/>
      <c r="I1179" s="36"/>
      <c r="J1179" s="36"/>
      <c r="K1179" s="70"/>
      <c r="L1179" s="36"/>
      <c r="M1179" s="36"/>
      <c r="N1179" s="36"/>
      <c r="O1179" s="36"/>
      <c r="P1179" s="36"/>
    </row>
    <row r="1180" ht="14.25" customHeight="1">
      <c r="A1180" s="49"/>
      <c r="C1180" s="69" t="s">
        <v>22</v>
      </c>
      <c r="D1180" s="70"/>
      <c r="E1180" s="36"/>
      <c r="F1180" s="36"/>
      <c r="G1180" s="71"/>
      <c r="H1180" s="36"/>
      <c r="I1180" s="36"/>
      <c r="J1180" s="36"/>
      <c r="K1180" s="70"/>
      <c r="L1180" s="36"/>
      <c r="M1180" s="36"/>
      <c r="N1180" s="36"/>
      <c r="O1180" s="36"/>
      <c r="P1180" s="36"/>
    </row>
    <row r="1181" ht="14.25" customHeight="1">
      <c r="A1181" s="49"/>
      <c r="C1181" s="69" t="s">
        <v>23</v>
      </c>
      <c r="D1181" s="70"/>
      <c r="E1181" s="36"/>
      <c r="F1181" s="16">
        <v>1.0</v>
      </c>
      <c r="G1181" s="71"/>
      <c r="H1181" s="36"/>
      <c r="I1181" s="36"/>
      <c r="J1181" s="36"/>
      <c r="K1181" s="70"/>
      <c r="L1181" s="36"/>
      <c r="M1181" s="36"/>
      <c r="N1181" s="16">
        <v>1.0</v>
      </c>
      <c r="O1181" s="36"/>
      <c r="P1181" s="36"/>
    </row>
    <row r="1182" ht="14.25" customHeight="1">
      <c r="A1182" s="49"/>
      <c r="C1182" s="69" t="s">
        <v>24</v>
      </c>
      <c r="D1182" s="70"/>
      <c r="E1182" s="36"/>
      <c r="F1182" s="36"/>
      <c r="G1182" s="71"/>
      <c r="H1182" s="36"/>
      <c r="I1182" s="36"/>
      <c r="J1182" s="36"/>
      <c r="K1182" s="70"/>
      <c r="L1182" s="36"/>
      <c r="M1182" s="36"/>
      <c r="N1182" s="36"/>
      <c r="O1182" s="36"/>
      <c r="P1182" s="36"/>
    </row>
    <row r="1183" ht="14.25" customHeight="1">
      <c r="A1183" s="49"/>
      <c r="C1183" s="69" t="s">
        <v>25</v>
      </c>
      <c r="D1183" s="70"/>
      <c r="E1183" s="36"/>
      <c r="F1183" s="36"/>
      <c r="G1183" s="71"/>
      <c r="H1183" s="36"/>
      <c r="I1183" s="36"/>
      <c r="J1183" s="36"/>
      <c r="K1183" s="70"/>
      <c r="L1183" s="36"/>
      <c r="M1183" s="36"/>
      <c r="N1183" s="36"/>
      <c r="O1183" s="36"/>
      <c r="P1183" s="36"/>
    </row>
    <row r="1184" ht="14.25" customHeight="1">
      <c r="A1184" s="56"/>
      <c r="B1184" s="57"/>
      <c r="C1184" s="77" t="s">
        <v>26</v>
      </c>
      <c r="D1184" s="72"/>
      <c r="E1184" s="73"/>
      <c r="F1184" s="73"/>
      <c r="G1184" s="74"/>
      <c r="H1184" s="73"/>
      <c r="I1184" s="73"/>
      <c r="J1184" s="73"/>
      <c r="K1184" s="72"/>
      <c r="L1184" s="73"/>
      <c r="M1184" s="73"/>
      <c r="N1184" s="73"/>
      <c r="O1184" s="73"/>
      <c r="P1184" s="73"/>
    </row>
    <row r="1185" ht="14.25" customHeight="1">
      <c r="A1185" s="91">
        <v>45791.0</v>
      </c>
      <c r="B1185" s="66" t="s">
        <v>67</v>
      </c>
      <c r="C1185" s="64" t="s">
        <v>20</v>
      </c>
      <c r="D1185" s="75">
        <v>3.0</v>
      </c>
      <c r="E1185" s="66">
        <v>6.0</v>
      </c>
      <c r="F1185" s="66">
        <v>3.0</v>
      </c>
      <c r="G1185" s="68"/>
      <c r="H1185" s="66">
        <v>5.0</v>
      </c>
      <c r="I1185" s="66">
        <v>3.0</v>
      </c>
      <c r="J1185" s="67"/>
      <c r="K1185" s="65"/>
      <c r="L1185" s="67"/>
      <c r="M1185" s="67"/>
      <c r="N1185" s="67"/>
      <c r="O1185" s="67"/>
      <c r="P1185" s="67"/>
    </row>
    <row r="1186" ht="14.25" customHeight="1">
      <c r="A1186" s="49"/>
      <c r="C1186" s="69" t="s">
        <v>21</v>
      </c>
      <c r="D1186" s="70"/>
      <c r="E1186" s="36"/>
      <c r="F1186" s="36"/>
      <c r="G1186" s="71"/>
      <c r="H1186" s="36"/>
      <c r="I1186" s="36"/>
      <c r="J1186" s="36"/>
      <c r="K1186" s="70"/>
      <c r="L1186" s="36"/>
      <c r="M1186" s="36"/>
      <c r="N1186" s="36"/>
      <c r="O1186" s="36"/>
      <c r="P1186" s="36"/>
    </row>
    <row r="1187" ht="14.25" customHeight="1">
      <c r="A1187" s="49"/>
      <c r="C1187" s="69" t="s">
        <v>22</v>
      </c>
      <c r="D1187" s="70"/>
      <c r="E1187" s="36"/>
      <c r="F1187" s="36"/>
      <c r="G1187" s="71"/>
      <c r="H1187" s="36"/>
      <c r="I1187" s="36"/>
      <c r="J1187" s="36"/>
      <c r="K1187" s="70"/>
      <c r="L1187" s="36"/>
      <c r="M1187" s="36"/>
      <c r="N1187" s="36"/>
      <c r="O1187" s="36"/>
      <c r="P1187" s="36"/>
    </row>
    <row r="1188" ht="14.25" customHeight="1">
      <c r="A1188" s="49"/>
      <c r="C1188" s="69" t="s">
        <v>23</v>
      </c>
      <c r="D1188" s="70"/>
      <c r="E1188" s="36"/>
      <c r="F1188" s="36"/>
      <c r="G1188" s="71"/>
      <c r="H1188" s="36"/>
      <c r="I1188" s="36"/>
      <c r="J1188" s="36"/>
      <c r="K1188" s="70"/>
      <c r="L1188" s="36"/>
      <c r="M1188" s="36"/>
      <c r="N1188" s="36"/>
      <c r="O1188" s="36"/>
      <c r="P1188" s="36"/>
    </row>
    <row r="1189" ht="14.25" customHeight="1">
      <c r="A1189" s="49"/>
      <c r="C1189" s="69" t="s">
        <v>24</v>
      </c>
      <c r="D1189" s="70"/>
      <c r="E1189" s="36"/>
      <c r="F1189" s="36"/>
      <c r="G1189" s="71"/>
      <c r="H1189" s="36"/>
      <c r="I1189" s="36"/>
      <c r="J1189" s="36"/>
      <c r="K1189" s="70"/>
      <c r="L1189" s="36"/>
      <c r="M1189" s="36"/>
      <c r="N1189" s="36"/>
      <c r="O1189" s="36"/>
      <c r="P1189" s="36"/>
    </row>
    <row r="1190" ht="14.25" customHeight="1">
      <c r="A1190" s="49"/>
      <c r="C1190" s="69" t="s">
        <v>25</v>
      </c>
      <c r="D1190" s="70"/>
      <c r="E1190" s="36"/>
      <c r="F1190" s="36"/>
      <c r="G1190" s="71"/>
      <c r="H1190" s="36"/>
      <c r="I1190" s="36"/>
      <c r="J1190" s="36"/>
      <c r="K1190" s="70"/>
      <c r="L1190" s="36"/>
      <c r="M1190" s="36"/>
      <c r="N1190" s="36"/>
      <c r="O1190" s="36"/>
      <c r="P1190" s="36"/>
    </row>
    <row r="1191" ht="14.25" customHeight="1">
      <c r="A1191" s="56"/>
      <c r="B1191" s="57"/>
      <c r="C1191" s="77" t="s">
        <v>26</v>
      </c>
      <c r="D1191" s="72"/>
      <c r="E1191" s="73"/>
      <c r="F1191" s="73"/>
      <c r="G1191" s="74"/>
      <c r="H1191" s="73"/>
      <c r="I1191" s="73"/>
      <c r="J1191" s="73"/>
      <c r="K1191" s="72"/>
      <c r="L1191" s="73"/>
      <c r="M1191" s="73"/>
      <c r="N1191" s="73"/>
      <c r="O1191" s="73"/>
      <c r="P1191" s="73"/>
    </row>
    <row r="1192" ht="14.25" customHeight="1">
      <c r="A1192" s="93">
        <v>45792.0</v>
      </c>
      <c r="B1192" s="94" t="s">
        <v>65</v>
      </c>
      <c r="C1192" s="64" t="s">
        <v>20</v>
      </c>
      <c r="D1192" s="75">
        <v>1.0</v>
      </c>
      <c r="E1192" s="66">
        <v>1.0</v>
      </c>
      <c r="F1192" s="66">
        <v>2.0</v>
      </c>
      <c r="G1192" s="68"/>
      <c r="H1192" s="67"/>
      <c r="I1192" s="66">
        <v>1.0</v>
      </c>
      <c r="J1192" s="67"/>
      <c r="K1192" s="65"/>
      <c r="L1192" s="67"/>
      <c r="M1192" s="67"/>
      <c r="N1192" s="66">
        <v>1.0</v>
      </c>
      <c r="O1192" s="67"/>
      <c r="P1192" s="67"/>
    </row>
    <row r="1193" ht="14.25" customHeight="1">
      <c r="A1193" s="49"/>
      <c r="C1193" s="69" t="s">
        <v>21</v>
      </c>
      <c r="D1193" s="70"/>
      <c r="E1193" s="36"/>
      <c r="F1193" s="36"/>
      <c r="G1193" s="71"/>
      <c r="H1193" s="36"/>
      <c r="I1193" s="36"/>
      <c r="J1193" s="36"/>
      <c r="K1193" s="70"/>
      <c r="L1193" s="36"/>
      <c r="M1193" s="36"/>
      <c r="N1193" s="36"/>
      <c r="O1193" s="36"/>
      <c r="P1193" s="36"/>
    </row>
    <row r="1194" ht="14.25" customHeight="1">
      <c r="A1194" s="49"/>
      <c r="C1194" s="69" t="s">
        <v>22</v>
      </c>
      <c r="D1194" s="70"/>
      <c r="E1194" s="36"/>
      <c r="F1194" s="36"/>
      <c r="G1194" s="71"/>
      <c r="H1194" s="36"/>
      <c r="I1194" s="36"/>
      <c r="J1194" s="36"/>
      <c r="K1194" s="70"/>
      <c r="L1194" s="36"/>
      <c r="M1194" s="36"/>
      <c r="N1194" s="36"/>
      <c r="O1194" s="36"/>
      <c r="P1194" s="36"/>
    </row>
    <row r="1195" ht="14.25" customHeight="1">
      <c r="A1195" s="49"/>
      <c r="C1195" s="69" t="s">
        <v>23</v>
      </c>
      <c r="D1195" s="70"/>
      <c r="E1195" s="16">
        <v>1.0</v>
      </c>
      <c r="F1195" s="36"/>
      <c r="G1195" s="71"/>
      <c r="H1195" s="36"/>
      <c r="I1195" s="36"/>
      <c r="J1195" s="36"/>
      <c r="K1195" s="70"/>
      <c r="L1195" s="36"/>
      <c r="M1195" s="36"/>
      <c r="N1195" s="36"/>
      <c r="O1195" s="36"/>
      <c r="P1195" s="36"/>
    </row>
    <row r="1196" ht="14.25" customHeight="1">
      <c r="A1196" s="49"/>
      <c r="C1196" s="69" t="s">
        <v>24</v>
      </c>
      <c r="D1196" s="70"/>
      <c r="E1196" s="36"/>
      <c r="F1196" s="36"/>
      <c r="G1196" s="71"/>
      <c r="H1196" s="36"/>
      <c r="I1196" s="36"/>
      <c r="J1196" s="36"/>
      <c r="K1196" s="70"/>
      <c r="L1196" s="36"/>
      <c r="M1196" s="36"/>
      <c r="N1196" s="36"/>
      <c r="O1196" s="36"/>
      <c r="P1196" s="36"/>
    </row>
    <row r="1197" ht="14.25" customHeight="1">
      <c r="A1197" s="49"/>
      <c r="C1197" s="69" t="s">
        <v>25</v>
      </c>
      <c r="D1197" s="70"/>
      <c r="E1197" s="36"/>
      <c r="F1197" s="36"/>
      <c r="G1197" s="71"/>
      <c r="H1197" s="36"/>
      <c r="I1197" s="36"/>
      <c r="J1197" s="36"/>
      <c r="K1197" s="70"/>
      <c r="L1197" s="36"/>
      <c r="M1197" s="36"/>
      <c r="N1197" s="36"/>
      <c r="O1197" s="36"/>
      <c r="P1197" s="36"/>
    </row>
    <row r="1198" ht="14.25" customHeight="1">
      <c r="A1198" s="56"/>
      <c r="B1198" s="57"/>
      <c r="C1198" s="77" t="s">
        <v>26</v>
      </c>
      <c r="D1198" s="72"/>
      <c r="E1198" s="73"/>
      <c r="F1198" s="73"/>
      <c r="G1198" s="74"/>
      <c r="H1198" s="73"/>
      <c r="I1198" s="73"/>
      <c r="J1198" s="73"/>
      <c r="K1198" s="72"/>
      <c r="L1198" s="73"/>
      <c r="M1198" s="73"/>
      <c r="N1198" s="73"/>
      <c r="O1198" s="73"/>
      <c r="P1198" s="73"/>
    </row>
    <row r="1199" ht="14.25" customHeight="1">
      <c r="A1199" s="91">
        <v>45792.0</v>
      </c>
      <c r="B1199" s="66" t="s">
        <v>45</v>
      </c>
      <c r="C1199" s="64" t="s">
        <v>20</v>
      </c>
      <c r="D1199" s="65"/>
      <c r="E1199" s="66">
        <v>5.0</v>
      </c>
      <c r="F1199" s="67"/>
      <c r="G1199" s="68"/>
      <c r="H1199" s="66">
        <v>4.0</v>
      </c>
      <c r="I1199" s="67"/>
      <c r="J1199" s="67"/>
      <c r="K1199" s="65"/>
      <c r="L1199" s="67"/>
      <c r="M1199" s="67"/>
      <c r="N1199" s="66">
        <v>1.0</v>
      </c>
      <c r="O1199" s="67"/>
      <c r="P1199" s="67"/>
    </row>
    <row r="1200" ht="14.25" customHeight="1">
      <c r="A1200" s="49"/>
      <c r="C1200" s="69" t="s">
        <v>21</v>
      </c>
      <c r="D1200" s="70"/>
      <c r="E1200" s="36"/>
      <c r="F1200" s="36"/>
      <c r="G1200" s="71"/>
      <c r="H1200" s="36"/>
      <c r="I1200" s="36"/>
      <c r="J1200" s="36"/>
      <c r="K1200" s="70"/>
      <c r="L1200" s="36"/>
      <c r="M1200" s="36"/>
      <c r="N1200" s="36"/>
      <c r="O1200" s="36"/>
      <c r="P1200" s="36"/>
    </row>
    <row r="1201" ht="14.25" customHeight="1">
      <c r="A1201" s="49"/>
      <c r="C1201" s="69" t="s">
        <v>22</v>
      </c>
      <c r="D1201" s="70"/>
      <c r="E1201" s="36"/>
      <c r="F1201" s="36"/>
      <c r="G1201" s="71"/>
      <c r="H1201" s="36"/>
      <c r="I1201" s="36"/>
      <c r="J1201" s="36"/>
      <c r="K1201" s="70"/>
      <c r="L1201" s="36"/>
      <c r="M1201" s="36"/>
      <c r="N1201" s="36"/>
      <c r="O1201" s="36"/>
      <c r="P1201" s="36"/>
    </row>
    <row r="1202" ht="14.25" customHeight="1">
      <c r="A1202" s="49"/>
      <c r="C1202" s="69" t="s">
        <v>23</v>
      </c>
      <c r="D1202" s="70"/>
      <c r="E1202" s="36"/>
      <c r="F1202" s="36"/>
      <c r="G1202" s="71"/>
      <c r="H1202" s="36"/>
      <c r="I1202" s="36"/>
      <c r="J1202" s="36"/>
      <c r="K1202" s="70"/>
      <c r="L1202" s="36"/>
      <c r="M1202" s="36"/>
      <c r="N1202" s="36"/>
      <c r="O1202" s="36"/>
      <c r="P1202" s="36"/>
    </row>
    <row r="1203" ht="14.25" customHeight="1">
      <c r="A1203" s="49"/>
      <c r="C1203" s="69" t="s">
        <v>24</v>
      </c>
      <c r="D1203" s="70"/>
      <c r="E1203" s="36"/>
      <c r="F1203" s="36"/>
      <c r="G1203" s="71"/>
      <c r="H1203" s="36"/>
      <c r="I1203" s="36"/>
      <c r="J1203" s="36"/>
      <c r="K1203" s="70"/>
      <c r="L1203" s="36"/>
      <c r="M1203" s="36"/>
      <c r="N1203" s="36"/>
      <c r="O1203" s="36"/>
      <c r="P1203" s="36"/>
    </row>
    <row r="1204" ht="14.25" customHeight="1">
      <c r="A1204" s="49"/>
      <c r="C1204" s="69" t="s">
        <v>25</v>
      </c>
      <c r="D1204" s="70"/>
      <c r="E1204" s="36"/>
      <c r="F1204" s="36"/>
      <c r="G1204" s="71"/>
      <c r="H1204" s="36"/>
      <c r="I1204" s="36"/>
      <c r="J1204" s="36"/>
      <c r="K1204" s="70"/>
      <c r="L1204" s="36"/>
      <c r="M1204" s="36"/>
      <c r="N1204" s="36"/>
      <c r="O1204" s="36"/>
      <c r="P1204" s="36"/>
    </row>
    <row r="1205" ht="14.25" customHeight="1">
      <c r="A1205" s="56"/>
      <c r="B1205" s="57"/>
      <c r="C1205" s="77" t="s">
        <v>26</v>
      </c>
      <c r="D1205" s="72"/>
      <c r="E1205" s="73"/>
      <c r="F1205" s="73"/>
      <c r="G1205" s="74"/>
      <c r="H1205" s="73"/>
      <c r="I1205" s="73"/>
      <c r="J1205" s="73"/>
      <c r="K1205" s="72"/>
      <c r="L1205" s="73"/>
      <c r="M1205" s="73"/>
      <c r="N1205" s="73"/>
      <c r="O1205" s="73"/>
      <c r="P1205" s="73"/>
    </row>
    <row r="1206" ht="14.25" customHeight="1">
      <c r="A1206" s="91">
        <v>45793.0</v>
      </c>
      <c r="B1206" s="66" t="s">
        <v>44</v>
      </c>
      <c r="C1206" s="64" t="s">
        <v>20</v>
      </c>
      <c r="D1206" s="65"/>
      <c r="E1206" s="66">
        <v>2.0</v>
      </c>
      <c r="F1206" s="66">
        <v>2.0</v>
      </c>
      <c r="G1206" s="68"/>
      <c r="H1206" s="66">
        <v>2.0</v>
      </c>
      <c r="I1206" s="66">
        <v>2.0</v>
      </c>
      <c r="J1206" s="67"/>
      <c r="K1206" s="65"/>
      <c r="L1206" s="67"/>
      <c r="M1206" s="67"/>
      <c r="N1206" s="67"/>
      <c r="O1206" s="67"/>
      <c r="P1206" s="67"/>
    </row>
    <row r="1207" ht="14.25" customHeight="1">
      <c r="A1207" s="49"/>
      <c r="C1207" s="69" t="s">
        <v>21</v>
      </c>
      <c r="D1207" s="76">
        <v>1.0</v>
      </c>
      <c r="E1207" s="36"/>
      <c r="F1207" s="36"/>
      <c r="G1207" s="71"/>
      <c r="H1207" s="36"/>
      <c r="I1207" s="36"/>
      <c r="J1207" s="36"/>
      <c r="K1207" s="70"/>
      <c r="L1207" s="36"/>
      <c r="M1207" s="36"/>
      <c r="N1207" s="36"/>
      <c r="O1207" s="36"/>
      <c r="P1207" s="36"/>
    </row>
    <row r="1208" ht="14.25" customHeight="1">
      <c r="A1208" s="49"/>
      <c r="C1208" s="69" t="s">
        <v>22</v>
      </c>
      <c r="D1208" s="70"/>
      <c r="E1208" s="36"/>
      <c r="F1208" s="36"/>
      <c r="G1208" s="71"/>
      <c r="H1208" s="36"/>
      <c r="I1208" s="36"/>
      <c r="J1208" s="36"/>
      <c r="K1208" s="70"/>
      <c r="L1208" s="36"/>
      <c r="M1208" s="36"/>
      <c r="N1208" s="36"/>
      <c r="O1208" s="36"/>
      <c r="P1208" s="36"/>
    </row>
    <row r="1209" ht="14.25" customHeight="1">
      <c r="A1209" s="49"/>
      <c r="C1209" s="69" t="s">
        <v>23</v>
      </c>
      <c r="D1209" s="70"/>
      <c r="E1209" s="36"/>
      <c r="F1209" s="36"/>
      <c r="G1209" s="71"/>
      <c r="H1209" s="36"/>
      <c r="I1209" s="36"/>
      <c r="J1209" s="36"/>
      <c r="K1209" s="70"/>
      <c r="L1209" s="36"/>
      <c r="M1209" s="36"/>
      <c r="N1209" s="36"/>
      <c r="O1209" s="36"/>
      <c r="P1209" s="36"/>
    </row>
    <row r="1210" ht="14.25" customHeight="1">
      <c r="A1210" s="49"/>
      <c r="C1210" s="69" t="s">
        <v>24</v>
      </c>
      <c r="D1210" s="70"/>
      <c r="E1210" s="36"/>
      <c r="F1210" s="36"/>
      <c r="G1210" s="71"/>
      <c r="H1210" s="36"/>
      <c r="I1210" s="36"/>
      <c r="J1210" s="36"/>
      <c r="K1210" s="70"/>
      <c r="L1210" s="36"/>
      <c r="M1210" s="36"/>
      <c r="N1210" s="36"/>
      <c r="O1210" s="36"/>
      <c r="P1210" s="36"/>
    </row>
    <row r="1211" ht="14.25" customHeight="1">
      <c r="A1211" s="49"/>
      <c r="C1211" s="69" t="s">
        <v>25</v>
      </c>
      <c r="D1211" s="70"/>
      <c r="E1211" s="36"/>
      <c r="F1211" s="36"/>
      <c r="G1211" s="71"/>
      <c r="H1211" s="36"/>
      <c r="I1211" s="36"/>
      <c r="J1211" s="36"/>
      <c r="K1211" s="70"/>
      <c r="L1211" s="36"/>
      <c r="M1211" s="36"/>
      <c r="N1211" s="36"/>
      <c r="O1211" s="36"/>
      <c r="P1211" s="36"/>
    </row>
    <row r="1212" ht="14.25" customHeight="1">
      <c r="A1212" s="56"/>
      <c r="B1212" s="57"/>
      <c r="C1212" s="77" t="s">
        <v>26</v>
      </c>
      <c r="D1212" s="72"/>
      <c r="E1212" s="73"/>
      <c r="F1212" s="73"/>
      <c r="G1212" s="74"/>
      <c r="H1212" s="73"/>
      <c r="I1212" s="73"/>
      <c r="J1212" s="73"/>
      <c r="K1212" s="72"/>
      <c r="L1212" s="73"/>
      <c r="M1212" s="73"/>
      <c r="N1212" s="73"/>
      <c r="O1212" s="73"/>
      <c r="P1212" s="73"/>
    </row>
    <row r="1213" ht="14.25" customHeight="1">
      <c r="A1213" s="91">
        <v>45793.0</v>
      </c>
      <c r="B1213" s="66" t="s">
        <v>68</v>
      </c>
      <c r="C1213" s="64" t="s">
        <v>20</v>
      </c>
      <c r="D1213" s="65"/>
      <c r="E1213" s="66">
        <v>4.0</v>
      </c>
      <c r="F1213" s="66">
        <v>1.0</v>
      </c>
      <c r="G1213" s="68"/>
      <c r="H1213" s="66">
        <v>1.0</v>
      </c>
      <c r="I1213" s="66">
        <v>1.0</v>
      </c>
      <c r="J1213" s="67"/>
      <c r="K1213" s="65"/>
      <c r="L1213" s="67"/>
      <c r="M1213" s="67"/>
      <c r="N1213" s="66">
        <v>3.0</v>
      </c>
      <c r="O1213" s="67"/>
      <c r="P1213" s="67"/>
    </row>
    <row r="1214" ht="14.25" customHeight="1">
      <c r="A1214" s="49"/>
      <c r="C1214" s="69" t="s">
        <v>21</v>
      </c>
      <c r="D1214" s="70"/>
      <c r="E1214" s="16">
        <v>1.0</v>
      </c>
      <c r="F1214" s="36"/>
      <c r="G1214" s="71"/>
      <c r="H1214" s="36"/>
      <c r="I1214" s="36"/>
      <c r="J1214" s="36"/>
      <c r="K1214" s="70"/>
      <c r="L1214" s="36"/>
      <c r="M1214" s="36"/>
      <c r="N1214" s="16">
        <v>1.0</v>
      </c>
      <c r="O1214" s="36"/>
      <c r="P1214" s="36"/>
    </row>
    <row r="1215" ht="14.25" customHeight="1">
      <c r="A1215" s="49"/>
      <c r="C1215" s="69" t="s">
        <v>22</v>
      </c>
      <c r="D1215" s="70"/>
      <c r="E1215" s="36"/>
      <c r="F1215" s="36"/>
      <c r="G1215" s="71"/>
      <c r="H1215" s="36"/>
      <c r="I1215" s="36"/>
      <c r="J1215" s="36"/>
      <c r="K1215" s="70"/>
      <c r="L1215" s="36"/>
      <c r="M1215" s="36"/>
      <c r="N1215" s="36"/>
      <c r="O1215" s="36"/>
      <c r="P1215" s="36"/>
    </row>
    <row r="1216" ht="14.25" customHeight="1">
      <c r="A1216" s="49"/>
      <c r="C1216" s="69" t="s">
        <v>23</v>
      </c>
      <c r="D1216" s="70"/>
      <c r="E1216" s="36"/>
      <c r="F1216" s="36"/>
      <c r="G1216" s="71"/>
      <c r="H1216" s="36"/>
      <c r="I1216" s="36"/>
      <c r="J1216" s="36"/>
      <c r="K1216" s="70"/>
      <c r="L1216" s="36"/>
      <c r="M1216" s="36"/>
      <c r="N1216" s="36"/>
      <c r="O1216" s="36"/>
      <c r="P1216" s="36"/>
    </row>
    <row r="1217" ht="14.25" customHeight="1">
      <c r="A1217" s="49"/>
      <c r="C1217" s="69" t="s">
        <v>24</v>
      </c>
      <c r="D1217" s="70"/>
      <c r="E1217" s="36"/>
      <c r="F1217" s="36"/>
      <c r="G1217" s="71"/>
      <c r="H1217" s="36"/>
      <c r="I1217" s="36"/>
      <c r="J1217" s="36"/>
      <c r="K1217" s="70"/>
      <c r="L1217" s="36"/>
      <c r="M1217" s="36"/>
      <c r="N1217" s="36"/>
      <c r="O1217" s="36"/>
      <c r="P1217" s="36"/>
    </row>
    <row r="1218" ht="14.25" customHeight="1">
      <c r="A1218" s="49"/>
      <c r="C1218" s="69" t="s">
        <v>25</v>
      </c>
      <c r="D1218" s="70"/>
      <c r="E1218" s="36"/>
      <c r="F1218" s="36"/>
      <c r="G1218" s="71"/>
      <c r="H1218" s="36"/>
      <c r="I1218" s="36"/>
      <c r="J1218" s="36"/>
      <c r="K1218" s="70"/>
      <c r="L1218" s="36"/>
      <c r="M1218" s="36"/>
      <c r="N1218" s="36"/>
      <c r="O1218" s="36"/>
      <c r="P1218" s="36"/>
    </row>
    <row r="1219" ht="14.25" customHeight="1">
      <c r="A1219" s="56"/>
      <c r="B1219" s="57"/>
      <c r="C1219" s="77" t="s">
        <v>26</v>
      </c>
      <c r="D1219" s="72"/>
      <c r="E1219" s="73"/>
      <c r="F1219" s="73"/>
      <c r="G1219" s="74"/>
      <c r="H1219" s="73"/>
      <c r="I1219" s="73"/>
      <c r="J1219" s="73"/>
      <c r="K1219" s="72"/>
      <c r="L1219" s="73"/>
      <c r="M1219" s="73"/>
      <c r="N1219" s="73"/>
      <c r="O1219" s="73"/>
      <c r="P1219" s="73"/>
    </row>
    <row r="1220" ht="14.25" customHeight="1">
      <c r="A1220" s="91">
        <v>45796.0</v>
      </c>
      <c r="B1220" s="66" t="s">
        <v>45</v>
      </c>
      <c r="C1220" s="64" t="s">
        <v>20</v>
      </c>
      <c r="D1220" s="75">
        <v>1.0</v>
      </c>
      <c r="E1220" s="66">
        <v>1.0</v>
      </c>
      <c r="F1220" s="67"/>
      <c r="G1220" s="68"/>
      <c r="H1220" s="67"/>
      <c r="I1220" s="67"/>
      <c r="J1220" s="67"/>
      <c r="K1220" s="65"/>
      <c r="L1220" s="67"/>
      <c r="M1220" s="67"/>
      <c r="N1220" s="67"/>
      <c r="O1220" s="66">
        <v>1.0</v>
      </c>
      <c r="P1220" s="67"/>
    </row>
    <row r="1221" ht="14.25" customHeight="1">
      <c r="A1221" s="49"/>
      <c r="C1221" s="69" t="s">
        <v>21</v>
      </c>
      <c r="D1221" s="70"/>
      <c r="E1221" s="16">
        <v>1.0</v>
      </c>
      <c r="F1221" s="16">
        <v>1.0</v>
      </c>
      <c r="G1221" s="71"/>
      <c r="H1221" s="36"/>
      <c r="I1221" s="36"/>
      <c r="J1221" s="36"/>
      <c r="K1221" s="70"/>
      <c r="L1221" s="36"/>
      <c r="M1221" s="36"/>
      <c r="N1221" s="36"/>
      <c r="O1221" s="36"/>
      <c r="P1221" s="36"/>
    </row>
    <row r="1222" ht="14.25" customHeight="1">
      <c r="A1222" s="49"/>
      <c r="C1222" s="69" t="s">
        <v>22</v>
      </c>
      <c r="D1222" s="70"/>
      <c r="E1222" s="36"/>
      <c r="F1222" s="36"/>
      <c r="G1222" s="71"/>
      <c r="H1222" s="36"/>
      <c r="I1222" s="36"/>
      <c r="J1222" s="36"/>
      <c r="K1222" s="70"/>
      <c r="L1222" s="36"/>
      <c r="M1222" s="36"/>
      <c r="N1222" s="36"/>
      <c r="O1222" s="36"/>
      <c r="P1222" s="36"/>
    </row>
    <row r="1223" ht="14.25" customHeight="1">
      <c r="A1223" s="49"/>
      <c r="C1223" s="69" t="s">
        <v>23</v>
      </c>
      <c r="D1223" s="70"/>
      <c r="E1223" s="36"/>
      <c r="F1223" s="36"/>
      <c r="G1223" s="71"/>
      <c r="H1223" s="36"/>
      <c r="I1223" s="36"/>
      <c r="J1223" s="36"/>
      <c r="K1223" s="70"/>
      <c r="L1223" s="36"/>
      <c r="M1223" s="36"/>
      <c r="N1223" s="36"/>
      <c r="O1223" s="36"/>
      <c r="P1223" s="36"/>
    </row>
    <row r="1224" ht="14.25" customHeight="1">
      <c r="A1224" s="49"/>
      <c r="C1224" s="69" t="s">
        <v>24</v>
      </c>
      <c r="D1224" s="70"/>
      <c r="E1224" s="36"/>
      <c r="F1224" s="36"/>
      <c r="G1224" s="71"/>
      <c r="H1224" s="36"/>
      <c r="I1224" s="36"/>
      <c r="J1224" s="36"/>
      <c r="K1224" s="70"/>
      <c r="L1224" s="36"/>
      <c r="M1224" s="36"/>
      <c r="N1224" s="36"/>
      <c r="O1224" s="36"/>
      <c r="P1224" s="36"/>
    </row>
    <row r="1225" ht="14.25" customHeight="1">
      <c r="A1225" s="49"/>
      <c r="C1225" s="69" t="s">
        <v>25</v>
      </c>
      <c r="D1225" s="70"/>
      <c r="E1225" s="36"/>
      <c r="F1225" s="36"/>
      <c r="G1225" s="71"/>
      <c r="H1225" s="36"/>
      <c r="I1225" s="36"/>
      <c r="J1225" s="36"/>
      <c r="K1225" s="70"/>
      <c r="L1225" s="36"/>
      <c r="M1225" s="36"/>
      <c r="N1225" s="36"/>
      <c r="O1225" s="36"/>
      <c r="P1225" s="36"/>
    </row>
    <row r="1226" ht="14.25" customHeight="1">
      <c r="A1226" s="56"/>
      <c r="B1226" s="57"/>
      <c r="C1226" s="77" t="s">
        <v>26</v>
      </c>
      <c r="D1226" s="72"/>
      <c r="E1226" s="73"/>
      <c r="F1226" s="73"/>
      <c r="G1226" s="74"/>
      <c r="H1226" s="73"/>
      <c r="I1226" s="73"/>
      <c r="J1226" s="73"/>
      <c r="K1226" s="72"/>
      <c r="L1226" s="73"/>
      <c r="M1226" s="73"/>
      <c r="N1226" s="73"/>
      <c r="O1226" s="73"/>
      <c r="P1226" s="73"/>
    </row>
    <row r="1227" ht="14.25" customHeight="1">
      <c r="A1227" s="95">
        <v>45796.0</v>
      </c>
      <c r="B1227" s="94" t="s">
        <v>65</v>
      </c>
      <c r="C1227" s="64" t="s">
        <v>20</v>
      </c>
      <c r="D1227" s="65"/>
      <c r="E1227" s="66">
        <v>4.0</v>
      </c>
      <c r="F1227" s="67"/>
      <c r="G1227" s="68"/>
      <c r="H1227" s="66">
        <v>2.0</v>
      </c>
      <c r="I1227" s="67"/>
      <c r="J1227" s="67"/>
      <c r="K1227" s="65"/>
      <c r="L1227" s="67"/>
      <c r="M1227" s="67"/>
      <c r="N1227" s="66">
        <v>1.0</v>
      </c>
      <c r="O1227" s="67"/>
      <c r="P1227" s="67"/>
    </row>
    <row r="1228" ht="14.25" customHeight="1">
      <c r="A1228" s="49"/>
      <c r="C1228" s="69" t="s">
        <v>21</v>
      </c>
      <c r="D1228" s="70"/>
      <c r="E1228" s="16">
        <v>1.0</v>
      </c>
      <c r="F1228" s="16">
        <v>1.0</v>
      </c>
      <c r="G1228" s="69">
        <v>2.0</v>
      </c>
      <c r="H1228" s="36"/>
      <c r="I1228" s="36"/>
      <c r="J1228" s="36"/>
      <c r="K1228" s="70"/>
      <c r="L1228" s="36"/>
      <c r="M1228" s="36"/>
      <c r="N1228" s="36"/>
      <c r="O1228" s="36"/>
      <c r="P1228" s="36"/>
    </row>
    <row r="1229" ht="14.25" customHeight="1">
      <c r="A1229" s="49"/>
      <c r="C1229" s="69" t="s">
        <v>22</v>
      </c>
      <c r="D1229" s="70"/>
      <c r="E1229" s="36"/>
      <c r="F1229" s="36"/>
      <c r="G1229" s="71"/>
      <c r="H1229" s="36"/>
      <c r="I1229" s="36"/>
      <c r="J1229" s="36"/>
      <c r="K1229" s="70"/>
      <c r="L1229" s="36"/>
      <c r="M1229" s="36"/>
      <c r="N1229" s="36"/>
      <c r="O1229" s="36"/>
      <c r="P1229" s="36"/>
    </row>
    <row r="1230" ht="14.25" customHeight="1">
      <c r="A1230" s="49"/>
      <c r="C1230" s="69" t="s">
        <v>23</v>
      </c>
      <c r="D1230" s="70"/>
      <c r="E1230" s="36"/>
      <c r="F1230" s="36"/>
      <c r="G1230" s="71"/>
      <c r="H1230" s="36"/>
      <c r="I1230" s="36"/>
      <c r="J1230" s="36"/>
      <c r="K1230" s="70"/>
      <c r="L1230" s="36"/>
      <c r="M1230" s="36"/>
      <c r="N1230" s="36"/>
      <c r="O1230" s="36"/>
      <c r="P1230" s="36"/>
    </row>
    <row r="1231" ht="14.25" customHeight="1">
      <c r="A1231" s="49"/>
      <c r="C1231" s="69" t="s">
        <v>24</v>
      </c>
      <c r="D1231" s="70"/>
      <c r="E1231" s="36"/>
      <c r="F1231" s="36"/>
      <c r="G1231" s="71"/>
      <c r="H1231" s="36"/>
      <c r="I1231" s="36"/>
      <c r="J1231" s="36"/>
      <c r="K1231" s="70"/>
      <c r="L1231" s="36"/>
      <c r="M1231" s="36"/>
      <c r="N1231" s="36"/>
      <c r="O1231" s="36"/>
      <c r="P1231" s="36"/>
    </row>
    <row r="1232" ht="14.25" customHeight="1">
      <c r="A1232" s="49"/>
      <c r="C1232" s="69" t="s">
        <v>25</v>
      </c>
      <c r="D1232" s="70"/>
      <c r="E1232" s="36"/>
      <c r="F1232" s="36"/>
      <c r="G1232" s="71"/>
      <c r="H1232" s="36"/>
      <c r="I1232" s="36"/>
      <c r="J1232" s="36"/>
      <c r="K1232" s="70"/>
      <c r="L1232" s="36"/>
      <c r="M1232" s="36"/>
      <c r="N1232" s="36"/>
      <c r="O1232" s="36"/>
      <c r="P1232" s="36"/>
    </row>
    <row r="1233" ht="14.25" customHeight="1">
      <c r="A1233" s="56"/>
      <c r="B1233" s="57"/>
      <c r="C1233" s="77" t="s">
        <v>26</v>
      </c>
      <c r="D1233" s="72"/>
      <c r="E1233" s="73"/>
      <c r="F1233" s="73"/>
      <c r="G1233" s="74"/>
      <c r="H1233" s="73"/>
      <c r="I1233" s="73"/>
      <c r="J1233" s="73"/>
      <c r="K1233" s="72"/>
      <c r="L1233" s="73"/>
      <c r="M1233" s="73"/>
      <c r="N1233" s="73"/>
      <c r="O1233" s="73"/>
      <c r="P1233" s="73"/>
    </row>
    <row r="1234" ht="14.25" customHeight="1">
      <c r="A1234" s="95">
        <v>45797.0</v>
      </c>
      <c r="B1234" s="66" t="s">
        <v>68</v>
      </c>
      <c r="C1234" s="64" t="s">
        <v>20</v>
      </c>
      <c r="D1234" s="65"/>
      <c r="E1234" s="66">
        <v>4.0</v>
      </c>
      <c r="F1234" s="66">
        <v>4.0</v>
      </c>
      <c r="G1234" s="68"/>
      <c r="H1234" s="66">
        <v>2.0</v>
      </c>
      <c r="I1234" s="66">
        <v>1.0</v>
      </c>
      <c r="J1234" s="67"/>
      <c r="K1234" s="65"/>
      <c r="L1234" s="67"/>
      <c r="M1234" s="67"/>
      <c r="N1234" s="66">
        <v>5.0</v>
      </c>
      <c r="O1234" s="67"/>
      <c r="P1234" s="67"/>
    </row>
    <row r="1235" ht="14.25" customHeight="1">
      <c r="A1235" s="49"/>
      <c r="C1235" s="69" t="s">
        <v>21</v>
      </c>
      <c r="D1235" s="70"/>
      <c r="E1235" s="36"/>
      <c r="F1235" s="36"/>
      <c r="G1235" s="71"/>
      <c r="H1235" s="36"/>
      <c r="I1235" s="36"/>
      <c r="J1235" s="36"/>
      <c r="K1235" s="70"/>
      <c r="L1235" s="36"/>
      <c r="M1235" s="36"/>
      <c r="N1235" s="36"/>
      <c r="O1235" s="36"/>
      <c r="P1235" s="36"/>
    </row>
    <row r="1236" ht="14.25" customHeight="1">
      <c r="A1236" s="49"/>
      <c r="C1236" s="69" t="s">
        <v>22</v>
      </c>
      <c r="D1236" s="70"/>
      <c r="E1236" s="36"/>
      <c r="F1236" s="36"/>
      <c r="G1236" s="71"/>
      <c r="H1236" s="36"/>
      <c r="I1236" s="36"/>
      <c r="J1236" s="36"/>
      <c r="K1236" s="70"/>
      <c r="L1236" s="36"/>
      <c r="M1236" s="36"/>
      <c r="N1236" s="36"/>
      <c r="O1236" s="36"/>
      <c r="P1236" s="36"/>
    </row>
    <row r="1237" ht="14.25" customHeight="1">
      <c r="A1237" s="49"/>
      <c r="C1237" s="69" t="s">
        <v>23</v>
      </c>
      <c r="D1237" s="70"/>
      <c r="E1237" s="36"/>
      <c r="F1237" s="36"/>
      <c r="G1237" s="71"/>
      <c r="H1237" s="36"/>
      <c r="I1237" s="36"/>
      <c r="J1237" s="36"/>
      <c r="K1237" s="70"/>
      <c r="L1237" s="36"/>
      <c r="M1237" s="36"/>
      <c r="N1237" s="36"/>
      <c r="O1237" s="36"/>
      <c r="P1237" s="36"/>
    </row>
    <row r="1238" ht="14.25" customHeight="1">
      <c r="A1238" s="49"/>
      <c r="C1238" s="69" t="s">
        <v>24</v>
      </c>
      <c r="D1238" s="70"/>
      <c r="E1238" s="36"/>
      <c r="F1238" s="36"/>
      <c r="G1238" s="71"/>
      <c r="H1238" s="36"/>
      <c r="I1238" s="36"/>
      <c r="J1238" s="36"/>
      <c r="K1238" s="70"/>
      <c r="L1238" s="36"/>
      <c r="M1238" s="36"/>
      <c r="N1238" s="36"/>
      <c r="O1238" s="36"/>
      <c r="P1238" s="36"/>
    </row>
    <row r="1239" ht="14.25" customHeight="1">
      <c r="A1239" s="49"/>
      <c r="C1239" s="69" t="s">
        <v>25</v>
      </c>
      <c r="D1239" s="70"/>
      <c r="E1239" s="36"/>
      <c r="F1239" s="36"/>
      <c r="G1239" s="71"/>
      <c r="H1239" s="36"/>
      <c r="I1239" s="36"/>
      <c r="J1239" s="36"/>
      <c r="K1239" s="70"/>
      <c r="L1239" s="36"/>
      <c r="M1239" s="36"/>
      <c r="N1239" s="36"/>
      <c r="O1239" s="36"/>
      <c r="P1239" s="36"/>
    </row>
    <row r="1240" ht="14.25" customHeight="1">
      <c r="A1240" s="56"/>
      <c r="B1240" s="57"/>
      <c r="C1240" s="77" t="s">
        <v>26</v>
      </c>
      <c r="D1240" s="72"/>
      <c r="E1240" s="73"/>
      <c r="F1240" s="73"/>
      <c r="G1240" s="74"/>
      <c r="H1240" s="73"/>
      <c r="I1240" s="73"/>
      <c r="J1240" s="73"/>
      <c r="K1240" s="72"/>
      <c r="L1240" s="73"/>
      <c r="M1240" s="73"/>
      <c r="N1240" s="73"/>
      <c r="O1240" s="73"/>
      <c r="P1240" s="73"/>
    </row>
    <row r="1241" ht="14.25" customHeight="1">
      <c r="A1241" s="95">
        <v>45797.0</v>
      </c>
      <c r="B1241" s="96" t="s">
        <v>68</v>
      </c>
      <c r="C1241" s="64" t="s">
        <v>20</v>
      </c>
      <c r="D1241" s="65"/>
      <c r="E1241" s="66">
        <v>4.0</v>
      </c>
      <c r="F1241" s="66">
        <v>1.0</v>
      </c>
      <c r="G1241" s="68"/>
      <c r="H1241" s="66">
        <v>1.0</v>
      </c>
      <c r="I1241" s="67"/>
      <c r="J1241" s="67"/>
      <c r="K1241" s="65"/>
      <c r="L1241" s="67"/>
      <c r="M1241" s="67"/>
      <c r="N1241" s="66">
        <v>1.0</v>
      </c>
      <c r="O1241" s="66">
        <v>1.0</v>
      </c>
      <c r="P1241" s="67"/>
    </row>
    <row r="1242" ht="14.25" customHeight="1">
      <c r="A1242" s="49"/>
      <c r="C1242" s="69" t="s">
        <v>21</v>
      </c>
      <c r="D1242" s="70"/>
      <c r="E1242" s="36"/>
      <c r="F1242" s="36"/>
      <c r="G1242" s="71"/>
      <c r="H1242" s="36"/>
      <c r="I1242" s="36"/>
      <c r="J1242" s="36"/>
      <c r="K1242" s="70"/>
      <c r="L1242" s="36"/>
      <c r="M1242" s="36"/>
      <c r="N1242" s="36"/>
      <c r="O1242" s="36"/>
      <c r="P1242" s="36"/>
    </row>
    <row r="1243" ht="14.25" customHeight="1">
      <c r="A1243" s="49"/>
      <c r="C1243" s="69" t="s">
        <v>22</v>
      </c>
      <c r="D1243" s="70"/>
      <c r="E1243" s="36"/>
      <c r="F1243" s="36"/>
      <c r="G1243" s="71"/>
      <c r="H1243" s="36"/>
      <c r="I1243" s="36"/>
      <c r="J1243" s="36"/>
      <c r="K1243" s="70"/>
      <c r="L1243" s="36"/>
      <c r="M1243" s="36"/>
      <c r="N1243" s="36"/>
      <c r="O1243" s="36"/>
      <c r="P1243" s="36"/>
    </row>
    <row r="1244" ht="14.25" customHeight="1">
      <c r="A1244" s="49"/>
      <c r="C1244" s="69" t="s">
        <v>23</v>
      </c>
      <c r="D1244" s="76">
        <v>1.0</v>
      </c>
      <c r="E1244" s="36"/>
      <c r="F1244" s="36"/>
      <c r="G1244" s="71"/>
      <c r="H1244" s="36"/>
      <c r="I1244" s="36"/>
      <c r="J1244" s="36"/>
      <c r="K1244" s="70"/>
      <c r="L1244" s="36"/>
      <c r="M1244" s="36"/>
      <c r="N1244" s="36"/>
      <c r="O1244" s="36"/>
      <c r="P1244" s="36"/>
    </row>
    <row r="1245" ht="14.25" customHeight="1">
      <c r="A1245" s="49"/>
      <c r="C1245" s="69" t="s">
        <v>24</v>
      </c>
      <c r="D1245" s="70"/>
      <c r="E1245" s="36"/>
      <c r="F1245" s="36"/>
      <c r="G1245" s="71"/>
      <c r="H1245" s="36"/>
      <c r="I1245" s="36"/>
      <c r="J1245" s="36"/>
      <c r="K1245" s="70"/>
      <c r="L1245" s="36"/>
      <c r="M1245" s="36"/>
      <c r="N1245" s="36"/>
      <c r="O1245" s="36"/>
      <c r="P1245" s="36"/>
    </row>
    <row r="1246" ht="14.25" customHeight="1">
      <c r="A1246" s="49"/>
      <c r="C1246" s="69" t="s">
        <v>25</v>
      </c>
      <c r="D1246" s="70"/>
      <c r="E1246" s="36"/>
      <c r="F1246" s="36"/>
      <c r="G1246" s="71"/>
      <c r="H1246" s="36"/>
      <c r="I1246" s="36"/>
      <c r="J1246" s="36"/>
      <c r="K1246" s="70"/>
      <c r="L1246" s="36"/>
      <c r="M1246" s="36"/>
      <c r="N1246" s="36"/>
      <c r="O1246" s="36"/>
      <c r="P1246" s="36"/>
    </row>
    <row r="1247" ht="14.25" customHeight="1">
      <c r="A1247" s="56"/>
      <c r="C1247" s="77" t="s">
        <v>26</v>
      </c>
      <c r="D1247" s="72"/>
      <c r="E1247" s="73"/>
      <c r="F1247" s="73"/>
      <c r="G1247" s="74"/>
      <c r="H1247" s="73"/>
      <c r="I1247" s="73"/>
      <c r="J1247" s="73"/>
      <c r="K1247" s="72"/>
      <c r="L1247" s="73"/>
      <c r="M1247" s="73"/>
      <c r="N1247" s="73"/>
      <c r="O1247" s="73"/>
      <c r="P1247" s="73"/>
    </row>
    <row r="1248" ht="14.25" customHeight="1">
      <c r="A1248" s="95">
        <v>45798.0</v>
      </c>
      <c r="B1248" s="66" t="s">
        <v>43</v>
      </c>
      <c r="C1248" s="64" t="s">
        <v>20</v>
      </c>
      <c r="D1248" s="65"/>
      <c r="E1248" s="66">
        <v>12.0</v>
      </c>
      <c r="F1248" s="66">
        <v>9.0</v>
      </c>
      <c r="G1248" s="68"/>
      <c r="H1248" s="66">
        <v>4.0</v>
      </c>
      <c r="I1248" s="66">
        <v>1.0</v>
      </c>
      <c r="J1248" s="67"/>
      <c r="K1248" s="65"/>
      <c r="L1248" s="67"/>
      <c r="M1248" s="67"/>
      <c r="N1248" s="66">
        <v>2.0</v>
      </c>
      <c r="O1248" s="67"/>
      <c r="P1248" s="67"/>
    </row>
    <row r="1249" ht="14.25" customHeight="1">
      <c r="A1249" s="49"/>
      <c r="C1249" s="69" t="s">
        <v>21</v>
      </c>
      <c r="D1249" s="70"/>
      <c r="E1249" s="36"/>
      <c r="F1249" s="36"/>
      <c r="G1249" s="71"/>
      <c r="H1249" s="36"/>
      <c r="I1249" s="36"/>
      <c r="J1249" s="36"/>
      <c r="K1249" s="70"/>
      <c r="L1249" s="36"/>
      <c r="M1249" s="36"/>
      <c r="N1249" s="36"/>
      <c r="O1249" s="36"/>
      <c r="P1249" s="36"/>
    </row>
    <row r="1250" ht="14.25" customHeight="1">
      <c r="A1250" s="49"/>
      <c r="C1250" s="69" t="s">
        <v>22</v>
      </c>
      <c r="D1250" s="70"/>
      <c r="E1250" s="36"/>
      <c r="F1250" s="36"/>
      <c r="G1250" s="71"/>
      <c r="H1250" s="36"/>
      <c r="I1250" s="36"/>
      <c r="J1250" s="36"/>
      <c r="K1250" s="70"/>
      <c r="L1250" s="36"/>
      <c r="M1250" s="36"/>
      <c r="N1250" s="36"/>
      <c r="O1250" s="36"/>
      <c r="P1250" s="36"/>
    </row>
    <row r="1251" ht="14.25" customHeight="1">
      <c r="A1251" s="49"/>
      <c r="C1251" s="69" t="s">
        <v>23</v>
      </c>
      <c r="D1251" s="70"/>
      <c r="E1251" s="36"/>
      <c r="F1251" s="36"/>
      <c r="G1251" s="71"/>
      <c r="H1251" s="36"/>
      <c r="I1251" s="36"/>
      <c r="J1251" s="36"/>
      <c r="K1251" s="70"/>
      <c r="L1251" s="36"/>
      <c r="M1251" s="36"/>
      <c r="N1251" s="36"/>
      <c r="O1251" s="36"/>
      <c r="P1251" s="36"/>
    </row>
    <row r="1252" ht="14.25" customHeight="1">
      <c r="A1252" s="49"/>
      <c r="C1252" s="69" t="s">
        <v>24</v>
      </c>
      <c r="D1252" s="70"/>
      <c r="E1252" s="36"/>
      <c r="F1252" s="36"/>
      <c r="G1252" s="71"/>
      <c r="H1252" s="36"/>
      <c r="I1252" s="36"/>
      <c r="J1252" s="36"/>
      <c r="K1252" s="70"/>
      <c r="L1252" s="36"/>
      <c r="M1252" s="36"/>
      <c r="N1252" s="36"/>
      <c r="O1252" s="36"/>
      <c r="P1252" s="36"/>
    </row>
    <row r="1253" ht="14.25" customHeight="1">
      <c r="A1253" s="49"/>
      <c r="C1253" s="69" t="s">
        <v>25</v>
      </c>
      <c r="D1253" s="70"/>
      <c r="E1253" s="36"/>
      <c r="F1253" s="36"/>
      <c r="G1253" s="71"/>
      <c r="H1253" s="36"/>
      <c r="I1253" s="36"/>
      <c r="J1253" s="36"/>
      <c r="K1253" s="70"/>
      <c r="L1253" s="36"/>
      <c r="M1253" s="36"/>
      <c r="N1253" s="36"/>
      <c r="O1253" s="36"/>
      <c r="P1253" s="36"/>
    </row>
    <row r="1254" ht="14.25" customHeight="1">
      <c r="A1254" s="56"/>
      <c r="B1254" s="57"/>
      <c r="C1254" s="77" t="s">
        <v>26</v>
      </c>
      <c r="D1254" s="72"/>
      <c r="E1254" s="73"/>
      <c r="F1254" s="73"/>
      <c r="G1254" s="74"/>
      <c r="H1254" s="73"/>
      <c r="I1254" s="73"/>
      <c r="J1254" s="73"/>
      <c r="K1254" s="72"/>
      <c r="L1254" s="73"/>
      <c r="M1254" s="73"/>
      <c r="N1254" s="73"/>
      <c r="O1254" s="73"/>
      <c r="P1254" s="73"/>
    </row>
    <row r="1255" ht="14.25" customHeight="1">
      <c r="A1255" s="95">
        <v>45798.0</v>
      </c>
      <c r="B1255" s="66" t="s">
        <v>69</v>
      </c>
      <c r="C1255" s="64" t="s">
        <v>20</v>
      </c>
      <c r="D1255" s="75">
        <v>1.0</v>
      </c>
      <c r="E1255" s="66">
        <v>3.0</v>
      </c>
      <c r="F1255" s="66">
        <v>3.0</v>
      </c>
      <c r="G1255" s="68"/>
      <c r="H1255" s="66">
        <v>1.0</v>
      </c>
      <c r="I1255" s="66">
        <v>1.0</v>
      </c>
      <c r="J1255" s="67"/>
      <c r="K1255" s="65"/>
      <c r="L1255" s="67"/>
      <c r="M1255" s="67"/>
      <c r="N1255" s="66">
        <v>5.0</v>
      </c>
      <c r="O1255" s="67"/>
      <c r="P1255" s="67"/>
    </row>
    <row r="1256" ht="14.25" customHeight="1">
      <c r="A1256" s="49"/>
      <c r="C1256" s="69" t="s">
        <v>21</v>
      </c>
      <c r="D1256" s="70"/>
      <c r="E1256" s="36"/>
      <c r="F1256" s="16">
        <v>1.0</v>
      </c>
      <c r="G1256" s="71"/>
      <c r="H1256" s="36"/>
      <c r="I1256" s="36"/>
      <c r="J1256" s="36"/>
      <c r="K1256" s="70"/>
      <c r="L1256" s="36"/>
      <c r="M1256" s="36"/>
      <c r="N1256" s="36"/>
      <c r="O1256" s="36"/>
      <c r="P1256" s="36"/>
    </row>
    <row r="1257" ht="14.25" customHeight="1">
      <c r="A1257" s="49"/>
      <c r="C1257" s="69" t="s">
        <v>22</v>
      </c>
      <c r="D1257" s="70"/>
      <c r="E1257" s="36"/>
      <c r="F1257" s="36"/>
      <c r="G1257" s="71"/>
      <c r="H1257" s="36"/>
      <c r="I1257" s="36"/>
      <c r="J1257" s="36"/>
      <c r="K1257" s="70"/>
      <c r="L1257" s="36"/>
      <c r="M1257" s="36"/>
      <c r="N1257" s="36"/>
      <c r="O1257" s="36"/>
      <c r="P1257" s="36"/>
    </row>
    <row r="1258" ht="14.25" customHeight="1">
      <c r="A1258" s="49"/>
      <c r="C1258" s="69" t="s">
        <v>23</v>
      </c>
      <c r="D1258" s="70"/>
      <c r="E1258" s="36"/>
      <c r="F1258" s="36"/>
      <c r="G1258" s="71"/>
      <c r="H1258" s="36"/>
      <c r="I1258" s="36"/>
      <c r="J1258" s="36"/>
      <c r="K1258" s="70"/>
      <c r="L1258" s="36"/>
      <c r="M1258" s="36"/>
      <c r="N1258" s="36"/>
      <c r="O1258" s="36"/>
      <c r="P1258" s="36"/>
    </row>
    <row r="1259" ht="14.25" customHeight="1">
      <c r="A1259" s="49"/>
      <c r="C1259" s="69" t="s">
        <v>24</v>
      </c>
      <c r="D1259" s="70"/>
      <c r="E1259" s="36"/>
      <c r="F1259" s="36"/>
      <c r="G1259" s="71"/>
      <c r="H1259" s="36"/>
      <c r="I1259" s="36"/>
      <c r="J1259" s="36"/>
      <c r="K1259" s="70"/>
      <c r="L1259" s="36"/>
      <c r="M1259" s="36"/>
      <c r="N1259" s="36"/>
      <c r="O1259" s="36"/>
      <c r="P1259" s="36"/>
    </row>
    <row r="1260" ht="14.25" customHeight="1">
      <c r="A1260" s="49"/>
      <c r="C1260" s="69" t="s">
        <v>25</v>
      </c>
      <c r="D1260" s="70"/>
      <c r="E1260" s="36"/>
      <c r="F1260" s="36"/>
      <c r="G1260" s="71"/>
      <c r="H1260" s="36"/>
      <c r="I1260" s="36"/>
      <c r="J1260" s="36"/>
      <c r="K1260" s="70"/>
      <c r="L1260" s="36"/>
      <c r="M1260" s="36"/>
      <c r="N1260" s="36"/>
      <c r="O1260" s="36"/>
      <c r="P1260" s="36"/>
    </row>
    <row r="1261" ht="14.25" customHeight="1">
      <c r="A1261" s="56"/>
      <c r="B1261" s="57"/>
      <c r="C1261" s="77" t="s">
        <v>26</v>
      </c>
      <c r="D1261" s="72"/>
      <c r="E1261" s="73"/>
      <c r="F1261" s="73"/>
      <c r="G1261" s="74"/>
      <c r="H1261" s="73"/>
      <c r="I1261" s="73"/>
      <c r="J1261" s="73"/>
      <c r="K1261" s="72"/>
      <c r="L1261" s="73"/>
      <c r="M1261" s="73"/>
      <c r="N1261" s="73"/>
      <c r="O1261" s="73"/>
      <c r="P1261" s="73"/>
    </row>
    <row r="1262" ht="14.25" customHeight="1">
      <c r="A1262" s="95">
        <v>45799.0</v>
      </c>
      <c r="B1262" s="94" t="s">
        <v>65</v>
      </c>
      <c r="C1262" s="64" t="s">
        <v>20</v>
      </c>
      <c r="D1262" s="65"/>
      <c r="E1262" s="66">
        <v>6.0</v>
      </c>
      <c r="F1262" s="66">
        <v>1.0</v>
      </c>
      <c r="G1262" s="68"/>
      <c r="H1262" s="66">
        <v>1.0</v>
      </c>
      <c r="I1262" s="66">
        <v>1.0</v>
      </c>
      <c r="J1262" s="67"/>
      <c r="K1262" s="65"/>
      <c r="L1262" s="67"/>
      <c r="M1262" s="67"/>
      <c r="N1262" s="66">
        <v>2.0</v>
      </c>
      <c r="O1262" s="66">
        <v>2.0</v>
      </c>
      <c r="P1262" s="67"/>
    </row>
    <row r="1263" ht="14.25" customHeight="1">
      <c r="A1263" s="49"/>
      <c r="C1263" s="69" t="s">
        <v>21</v>
      </c>
      <c r="D1263" s="70"/>
      <c r="E1263" s="36"/>
      <c r="F1263" s="36"/>
      <c r="G1263" s="71"/>
      <c r="H1263" s="36"/>
      <c r="I1263" s="36"/>
      <c r="J1263" s="36"/>
      <c r="K1263" s="70"/>
      <c r="L1263" s="36"/>
      <c r="M1263" s="36"/>
      <c r="N1263" s="36"/>
      <c r="O1263" s="36"/>
      <c r="P1263" s="36"/>
    </row>
    <row r="1264" ht="14.25" customHeight="1">
      <c r="A1264" s="49"/>
      <c r="C1264" s="69" t="s">
        <v>22</v>
      </c>
      <c r="D1264" s="70"/>
      <c r="E1264" s="36"/>
      <c r="F1264" s="36"/>
      <c r="G1264" s="71"/>
      <c r="H1264" s="36"/>
      <c r="I1264" s="36"/>
      <c r="J1264" s="36"/>
      <c r="K1264" s="70"/>
      <c r="L1264" s="36"/>
      <c r="M1264" s="36"/>
      <c r="N1264" s="36"/>
      <c r="O1264" s="36"/>
      <c r="P1264" s="36"/>
    </row>
    <row r="1265" ht="14.25" customHeight="1">
      <c r="A1265" s="49"/>
      <c r="C1265" s="69" t="s">
        <v>23</v>
      </c>
      <c r="D1265" s="70"/>
      <c r="E1265" s="36"/>
      <c r="F1265" s="16">
        <v>3.0</v>
      </c>
      <c r="G1265" s="69">
        <v>1.0</v>
      </c>
      <c r="H1265" s="36"/>
      <c r="I1265" s="36"/>
      <c r="J1265" s="36"/>
      <c r="K1265" s="70"/>
      <c r="L1265" s="36"/>
      <c r="M1265" s="36"/>
      <c r="N1265" s="36"/>
      <c r="O1265" s="36"/>
      <c r="P1265" s="36"/>
    </row>
    <row r="1266" ht="14.25" customHeight="1">
      <c r="A1266" s="49"/>
      <c r="C1266" s="69" t="s">
        <v>24</v>
      </c>
      <c r="D1266" s="70"/>
      <c r="E1266" s="36"/>
      <c r="F1266" s="36"/>
      <c r="G1266" s="71"/>
      <c r="H1266" s="36"/>
      <c r="I1266" s="36"/>
      <c r="J1266" s="36"/>
      <c r="K1266" s="70"/>
      <c r="L1266" s="36"/>
      <c r="M1266" s="36"/>
      <c r="N1266" s="36"/>
      <c r="O1266" s="36"/>
      <c r="P1266" s="36"/>
    </row>
    <row r="1267" ht="14.25" customHeight="1">
      <c r="A1267" s="49"/>
      <c r="C1267" s="69" t="s">
        <v>25</v>
      </c>
      <c r="D1267" s="70"/>
      <c r="E1267" s="36"/>
      <c r="F1267" s="36"/>
      <c r="G1267" s="71"/>
      <c r="H1267" s="36"/>
      <c r="I1267" s="36"/>
      <c r="J1267" s="36"/>
      <c r="K1267" s="70"/>
      <c r="L1267" s="36"/>
      <c r="M1267" s="36"/>
      <c r="N1267" s="36"/>
      <c r="O1267" s="36"/>
      <c r="P1267" s="36"/>
    </row>
    <row r="1268" ht="14.25" customHeight="1">
      <c r="A1268" s="56"/>
      <c r="B1268" s="57"/>
      <c r="C1268" s="77" t="s">
        <v>26</v>
      </c>
      <c r="D1268" s="72"/>
      <c r="E1268" s="73"/>
      <c r="F1268" s="73"/>
      <c r="G1268" s="74"/>
      <c r="H1268" s="73"/>
      <c r="I1268" s="73"/>
      <c r="J1268" s="73"/>
      <c r="K1268" s="72"/>
      <c r="L1268" s="73"/>
      <c r="M1268" s="73"/>
      <c r="N1268" s="73"/>
      <c r="O1268" s="73"/>
      <c r="P1268" s="73"/>
    </row>
    <row r="1269" ht="14.25" customHeight="1">
      <c r="A1269" s="95">
        <v>45799.0</v>
      </c>
      <c r="B1269" s="66" t="s">
        <v>45</v>
      </c>
      <c r="C1269" s="64" t="s">
        <v>20</v>
      </c>
      <c r="D1269" s="65"/>
      <c r="E1269" s="66">
        <v>1.0</v>
      </c>
      <c r="F1269" s="67"/>
      <c r="G1269" s="68"/>
      <c r="H1269" s="67"/>
      <c r="I1269" s="66">
        <v>1.0</v>
      </c>
      <c r="J1269" s="67"/>
      <c r="K1269" s="65"/>
      <c r="L1269" s="67"/>
      <c r="M1269" s="67"/>
      <c r="N1269" s="67"/>
      <c r="O1269" s="67"/>
      <c r="P1269" s="67"/>
    </row>
    <row r="1270" ht="14.25" customHeight="1">
      <c r="A1270" s="49"/>
      <c r="C1270" s="69" t="s">
        <v>21</v>
      </c>
      <c r="D1270" s="70"/>
      <c r="E1270" s="16">
        <v>1.0</v>
      </c>
      <c r="F1270" s="16">
        <v>1.0</v>
      </c>
      <c r="G1270" s="69">
        <v>1.0</v>
      </c>
      <c r="H1270" s="16">
        <v>1.0</v>
      </c>
      <c r="I1270" s="36"/>
      <c r="J1270" s="36"/>
      <c r="K1270" s="70"/>
      <c r="L1270" s="36"/>
      <c r="M1270" s="36"/>
      <c r="N1270" s="16">
        <v>1.0</v>
      </c>
      <c r="O1270" s="36"/>
      <c r="P1270" s="36"/>
    </row>
    <row r="1271" ht="14.25" customHeight="1">
      <c r="A1271" s="49"/>
      <c r="C1271" s="69" t="s">
        <v>22</v>
      </c>
      <c r="D1271" s="70"/>
      <c r="E1271" s="36"/>
      <c r="F1271" s="36"/>
      <c r="G1271" s="71"/>
      <c r="H1271" s="36"/>
      <c r="I1271" s="36"/>
      <c r="J1271" s="36"/>
      <c r="K1271" s="70"/>
      <c r="L1271" s="36"/>
      <c r="M1271" s="36"/>
      <c r="N1271" s="36"/>
      <c r="O1271" s="36"/>
      <c r="P1271" s="36"/>
    </row>
    <row r="1272" ht="14.25" customHeight="1">
      <c r="A1272" s="49"/>
      <c r="C1272" s="69" t="s">
        <v>23</v>
      </c>
      <c r="D1272" s="70"/>
      <c r="E1272" s="36"/>
      <c r="F1272" s="36"/>
      <c r="G1272" s="71"/>
      <c r="H1272" s="36"/>
      <c r="I1272" s="36"/>
      <c r="J1272" s="36"/>
      <c r="K1272" s="70"/>
      <c r="L1272" s="36"/>
      <c r="M1272" s="36"/>
      <c r="N1272" s="36"/>
      <c r="O1272" s="36"/>
      <c r="P1272" s="36"/>
    </row>
    <row r="1273" ht="14.25" customHeight="1">
      <c r="A1273" s="49"/>
      <c r="C1273" s="69" t="s">
        <v>24</v>
      </c>
      <c r="D1273" s="70"/>
      <c r="E1273" s="36"/>
      <c r="F1273" s="36"/>
      <c r="G1273" s="71"/>
      <c r="H1273" s="36"/>
      <c r="I1273" s="36"/>
      <c r="J1273" s="36"/>
      <c r="K1273" s="70"/>
      <c r="L1273" s="36"/>
      <c r="M1273" s="36"/>
      <c r="N1273" s="36"/>
      <c r="O1273" s="36"/>
      <c r="P1273" s="36"/>
    </row>
    <row r="1274" ht="14.25" customHeight="1">
      <c r="A1274" s="49"/>
      <c r="C1274" s="69" t="s">
        <v>25</v>
      </c>
      <c r="D1274" s="70"/>
      <c r="E1274" s="36"/>
      <c r="F1274" s="36"/>
      <c r="G1274" s="71"/>
      <c r="H1274" s="36"/>
      <c r="I1274" s="36"/>
      <c r="J1274" s="36"/>
      <c r="K1274" s="70"/>
      <c r="L1274" s="36"/>
      <c r="M1274" s="36"/>
      <c r="N1274" s="36"/>
      <c r="O1274" s="36"/>
      <c r="P1274" s="36"/>
    </row>
    <row r="1275" ht="14.25" customHeight="1">
      <c r="A1275" s="56"/>
      <c r="B1275" s="57"/>
      <c r="C1275" s="77" t="s">
        <v>26</v>
      </c>
      <c r="D1275" s="72"/>
      <c r="E1275" s="73"/>
      <c r="F1275" s="73"/>
      <c r="G1275" s="74"/>
      <c r="H1275" s="73"/>
      <c r="I1275" s="73"/>
      <c r="J1275" s="73"/>
      <c r="K1275" s="72"/>
      <c r="L1275" s="73"/>
      <c r="M1275" s="73"/>
      <c r="N1275" s="73"/>
      <c r="O1275" s="73"/>
      <c r="P1275" s="73"/>
    </row>
    <row r="1276" ht="14.25" customHeight="1">
      <c r="A1276" s="93">
        <v>45800.0</v>
      </c>
      <c r="B1276" s="66" t="s">
        <v>68</v>
      </c>
      <c r="C1276" s="64" t="s">
        <v>20</v>
      </c>
      <c r="D1276" s="75">
        <v>1.0</v>
      </c>
      <c r="E1276" s="66">
        <v>3.0</v>
      </c>
      <c r="F1276" s="67"/>
      <c r="G1276" s="68"/>
      <c r="H1276" s="66">
        <v>1.0</v>
      </c>
      <c r="I1276" s="67"/>
      <c r="J1276" s="67"/>
      <c r="K1276" s="65"/>
      <c r="L1276" s="67"/>
      <c r="M1276" s="67"/>
      <c r="N1276" s="66">
        <v>1.0</v>
      </c>
      <c r="O1276" s="67"/>
      <c r="P1276" s="67"/>
    </row>
    <row r="1277" ht="14.25" customHeight="1">
      <c r="A1277" s="49"/>
      <c r="C1277" s="69" t="s">
        <v>21</v>
      </c>
      <c r="D1277" s="70"/>
      <c r="E1277" s="36"/>
      <c r="F1277" s="36"/>
      <c r="G1277" s="69">
        <v>1.0</v>
      </c>
      <c r="H1277" s="36"/>
      <c r="I1277" s="36"/>
      <c r="J1277" s="36"/>
      <c r="K1277" s="70"/>
      <c r="L1277" s="36"/>
      <c r="M1277" s="36"/>
      <c r="N1277" s="36"/>
      <c r="O1277" s="36"/>
      <c r="P1277" s="36"/>
    </row>
    <row r="1278" ht="14.25" customHeight="1">
      <c r="A1278" s="49"/>
      <c r="C1278" s="69" t="s">
        <v>22</v>
      </c>
      <c r="D1278" s="70"/>
      <c r="E1278" s="36"/>
      <c r="F1278" s="36"/>
      <c r="G1278" s="71"/>
      <c r="H1278" s="36"/>
      <c r="I1278" s="36"/>
      <c r="J1278" s="36"/>
      <c r="K1278" s="70"/>
      <c r="L1278" s="36"/>
      <c r="M1278" s="36"/>
      <c r="N1278" s="36"/>
      <c r="O1278" s="36"/>
      <c r="P1278" s="36"/>
    </row>
    <row r="1279" ht="14.25" customHeight="1">
      <c r="A1279" s="49"/>
      <c r="C1279" s="69" t="s">
        <v>23</v>
      </c>
      <c r="D1279" s="70"/>
      <c r="E1279" s="16">
        <v>1.0</v>
      </c>
      <c r="F1279" s="36"/>
      <c r="G1279" s="71"/>
      <c r="H1279" s="36"/>
      <c r="I1279" s="16">
        <v>1.0</v>
      </c>
      <c r="J1279" s="36"/>
      <c r="K1279" s="70"/>
      <c r="L1279" s="36"/>
      <c r="M1279" s="36"/>
      <c r="N1279" s="36"/>
      <c r="O1279" s="36"/>
      <c r="P1279" s="36"/>
    </row>
    <row r="1280" ht="14.25" customHeight="1">
      <c r="A1280" s="49"/>
      <c r="C1280" s="69" t="s">
        <v>24</v>
      </c>
      <c r="D1280" s="70"/>
      <c r="E1280" s="36"/>
      <c r="F1280" s="36"/>
      <c r="G1280" s="71"/>
      <c r="H1280" s="36"/>
      <c r="I1280" s="36"/>
      <c r="J1280" s="36"/>
      <c r="K1280" s="70"/>
      <c r="L1280" s="36"/>
      <c r="M1280" s="36"/>
      <c r="N1280" s="36"/>
      <c r="O1280" s="36"/>
      <c r="P1280" s="36"/>
    </row>
    <row r="1281" ht="14.25" customHeight="1">
      <c r="A1281" s="49"/>
      <c r="C1281" s="69" t="s">
        <v>25</v>
      </c>
      <c r="D1281" s="70"/>
      <c r="E1281" s="36"/>
      <c r="F1281" s="36"/>
      <c r="G1281" s="71"/>
      <c r="H1281" s="36"/>
      <c r="I1281" s="36"/>
      <c r="J1281" s="36"/>
      <c r="K1281" s="70"/>
      <c r="L1281" s="36"/>
      <c r="M1281" s="36"/>
      <c r="N1281" s="36"/>
      <c r="O1281" s="36"/>
      <c r="P1281" s="36"/>
    </row>
    <row r="1282" ht="14.25" customHeight="1">
      <c r="A1282" s="56"/>
      <c r="B1282" s="57"/>
      <c r="C1282" s="77" t="s">
        <v>26</v>
      </c>
      <c r="D1282" s="72"/>
      <c r="E1282" s="73"/>
      <c r="F1282" s="73"/>
      <c r="G1282" s="74"/>
      <c r="H1282" s="73"/>
      <c r="I1282" s="73"/>
      <c r="J1282" s="73"/>
      <c r="K1282" s="72"/>
      <c r="L1282" s="73"/>
      <c r="M1282" s="73"/>
      <c r="N1282" s="73"/>
      <c r="O1282" s="73"/>
      <c r="P1282" s="73"/>
    </row>
    <row r="1283" ht="14.25" customHeight="1">
      <c r="A1283" s="93">
        <v>45800.0</v>
      </c>
      <c r="B1283" s="66" t="s">
        <v>69</v>
      </c>
      <c r="C1283" s="64" t="s">
        <v>20</v>
      </c>
      <c r="D1283" s="75">
        <v>2.0</v>
      </c>
      <c r="E1283" s="66">
        <v>10.0</v>
      </c>
      <c r="F1283" s="66">
        <v>1.0</v>
      </c>
      <c r="G1283" s="68"/>
      <c r="H1283" s="66">
        <v>2.0</v>
      </c>
      <c r="I1283" s="67"/>
      <c r="J1283" s="67"/>
      <c r="K1283" s="65"/>
      <c r="L1283" s="67"/>
      <c r="M1283" s="67"/>
      <c r="N1283" s="66">
        <v>6.0</v>
      </c>
      <c r="O1283" s="67"/>
      <c r="P1283" s="67"/>
    </row>
    <row r="1284" ht="14.25" customHeight="1">
      <c r="A1284" s="49"/>
      <c r="C1284" s="69" t="s">
        <v>21</v>
      </c>
      <c r="D1284" s="70"/>
      <c r="E1284" s="16">
        <v>1.0</v>
      </c>
      <c r="F1284" s="16">
        <v>4.0</v>
      </c>
      <c r="G1284" s="69">
        <v>5.0</v>
      </c>
      <c r="H1284" s="36"/>
      <c r="I1284" s="36"/>
      <c r="J1284" s="36"/>
      <c r="K1284" s="70"/>
      <c r="L1284" s="36"/>
      <c r="M1284" s="36"/>
      <c r="N1284" s="16">
        <v>3.0</v>
      </c>
      <c r="O1284" s="16">
        <v>1.0</v>
      </c>
      <c r="P1284" s="36"/>
    </row>
    <row r="1285" ht="14.25" customHeight="1">
      <c r="A1285" s="49"/>
      <c r="C1285" s="69" t="s">
        <v>22</v>
      </c>
      <c r="D1285" s="70"/>
      <c r="E1285" s="36"/>
      <c r="F1285" s="36"/>
      <c r="G1285" s="71"/>
      <c r="H1285" s="36"/>
      <c r="I1285" s="36"/>
      <c r="J1285" s="36"/>
      <c r="K1285" s="70"/>
      <c r="L1285" s="36"/>
      <c r="M1285" s="36"/>
      <c r="N1285" s="36"/>
      <c r="O1285" s="36"/>
      <c r="P1285" s="36"/>
    </row>
    <row r="1286" ht="14.25" customHeight="1">
      <c r="A1286" s="49"/>
      <c r="C1286" s="69" t="s">
        <v>23</v>
      </c>
      <c r="D1286" s="76">
        <v>1.0</v>
      </c>
      <c r="E1286" s="36"/>
      <c r="F1286" s="36"/>
      <c r="G1286" s="71"/>
      <c r="H1286" s="36"/>
      <c r="I1286" s="36"/>
      <c r="J1286" s="36"/>
      <c r="K1286" s="70"/>
      <c r="L1286" s="36"/>
      <c r="M1286" s="36"/>
      <c r="N1286" s="36"/>
      <c r="O1286" s="36"/>
      <c r="P1286" s="36"/>
    </row>
    <row r="1287" ht="14.25" customHeight="1">
      <c r="A1287" s="49"/>
      <c r="C1287" s="69" t="s">
        <v>24</v>
      </c>
      <c r="D1287" s="70"/>
      <c r="E1287" s="36"/>
      <c r="F1287" s="36"/>
      <c r="G1287" s="71"/>
      <c r="H1287" s="36"/>
      <c r="I1287" s="36"/>
      <c r="J1287" s="36"/>
      <c r="K1287" s="70"/>
      <c r="L1287" s="36"/>
      <c r="M1287" s="36"/>
      <c r="N1287" s="36"/>
      <c r="O1287" s="36"/>
      <c r="P1287" s="36"/>
    </row>
    <row r="1288" ht="14.25" customHeight="1">
      <c r="A1288" s="49"/>
      <c r="C1288" s="69" t="s">
        <v>25</v>
      </c>
      <c r="D1288" s="70"/>
      <c r="E1288" s="36"/>
      <c r="F1288" s="36"/>
      <c r="G1288" s="71"/>
      <c r="H1288" s="36"/>
      <c r="I1288" s="36"/>
      <c r="J1288" s="36"/>
      <c r="K1288" s="70"/>
      <c r="L1288" s="36"/>
      <c r="M1288" s="36"/>
      <c r="N1288" s="36"/>
      <c r="O1288" s="36"/>
      <c r="P1288" s="36"/>
    </row>
    <row r="1289" ht="14.25" customHeight="1">
      <c r="A1289" s="56"/>
      <c r="B1289" s="57"/>
      <c r="C1289" s="77" t="s">
        <v>26</v>
      </c>
      <c r="D1289" s="72"/>
      <c r="E1289" s="73"/>
      <c r="F1289" s="73"/>
      <c r="G1289" s="74"/>
      <c r="H1289" s="73"/>
      <c r="I1289" s="73"/>
      <c r="J1289" s="73"/>
      <c r="K1289" s="72"/>
      <c r="L1289" s="73"/>
      <c r="M1289" s="73"/>
      <c r="N1289" s="73"/>
      <c r="O1289" s="73"/>
      <c r="P1289" s="73"/>
    </row>
    <row r="1290" ht="14.25" customHeight="1">
      <c r="A1290" s="93">
        <v>45811.0</v>
      </c>
      <c r="B1290" s="66" t="s">
        <v>42</v>
      </c>
      <c r="C1290" s="64" t="s">
        <v>20</v>
      </c>
      <c r="D1290" s="75">
        <v>2.0</v>
      </c>
      <c r="E1290" s="66">
        <v>2.0</v>
      </c>
      <c r="F1290" s="67"/>
      <c r="G1290" s="68"/>
      <c r="H1290" s="66">
        <v>2.0</v>
      </c>
      <c r="I1290" s="66">
        <v>2.0</v>
      </c>
      <c r="J1290" s="67"/>
      <c r="K1290" s="65"/>
      <c r="L1290" s="67"/>
      <c r="M1290" s="67"/>
      <c r="N1290" s="67"/>
      <c r="O1290" s="67"/>
      <c r="P1290" s="67"/>
    </row>
    <row r="1291" ht="14.25" customHeight="1">
      <c r="A1291" s="49"/>
      <c r="C1291" s="69" t="s">
        <v>21</v>
      </c>
      <c r="D1291" s="76">
        <v>1.0</v>
      </c>
      <c r="E1291" s="36"/>
      <c r="F1291" s="36"/>
      <c r="G1291" s="71"/>
      <c r="H1291" s="16">
        <v>1.0</v>
      </c>
      <c r="I1291" s="36"/>
      <c r="J1291" s="36"/>
      <c r="K1291" s="70"/>
      <c r="L1291" s="36"/>
      <c r="M1291" s="36"/>
      <c r="N1291" s="36"/>
      <c r="O1291" s="36"/>
      <c r="P1291" s="36"/>
    </row>
    <row r="1292" ht="14.25" customHeight="1">
      <c r="A1292" s="49"/>
      <c r="C1292" s="69" t="s">
        <v>22</v>
      </c>
      <c r="D1292" s="70"/>
      <c r="E1292" s="36"/>
      <c r="F1292" s="36"/>
      <c r="G1292" s="71"/>
      <c r="H1292" s="36"/>
      <c r="I1292" s="36"/>
      <c r="J1292" s="36"/>
      <c r="K1292" s="70"/>
      <c r="L1292" s="36"/>
      <c r="M1292" s="36"/>
      <c r="N1292" s="36"/>
      <c r="O1292" s="36"/>
      <c r="P1292" s="36"/>
    </row>
    <row r="1293" ht="14.25" customHeight="1">
      <c r="A1293" s="49"/>
      <c r="C1293" s="69" t="s">
        <v>23</v>
      </c>
      <c r="D1293" s="70"/>
      <c r="E1293" s="36"/>
      <c r="F1293" s="36"/>
      <c r="G1293" s="71"/>
      <c r="H1293" s="36"/>
      <c r="I1293" s="36"/>
      <c r="J1293" s="36"/>
      <c r="K1293" s="70"/>
      <c r="L1293" s="36"/>
      <c r="M1293" s="36"/>
      <c r="N1293" s="36"/>
      <c r="O1293" s="36"/>
      <c r="P1293" s="36"/>
    </row>
    <row r="1294" ht="14.25" customHeight="1">
      <c r="A1294" s="49"/>
      <c r="C1294" s="69" t="s">
        <v>24</v>
      </c>
      <c r="D1294" s="70"/>
      <c r="E1294" s="36"/>
      <c r="F1294" s="36"/>
      <c r="G1294" s="71"/>
      <c r="H1294" s="36"/>
      <c r="I1294" s="36"/>
      <c r="J1294" s="36"/>
      <c r="K1294" s="70"/>
      <c r="L1294" s="36"/>
      <c r="M1294" s="36"/>
      <c r="N1294" s="36"/>
      <c r="O1294" s="36"/>
      <c r="P1294" s="36"/>
    </row>
    <row r="1295" ht="14.25" customHeight="1">
      <c r="A1295" s="49"/>
      <c r="C1295" s="69" t="s">
        <v>25</v>
      </c>
      <c r="D1295" s="70"/>
      <c r="E1295" s="36"/>
      <c r="F1295" s="36"/>
      <c r="G1295" s="71"/>
      <c r="H1295" s="36"/>
      <c r="I1295" s="36"/>
      <c r="J1295" s="36"/>
      <c r="K1295" s="70"/>
      <c r="L1295" s="36"/>
      <c r="M1295" s="36"/>
      <c r="N1295" s="36"/>
      <c r="O1295" s="36"/>
      <c r="P1295" s="36"/>
    </row>
    <row r="1296" ht="14.25" customHeight="1">
      <c r="A1296" s="56"/>
      <c r="B1296" s="57"/>
      <c r="C1296" s="77" t="s">
        <v>26</v>
      </c>
      <c r="D1296" s="72"/>
      <c r="E1296" s="73"/>
      <c r="F1296" s="73"/>
      <c r="G1296" s="74"/>
      <c r="H1296" s="73"/>
      <c r="I1296" s="73"/>
      <c r="J1296" s="73"/>
      <c r="K1296" s="72"/>
      <c r="L1296" s="73"/>
      <c r="M1296" s="73"/>
      <c r="N1296" s="73"/>
      <c r="O1296" s="73"/>
      <c r="P1296" s="73"/>
    </row>
    <row r="1297" ht="14.25" customHeight="1">
      <c r="A1297" s="93">
        <v>45811.0</v>
      </c>
      <c r="B1297" s="94" t="s">
        <v>66</v>
      </c>
      <c r="C1297" s="64" t="s">
        <v>20</v>
      </c>
      <c r="D1297" s="65"/>
      <c r="E1297" s="66">
        <v>2.0</v>
      </c>
      <c r="F1297" s="67"/>
      <c r="G1297" s="68"/>
      <c r="H1297" s="67"/>
      <c r="I1297" s="67"/>
      <c r="J1297" s="67"/>
      <c r="K1297" s="65"/>
      <c r="L1297" s="67"/>
      <c r="M1297" s="67"/>
      <c r="N1297" s="66">
        <v>2.0</v>
      </c>
      <c r="O1297" s="67"/>
      <c r="P1297" s="67"/>
    </row>
    <row r="1298" ht="14.25" customHeight="1">
      <c r="A1298" s="49"/>
      <c r="C1298" s="69" t="s">
        <v>21</v>
      </c>
      <c r="D1298" s="70"/>
      <c r="E1298" s="36"/>
      <c r="F1298" s="36"/>
      <c r="G1298" s="71"/>
      <c r="H1298" s="36"/>
      <c r="I1298" s="36"/>
      <c r="J1298" s="36"/>
      <c r="K1298" s="70"/>
      <c r="L1298" s="36"/>
      <c r="M1298" s="36"/>
      <c r="N1298" s="36"/>
      <c r="O1298" s="36"/>
      <c r="P1298" s="36"/>
    </row>
    <row r="1299" ht="14.25" customHeight="1">
      <c r="A1299" s="49"/>
      <c r="C1299" s="69" t="s">
        <v>22</v>
      </c>
      <c r="D1299" s="70"/>
      <c r="E1299" s="36"/>
      <c r="F1299" s="36"/>
      <c r="G1299" s="71"/>
      <c r="H1299" s="36"/>
      <c r="I1299" s="36"/>
      <c r="J1299" s="36"/>
      <c r="K1299" s="70"/>
      <c r="L1299" s="36"/>
      <c r="M1299" s="36"/>
      <c r="N1299" s="36"/>
      <c r="O1299" s="36"/>
      <c r="P1299" s="36"/>
    </row>
    <row r="1300" ht="14.25" customHeight="1">
      <c r="A1300" s="49"/>
      <c r="C1300" s="69" t="s">
        <v>23</v>
      </c>
      <c r="D1300" s="70"/>
      <c r="E1300" s="36"/>
      <c r="F1300" s="36"/>
      <c r="G1300" s="71"/>
      <c r="H1300" s="36"/>
      <c r="I1300" s="36"/>
      <c r="J1300" s="36"/>
      <c r="K1300" s="70"/>
      <c r="L1300" s="36"/>
      <c r="M1300" s="36"/>
      <c r="N1300" s="36"/>
      <c r="O1300" s="36"/>
      <c r="P1300" s="36"/>
    </row>
    <row r="1301" ht="14.25" customHeight="1">
      <c r="A1301" s="49"/>
      <c r="C1301" s="69" t="s">
        <v>24</v>
      </c>
      <c r="D1301" s="70"/>
      <c r="E1301" s="36"/>
      <c r="F1301" s="36"/>
      <c r="G1301" s="71"/>
      <c r="H1301" s="36"/>
      <c r="I1301" s="36"/>
      <c r="J1301" s="36"/>
      <c r="K1301" s="70"/>
      <c r="L1301" s="36"/>
      <c r="M1301" s="36"/>
      <c r="N1301" s="36"/>
      <c r="O1301" s="36"/>
      <c r="P1301" s="36"/>
    </row>
    <row r="1302" ht="14.25" customHeight="1">
      <c r="A1302" s="49"/>
      <c r="C1302" s="69" t="s">
        <v>25</v>
      </c>
      <c r="D1302" s="70"/>
      <c r="E1302" s="36"/>
      <c r="F1302" s="36"/>
      <c r="G1302" s="71"/>
      <c r="H1302" s="36"/>
      <c r="I1302" s="36"/>
      <c r="J1302" s="36"/>
      <c r="K1302" s="70"/>
      <c r="L1302" s="36"/>
      <c r="M1302" s="36"/>
      <c r="N1302" s="36"/>
      <c r="O1302" s="36"/>
      <c r="P1302" s="36"/>
    </row>
    <row r="1303" ht="14.25" customHeight="1">
      <c r="A1303" s="56"/>
      <c r="B1303" s="57"/>
      <c r="C1303" s="77" t="s">
        <v>26</v>
      </c>
      <c r="D1303" s="72"/>
      <c r="E1303" s="73"/>
      <c r="F1303" s="73"/>
      <c r="G1303" s="74"/>
      <c r="H1303" s="73"/>
      <c r="I1303" s="73"/>
      <c r="J1303" s="73"/>
      <c r="K1303" s="72"/>
      <c r="L1303" s="73"/>
      <c r="M1303" s="73"/>
      <c r="N1303" s="73"/>
      <c r="O1303" s="73"/>
      <c r="P1303" s="73"/>
    </row>
    <row r="1304" ht="14.25" customHeight="1">
      <c r="A1304" s="93">
        <v>45813.0</v>
      </c>
      <c r="B1304" s="66" t="s">
        <v>44</v>
      </c>
      <c r="C1304" s="64" t="s">
        <v>20</v>
      </c>
      <c r="D1304" s="75">
        <v>1.0</v>
      </c>
      <c r="E1304" s="66">
        <v>5.0</v>
      </c>
      <c r="F1304" s="67"/>
      <c r="G1304" s="68"/>
      <c r="H1304" s="66">
        <v>2.0</v>
      </c>
      <c r="I1304" s="67"/>
      <c r="J1304" s="67"/>
      <c r="K1304" s="75">
        <v>1.0</v>
      </c>
      <c r="L1304" s="67"/>
      <c r="M1304" s="66">
        <v>1.0</v>
      </c>
      <c r="N1304" s="66">
        <v>1.0</v>
      </c>
      <c r="O1304" s="67"/>
      <c r="P1304" s="67"/>
    </row>
    <row r="1305" ht="14.25" customHeight="1">
      <c r="A1305" s="49"/>
      <c r="C1305" s="69" t="s">
        <v>21</v>
      </c>
      <c r="D1305" s="76">
        <v>1.0</v>
      </c>
      <c r="E1305" s="36"/>
      <c r="F1305" s="36"/>
      <c r="G1305" s="71"/>
      <c r="H1305" s="36"/>
      <c r="I1305" s="36"/>
      <c r="J1305" s="36"/>
      <c r="K1305" s="70"/>
      <c r="L1305" s="36"/>
      <c r="M1305" s="36"/>
      <c r="N1305" s="16">
        <v>1.0</v>
      </c>
      <c r="O1305" s="36"/>
      <c r="P1305" s="36"/>
    </row>
    <row r="1306" ht="14.25" customHeight="1">
      <c r="A1306" s="49"/>
      <c r="C1306" s="69" t="s">
        <v>22</v>
      </c>
      <c r="D1306" s="70"/>
      <c r="E1306" s="36"/>
      <c r="F1306" s="36"/>
      <c r="G1306" s="71"/>
      <c r="H1306" s="36"/>
      <c r="I1306" s="36"/>
      <c r="J1306" s="36"/>
      <c r="K1306" s="70"/>
      <c r="L1306" s="36"/>
      <c r="M1306" s="36"/>
      <c r="N1306" s="36"/>
      <c r="O1306" s="36"/>
      <c r="P1306" s="36"/>
    </row>
    <row r="1307" ht="14.25" customHeight="1">
      <c r="A1307" s="49"/>
      <c r="C1307" s="69" t="s">
        <v>23</v>
      </c>
      <c r="D1307" s="70"/>
      <c r="E1307" s="16">
        <v>1.0</v>
      </c>
      <c r="F1307" s="36"/>
      <c r="G1307" s="71"/>
      <c r="H1307" s="36"/>
      <c r="I1307" s="16">
        <v>1.0</v>
      </c>
      <c r="J1307" s="36"/>
      <c r="K1307" s="70"/>
      <c r="L1307" s="36"/>
      <c r="M1307" s="36"/>
      <c r="N1307" s="36"/>
      <c r="O1307" s="36"/>
      <c r="P1307" s="36"/>
    </row>
    <row r="1308" ht="14.25" customHeight="1">
      <c r="A1308" s="49"/>
      <c r="C1308" s="69" t="s">
        <v>24</v>
      </c>
      <c r="D1308" s="70"/>
      <c r="E1308" s="36"/>
      <c r="F1308" s="36"/>
      <c r="G1308" s="71"/>
      <c r="H1308" s="36"/>
      <c r="I1308" s="36"/>
      <c r="J1308" s="36"/>
      <c r="K1308" s="70"/>
      <c r="L1308" s="36"/>
      <c r="M1308" s="36"/>
      <c r="N1308" s="36"/>
      <c r="O1308" s="36"/>
      <c r="P1308" s="36"/>
    </row>
    <row r="1309" ht="14.25" customHeight="1">
      <c r="A1309" s="49"/>
      <c r="C1309" s="69" t="s">
        <v>25</v>
      </c>
      <c r="D1309" s="70"/>
      <c r="E1309" s="36"/>
      <c r="F1309" s="36"/>
      <c r="G1309" s="71"/>
      <c r="H1309" s="36"/>
      <c r="I1309" s="36"/>
      <c r="J1309" s="36"/>
      <c r="K1309" s="70"/>
      <c r="L1309" s="36"/>
      <c r="M1309" s="36"/>
      <c r="N1309" s="36"/>
      <c r="O1309" s="36"/>
      <c r="P1309" s="36"/>
    </row>
    <row r="1310" ht="14.25" customHeight="1">
      <c r="A1310" s="56"/>
      <c r="B1310" s="57"/>
      <c r="C1310" s="77" t="s">
        <v>26</v>
      </c>
      <c r="D1310" s="72"/>
      <c r="E1310" s="73"/>
      <c r="F1310" s="73"/>
      <c r="G1310" s="74"/>
      <c r="H1310" s="73"/>
      <c r="I1310" s="73"/>
      <c r="J1310" s="73"/>
      <c r="K1310" s="72"/>
      <c r="L1310" s="73"/>
      <c r="M1310" s="73"/>
      <c r="N1310" s="73"/>
      <c r="O1310" s="73"/>
      <c r="P1310" s="73"/>
    </row>
    <row r="1311" ht="14.25" customHeight="1">
      <c r="A1311" s="93">
        <v>45813.0</v>
      </c>
      <c r="B1311" s="66" t="s">
        <v>42</v>
      </c>
      <c r="C1311" s="64" t="s">
        <v>20</v>
      </c>
      <c r="D1311" s="75">
        <v>1.0</v>
      </c>
      <c r="E1311" s="66">
        <v>1.0</v>
      </c>
      <c r="F1311" s="67"/>
      <c r="G1311" s="68"/>
      <c r="H1311" s="67"/>
      <c r="I1311" s="66">
        <v>1.0</v>
      </c>
      <c r="J1311" s="67"/>
      <c r="K1311" s="65"/>
      <c r="L1311" s="67"/>
      <c r="M1311" s="67"/>
      <c r="N1311" s="67"/>
      <c r="O1311" s="67"/>
      <c r="P1311" s="67"/>
    </row>
    <row r="1312" ht="14.25" customHeight="1">
      <c r="A1312" s="49"/>
      <c r="C1312" s="69" t="s">
        <v>21</v>
      </c>
      <c r="D1312" s="70"/>
      <c r="E1312" s="36"/>
      <c r="F1312" s="36"/>
      <c r="G1312" s="71"/>
      <c r="H1312" s="36"/>
      <c r="I1312" s="36"/>
      <c r="J1312" s="36"/>
      <c r="K1312" s="70"/>
      <c r="L1312" s="36"/>
      <c r="M1312" s="36"/>
      <c r="N1312" s="36"/>
      <c r="O1312" s="36"/>
      <c r="P1312" s="36"/>
    </row>
    <row r="1313" ht="14.25" customHeight="1">
      <c r="A1313" s="49"/>
      <c r="C1313" s="69" t="s">
        <v>22</v>
      </c>
      <c r="D1313" s="70"/>
      <c r="E1313" s="36"/>
      <c r="F1313" s="36"/>
      <c r="G1313" s="71"/>
      <c r="H1313" s="36"/>
      <c r="I1313" s="36"/>
      <c r="J1313" s="36"/>
      <c r="K1313" s="70"/>
      <c r="L1313" s="36"/>
      <c r="M1313" s="36"/>
      <c r="N1313" s="36"/>
      <c r="O1313" s="36"/>
      <c r="P1313" s="36"/>
    </row>
    <row r="1314" ht="14.25" customHeight="1">
      <c r="A1314" s="49"/>
      <c r="C1314" s="69" t="s">
        <v>23</v>
      </c>
      <c r="D1314" s="76">
        <v>1.0</v>
      </c>
      <c r="E1314" s="36"/>
      <c r="F1314" s="36"/>
      <c r="G1314" s="71"/>
      <c r="H1314" s="36"/>
      <c r="I1314" s="36"/>
      <c r="J1314" s="36"/>
      <c r="K1314" s="70"/>
      <c r="L1314" s="36"/>
      <c r="M1314" s="36"/>
      <c r="N1314" s="36"/>
      <c r="O1314" s="36"/>
      <c r="P1314" s="36"/>
    </row>
    <row r="1315" ht="14.25" customHeight="1">
      <c r="A1315" s="49"/>
      <c r="C1315" s="69" t="s">
        <v>24</v>
      </c>
      <c r="D1315" s="70"/>
      <c r="E1315" s="36"/>
      <c r="F1315" s="36"/>
      <c r="G1315" s="71"/>
      <c r="H1315" s="36"/>
      <c r="I1315" s="36"/>
      <c r="J1315" s="36"/>
      <c r="K1315" s="70"/>
      <c r="L1315" s="36"/>
      <c r="M1315" s="36"/>
      <c r="N1315" s="36"/>
      <c r="O1315" s="36"/>
      <c r="P1315" s="36"/>
    </row>
    <row r="1316" ht="14.25" customHeight="1">
      <c r="A1316" s="49"/>
      <c r="C1316" s="69" t="s">
        <v>25</v>
      </c>
      <c r="D1316" s="70"/>
      <c r="E1316" s="36"/>
      <c r="F1316" s="36"/>
      <c r="G1316" s="71"/>
      <c r="H1316" s="36"/>
      <c r="I1316" s="36"/>
      <c r="J1316" s="36"/>
      <c r="K1316" s="70"/>
      <c r="L1316" s="36"/>
      <c r="M1316" s="36"/>
      <c r="N1316" s="36"/>
      <c r="O1316" s="36"/>
      <c r="P1316" s="36"/>
    </row>
    <row r="1317" ht="14.25" customHeight="1">
      <c r="A1317" s="56"/>
      <c r="B1317" s="57"/>
      <c r="C1317" s="77" t="s">
        <v>26</v>
      </c>
      <c r="D1317" s="72"/>
      <c r="E1317" s="73"/>
      <c r="F1317" s="73"/>
      <c r="G1317" s="74"/>
      <c r="H1317" s="73"/>
      <c r="I1317" s="73"/>
      <c r="J1317" s="73"/>
      <c r="K1317" s="72"/>
      <c r="L1317" s="73"/>
      <c r="M1317" s="73"/>
      <c r="N1317" s="73"/>
      <c r="O1317" s="73"/>
      <c r="P1317" s="73"/>
    </row>
    <row r="1318" ht="14.25" customHeight="1">
      <c r="A1318" s="95">
        <v>45817.0</v>
      </c>
      <c r="B1318" s="66" t="s">
        <v>44</v>
      </c>
      <c r="C1318" s="64" t="s">
        <v>20</v>
      </c>
      <c r="D1318" s="65"/>
      <c r="E1318" s="66">
        <v>2.0</v>
      </c>
      <c r="F1318" s="67"/>
      <c r="G1318" s="68"/>
      <c r="H1318" s="67"/>
      <c r="I1318" s="67"/>
      <c r="J1318" s="67"/>
      <c r="K1318" s="65"/>
      <c r="L1318" s="67"/>
      <c r="M1318" s="67"/>
      <c r="N1318" s="66">
        <v>1.0</v>
      </c>
      <c r="O1318" s="67"/>
      <c r="P1318" s="67"/>
    </row>
    <row r="1319" ht="14.25" customHeight="1">
      <c r="A1319" s="49"/>
      <c r="C1319" s="69" t="s">
        <v>21</v>
      </c>
      <c r="D1319" s="70"/>
      <c r="E1319" s="36"/>
      <c r="F1319" s="36"/>
      <c r="G1319" s="71"/>
      <c r="H1319" s="36"/>
      <c r="I1319" s="36"/>
      <c r="J1319" s="36"/>
      <c r="K1319" s="70"/>
      <c r="L1319" s="36"/>
      <c r="M1319" s="36"/>
      <c r="N1319" s="36"/>
      <c r="O1319" s="36"/>
      <c r="P1319" s="36"/>
    </row>
    <row r="1320" ht="14.25" customHeight="1">
      <c r="A1320" s="49"/>
      <c r="C1320" s="69" t="s">
        <v>22</v>
      </c>
      <c r="D1320" s="70"/>
      <c r="E1320" s="36"/>
      <c r="F1320" s="36"/>
      <c r="G1320" s="71"/>
      <c r="H1320" s="36"/>
      <c r="I1320" s="36"/>
      <c r="J1320" s="36"/>
      <c r="K1320" s="70"/>
      <c r="L1320" s="36"/>
      <c r="M1320" s="36"/>
      <c r="N1320" s="36"/>
      <c r="O1320" s="36"/>
      <c r="P1320" s="36"/>
    </row>
    <row r="1321" ht="14.25" customHeight="1">
      <c r="A1321" s="49"/>
      <c r="C1321" s="69" t="s">
        <v>23</v>
      </c>
      <c r="D1321" s="70"/>
      <c r="E1321" s="36"/>
      <c r="F1321" s="36"/>
      <c r="G1321" s="71"/>
      <c r="H1321" s="36"/>
      <c r="I1321" s="36"/>
      <c r="J1321" s="36"/>
      <c r="K1321" s="70"/>
      <c r="L1321" s="36"/>
      <c r="M1321" s="36"/>
      <c r="N1321" s="36"/>
      <c r="O1321" s="36"/>
      <c r="P1321" s="36"/>
    </row>
    <row r="1322" ht="14.25" customHeight="1">
      <c r="A1322" s="49"/>
      <c r="C1322" s="69" t="s">
        <v>24</v>
      </c>
      <c r="D1322" s="70"/>
      <c r="E1322" s="36"/>
      <c r="F1322" s="36"/>
      <c r="G1322" s="71"/>
      <c r="H1322" s="36"/>
      <c r="I1322" s="36"/>
      <c r="J1322" s="36"/>
      <c r="K1322" s="70"/>
      <c r="L1322" s="36"/>
      <c r="M1322" s="36"/>
      <c r="N1322" s="36"/>
      <c r="O1322" s="36"/>
      <c r="P1322" s="36"/>
    </row>
    <row r="1323" ht="14.25" customHeight="1">
      <c r="A1323" s="49"/>
      <c r="C1323" s="69" t="s">
        <v>25</v>
      </c>
      <c r="D1323" s="70"/>
      <c r="E1323" s="16">
        <v>1.0</v>
      </c>
      <c r="F1323" s="36"/>
      <c r="G1323" s="71"/>
      <c r="H1323" s="36"/>
      <c r="I1323" s="16">
        <v>1.0</v>
      </c>
      <c r="J1323" s="36"/>
      <c r="K1323" s="70"/>
      <c r="L1323" s="36"/>
      <c r="M1323" s="36"/>
      <c r="N1323" s="36"/>
      <c r="O1323" s="36"/>
      <c r="P1323" s="36"/>
    </row>
    <row r="1324" ht="14.25" customHeight="1">
      <c r="A1324" s="56"/>
      <c r="B1324" s="57"/>
      <c r="C1324" s="77" t="s">
        <v>26</v>
      </c>
      <c r="D1324" s="72"/>
      <c r="E1324" s="73"/>
      <c r="F1324" s="73"/>
      <c r="G1324" s="74"/>
      <c r="H1324" s="73"/>
      <c r="I1324" s="73"/>
      <c r="J1324" s="73"/>
      <c r="K1324" s="72"/>
      <c r="L1324" s="73"/>
      <c r="M1324" s="73"/>
      <c r="N1324" s="73"/>
      <c r="O1324" s="73"/>
      <c r="P1324" s="73"/>
    </row>
    <row r="1325" ht="14.25" customHeight="1">
      <c r="A1325" s="93">
        <v>45817.0</v>
      </c>
      <c r="B1325" s="66" t="s">
        <v>42</v>
      </c>
      <c r="C1325" s="64" t="s">
        <v>20</v>
      </c>
      <c r="D1325" s="75">
        <v>4.0</v>
      </c>
      <c r="E1325" s="66">
        <v>1.0</v>
      </c>
      <c r="F1325" s="66">
        <v>1.0</v>
      </c>
      <c r="G1325" s="68"/>
      <c r="H1325" s="66">
        <v>1.0</v>
      </c>
      <c r="I1325" s="66">
        <v>1.0</v>
      </c>
      <c r="J1325" s="67"/>
      <c r="K1325" s="65"/>
      <c r="L1325" s="67"/>
      <c r="M1325" s="67"/>
      <c r="N1325" s="66">
        <v>2.0</v>
      </c>
      <c r="O1325" s="67"/>
      <c r="P1325" s="67"/>
    </row>
    <row r="1326" ht="14.25" customHeight="1">
      <c r="A1326" s="49"/>
      <c r="C1326" s="69" t="s">
        <v>21</v>
      </c>
      <c r="D1326" s="70"/>
      <c r="E1326" s="36"/>
      <c r="F1326" s="36"/>
      <c r="G1326" s="71"/>
      <c r="H1326" s="36"/>
      <c r="I1326" s="36"/>
      <c r="J1326" s="36"/>
      <c r="K1326" s="70"/>
      <c r="L1326" s="36"/>
      <c r="M1326" s="36"/>
      <c r="N1326" s="36"/>
      <c r="O1326" s="36"/>
      <c r="P1326" s="36"/>
    </row>
    <row r="1327" ht="14.25" customHeight="1">
      <c r="A1327" s="49"/>
      <c r="C1327" s="69" t="s">
        <v>22</v>
      </c>
      <c r="D1327" s="70"/>
      <c r="E1327" s="36"/>
      <c r="F1327" s="36"/>
      <c r="G1327" s="71"/>
      <c r="H1327" s="36"/>
      <c r="I1327" s="36"/>
      <c r="J1327" s="36"/>
      <c r="K1327" s="70"/>
      <c r="L1327" s="36"/>
      <c r="M1327" s="36"/>
      <c r="N1327" s="36"/>
      <c r="O1327" s="36"/>
      <c r="P1327" s="36"/>
    </row>
    <row r="1328" ht="14.25" customHeight="1">
      <c r="A1328" s="49"/>
      <c r="C1328" s="69" t="s">
        <v>23</v>
      </c>
      <c r="D1328" s="70"/>
      <c r="E1328" s="36"/>
      <c r="F1328" s="36"/>
      <c r="G1328" s="71"/>
      <c r="H1328" s="36"/>
      <c r="I1328" s="36"/>
      <c r="J1328" s="36"/>
      <c r="K1328" s="70"/>
      <c r="L1328" s="36"/>
      <c r="M1328" s="36"/>
      <c r="N1328" s="36"/>
      <c r="O1328" s="36"/>
      <c r="P1328" s="36"/>
    </row>
    <row r="1329" ht="14.25" customHeight="1">
      <c r="A1329" s="49"/>
      <c r="C1329" s="69" t="s">
        <v>24</v>
      </c>
      <c r="D1329" s="70"/>
      <c r="E1329" s="36"/>
      <c r="F1329" s="36"/>
      <c r="G1329" s="71"/>
      <c r="H1329" s="36"/>
      <c r="I1329" s="36"/>
      <c r="J1329" s="36"/>
      <c r="K1329" s="70"/>
      <c r="L1329" s="36"/>
      <c r="M1329" s="36"/>
      <c r="N1329" s="36"/>
      <c r="O1329" s="36"/>
      <c r="P1329" s="36"/>
    </row>
    <row r="1330" ht="14.25" customHeight="1">
      <c r="A1330" s="49"/>
      <c r="C1330" s="69" t="s">
        <v>25</v>
      </c>
      <c r="D1330" s="70"/>
      <c r="E1330" s="36"/>
      <c r="F1330" s="36"/>
      <c r="G1330" s="71"/>
      <c r="H1330" s="36"/>
      <c r="I1330" s="36"/>
      <c r="J1330" s="36"/>
      <c r="K1330" s="70"/>
      <c r="L1330" s="36"/>
      <c r="M1330" s="36"/>
      <c r="N1330" s="36"/>
      <c r="O1330" s="36"/>
      <c r="P1330" s="36"/>
    </row>
    <row r="1331" ht="14.25" customHeight="1">
      <c r="A1331" s="56"/>
      <c r="B1331" s="57"/>
      <c r="C1331" s="77" t="s">
        <v>26</v>
      </c>
      <c r="D1331" s="72"/>
      <c r="E1331" s="73"/>
      <c r="F1331" s="73"/>
      <c r="G1331" s="74"/>
      <c r="H1331" s="73"/>
      <c r="I1331" s="73"/>
      <c r="J1331" s="73"/>
      <c r="K1331" s="72"/>
      <c r="L1331" s="73"/>
      <c r="M1331" s="73"/>
      <c r="N1331" s="73"/>
      <c r="O1331" s="73"/>
      <c r="P1331" s="73"/>
    </row>
    <row r="1332" ht="14.25" customHeight="1">
      <c r="A1332" s="93">
        <v>45820.0</v>
      </c>
      <c r="B1332" s="66" t="s">
        <v>44</v>
      </c>
      <c r="C1332" s="64" t="s">
        <v>20</v>
      </c>
      <c r="D1332" s="75">
        <v>5.0</v>
      </c>
      <c r="E1332" s="66">
        <v>1.0</v>
      </c>
      <c r="F1332" s="67"/>
      <c r="G1332" s="68"/>
      <c r="H1332" s="67"/>
      <c r="I1332" s="67"/>
      <c r="J1332" s="67"/>
      <c r="K1332" s="65"/>
      <c r="L1332" s="67"/>
      <c r="M1332" s="67"/>
      <c r="N1332" s="66">
        <v>2.0</v>
      </c>
      <c r="O1332" s="67"/>
      <c r="P1332" s="67"/>
    </row>
    <row r="1333" ht="14.25" customHeight="1">
      <c r="A1333" s="49"/>
      <c r="C1333" s="69" t="s">
        <v>21</v>
      </c>
      <c r="D1333" s="70"/>
      <c r="E1333" s="36"/>
      <c r="F1333" s="36"/>
      <c r="G1333" s="71"/>
      <c r="H1333" s="36"/>
      <c r="I1333" s="36"/>
      <c r="J1333" s="36"/>
      <c r="K1333" s="70"/>
      <c r="L1333" s="36"/>
      <c r="M1333" s="36"/>
      <c r="N1333" s="36"/>
      <c r="O1333" s="36"/>
      <c r="P1333" s="36"/>
    </row>
    <row r="1334" ht="14.25" customHeight="1">
      <c r="A1334" s="49"/>
      <c r="C1334" s="69" t="s">
        <v>22</v>
      </c>
      <c r="D1334" s="70"/>
      <c r="E1334" s="36"/>
      <c r="F1334" s="36"/>
      <c r="G1334" s="71"/>
      <c r="H1334" s="36"/>
      <c r="I1334" s="36"/>
      <c r="J1334" s="36"/>
      <c r="K1334" s="70"/>
      <c r="L1334" s="36"/>
      <c r="M1334" s="36"/>
      <c r="N1334" s="36"/>
      <c r="O1334" s="36"/>
      <c r="P1334" s="36"/>
    </row>
    <row r="1335" ht="14.25" customHeight="1">
      <c r="A1335" s="49"/>
      <c r="C1335" s="69" t="s">
        <v>23</v>
      </c>
      <c r="D1335" s="70"/>
      <c r="E1335" s="36"/>
      <c r="F1335" s="36"/>
      <c r="G1335" s="71"/>
      <c r="H1335" s="36"/>
      <c r="I1335" s="36"/>
      <c r="J1335" s="36"/>
      <c r="K1335" s="70"/>
      <c r="L1335" s="36"/>
      <c r="M1335" s="36"/>
      <c r="N1335" s="36"/>
      <c r="O1335" s="36"/>
      <c r="P1335" s="36"/>
    </row>
    <row r="1336" ht="14.25" customHeight="1">
      <c r="A1336" s="49"/>
      <c r="C1336" s="69" t="s">
        <v>24</v>
      </c>
      <c r="D1336" s="70"/>
      <c r="E1336" s="36"/>
      <c r="F1336" s="36"/>
      <c r="G1336" s="71"/>
      <c r="H1336" s="36"/>
      <c r="I1336" s="36"/>
      <c r="J1336" s="36"/>
      <c r="K1336" s="70"/>
      <c r="L1336" s="36"/>
      <c r="M1336" s="36"/>
      <c r="N1336" s="36"/>
      <c r="O1336" s="36"/>
      <c r="P1336" s="36"/>
    </row>
    <row r="1337" ht="14.25" customHeight="1">
      <c r="A1337" s="49"/>
      <c r="C1337" s="69" t="s">
        <v>25</v>
      </c>
      <c r="D1337" s="70"/>
      <c r="E1337" s="36"/>
      <c r="F1337" s="36"/>
      <c r="G1337" s="71"/>
      <c r="H1337" s="36"/>
      <c r="I1337" s="36"/>
      <c r="J1337" s="36"/>
      <c r="K1337" s="70"/>
      <c r="L1337" s="36"/>
      <c r="M1337" s="36"/>
      <c r="N1337" s="36"/>
      <c r="O1337" s="36"/>
      <c r="P1337" s="36"/>
    </row>
    <row r="1338" ht="14.25" customHeight="1">
      <c r="A1338" s="56"/>
      <c r="B1338" s="57"/>
      <c r="C1338" s="77" t="s">
        <v>26</v>
      </c>
      <c r="D1338" s="72"/>
      <c r="E1338" s="73"/>
      <c r="F1338" s="73"/>
      <c r="G1338" s="74"/>
      <c r="H1338" s="73"/>
      <c r="I1338" s="73"/>
      <c r="J1338" s="73"/>
      <c r="K1338" s="72"/>
      <c r="L1338" s="73"/>
      <c r="M1338" s="73"/>
      <c r="N1338" s="73"/>
      <c r="O1338" s="73"/>
      <c r="P1338" s="73"/>
    </row>
    <row r="1339" ht="14.25" customHeight="1">
      <c r="A1339" s="93">
        <v>45820.0</v>
      </c>
      <c r="B1339" s="66" t="s">
        <v>42</v>
      </c>
      <c r="C1339" s="64" t="s">
        <v>20</v>
      </c>
      <c r="D1339" s="75">
        <v>1.0</v>
      </c>
      <c r="E1339" s="66">
        <v>3.0</v>
      </c>
      <c r="F1339" s="67"/>
      <c r="G1339" s="68"/>
      <c r="H1339" s="66">
        <v>1.0</v>
      </c>
      <c r="I1339" s="67"/>
      <c r="J1339" s="67"/>
      <c r="K1339" s="65"/>
      <c r="L1339" s="67"/>
      <c r="M1339" s="67"/>
      <c r="N1339" s="66">
        <v>2.0</v>
      </c>
      <c r="O1339" s="67"/>
      <c r="P1339" s="67"/>
    </row>
    <row r="1340" ht="14.25" customHeight="1">
      <c r="A1340" s="49"/>
      <c r="C1340" s="69" t="s">
        <v>21</v>
      </c>
      <c r="D1340" s="70"/>
      <c r="E1340" s="36"/>
      <c r="F1340" s="36"/>
      <c r="G1340" s="71"/>
      <c r="H1340" s="36"/>
      <c r="I1340" s="36"/>
      <c r="J1340" s="36"/>
      <c r="K1340" s="70"/>
      <c r="L1340" s="36"/>
      <c r="M1340" s="36"/>
      <c r="N1340" s="36"/>
      <c r="O1340" s="36"/>
      <c r="P1340" s="36"/>
    </row>
    <row r="1341" ht="14.25" customHeight="1">
      <c r="A1341" s="49"/>
      <c r="C1341" s="69" t="s">
        <v>22</v>
      </c>
      <c r="D1341" s="70"/>
      <c r="E1341" s="36"/>
      <c r="F1341" s="36"/>
      <c r="G1341" s="71"/>
      <c r="H1341" s="36"/>
      <c r="I1341" s="36"/>
      <c r="J1341" s="36"/>
      <c r="K1341" s="70"/>
      <c r="L1341" s="36"/>
      <c r="M1341" s="36"/>
      <c r="N1341" s="36"/>
      <c r="O1341" s="36"/>
      <c r="P1341" s="36"/>
    </row>
    <row r="1342" ht="14.25" customHeight="1">
      <c r="A1342" s="49"/>
      <c r="C1342" s="69" t="s">
        <v>23</v>
      </c>
      <c r="D1342" s="70"/>
      <c r="E1342" s="36"/>
      <c r="F1342" s="36"/>
      <c r="G1342" s="71"/>
      <c r="H1342" s="36"/>
      <c r="I1342" s="36"/>
      <c r="J1342" s="36"/>
      <c r="K1342" s="70"/>
      <c r="L1342" s="36"/>
      <c r="M1342" s="36"/>
      <c r="N1342" s="36"/>
      <c r="O1342" s="36"/>
      <c r="P1342" s="36"/>
    </row>
    <row r="1343" ht="14.25" customHeight="1">
      <c r="A1343" s="49"/>
      <c r="C1343" s="69" t="s">
        <v>24</v>
      </c>
      <c r="D1343" s="76">
        <v>1.0</v>
      </c>
      <c r="E1343" s="36"/>
      <c r="F1343" s="36"/>
      <c r="G1343" s="71"/>
      <c r="H1343" s="36"/>
      <c r="I1343" s="36"/>
      <c r="J1343" s="36"/>
      <c r="K1343" s="70"/>
      <c r="L1343" s="36"/>
      <c r="M1343" s="36"/>
      <c r="N1343" s="16">
        <v>1.0</v>
      </c>
      <c r="O1343" s="36"/>
      <c r="P1343" s="36"/>
    </row>
    <row r="1344" ht="14.25" customHeight="1">
      <c r="A1344" s="49"/>
      <c r="C1344" s="69" t="s">
        <v>25</v>
      </c>
      <c r="D1344" s="70"/>
      <c r="E1344" s="36"/>
      <c r="F1344" s="36"/>
      <c r="G1344" s="71"/>
      <c r="H1344" s="36"/>
      <c r="I1344" s="36"/>
      <c r="J1344" s="36"/>
      <c r="K1344" s="70"/>
      <c r="L1344" s="36"/>
      <c r="M1344" s="36"/>
      <c r="N1344" s="36"/>
      <c r="O1344" s="36"/>
      <c r="P1344" s="36"/>
    </row>
    <row r="1345" ht="14.25" customHeight="1">
      <c r="A1345" s="56"/>
      <c r="B1345" s="57"/>
      <c r="C1345" s="77" t="s">
        <v>26</v>
      </c>
      <c r="D1345" s="72"/>
      <c r="E1345" s="73"/>
      <c r="F1345" s="73"/>
      <c r="G1345" s="74"/>
      <c r="H1345" s="73"/>
      <c r="I1345" s="73"/>
      <c r="J1345" s="73"/>
      <c r="K1345" s="72"/>
      <c r="L1345" s="73"/>
      <c r="M1345" s="73"/>
      <c r="N1345" s="73"/>
      <c r="O1345" s="73"/>
      <c r="P1345" s="73"/>
    </row>
    <row r="1346" ht="14.25" customHeight="1">
      <c r="A1346" s="93">
        <v>45821.0</v>
      </c>
      <c r="B1346" s="94" t="s">
        <v>65</v>
      </c>
      <c r="C1346" s="64" t="s">
        <v>20</v>
      </c>
      <c r="D1346" s="75">
        <v>4.0</v>
      </c>
      <c r="E1346" s="67"/>
      <c r="F1346" s="67"/>
      <c r="G1346" s="68"/>
      <c r="H1346" s="67"/>
      <c r="I1346" s="67"/>
      <c r="J1346" s="67"/>
      <c r="K1346" s="65"/>
      <c r="L1346" s="67"/>
      <c r="M1346" s="67"/>
      <c r="N1346" s="66">
        <v>3.0</v>
      </c>
      <c r="O1346" s="67"/>
      <c r="P1346" s="67"/>
    </row>
    <row r="1347" ht="14.25" customHeight="1">
      <c r="A1347" s="49"/>
      <c r="C1347" s="69" t="s">
        <v>21</v>
      </c>
      <c r="D1347" s="70"/>
      <c r="E1347" s="36"/>
      <c r="F1347" s="36"/>
      <c r="G1347" s="71"/>
      <c r="H1347" s="36"/>
      <c r="I1347" s="36"/>
      <c r="J1347" s="36"/>
      <c r="K1347" s="70"/>
      <c r="L1347" s="36"/>
      <c r="M1347" s="36"/>
      <c r="N1347" s="36"/>
      <c r="O1347" s="36"/>
      <c r="P1347" s="36"/>
    </row>
    <row r="1348" ht="14.25" customHeight="1">
      <c r="A1348" s="49"/>
      <c r="C1348" s="69" t="s">
        <v>22</v>
      </c>
      <c r="D1348" s="70"/>
      <c r="E1348" s="36"/>
      <c r="F1348" s="36"/>
      <c r="G1348" s="71"/>
      <c r="H1348" s="36"/>
      <c r="I1348" s="36"/>
      <c r="J1348" s="36"/>
      <c r="K1348" s="70"/>
      <c r="L1348" s="36"/>
      <c r="M1348" s="36"/>
      <c r="N1348" s="36"/>
      <c r="O1348" s="36"/>
      <c r="P1348" s="36"/>
    </row>
    <row r="1349" ht="14.25" customHeight="1">
      <c r="A1349" s="49"/>
      <c r="C1349" s="69" t="s">
        <v>23</v>
      </c>
      <c r="D1349" s="70"/>
      <c r="E1349" s="36"/>
      <c r="F1349" s="36"/>
      <c r="G1349" s="71"/>
      <c r="H1349" s="36"/>
      <c r="I1349" s="36"/>
      <c r="J1349" s="36"/>
      <c r="K1349" s="70"/>
      <c r="L1349" s="36"/>
      <c r="M1349" s="36"/>
      <c r="N1349" s="36"/>
      <c r="O1349" s="36"/>
      <c r="P1349" s="36"/>
    </row>
    <row r="1350" ht="14.25" customHeight="1">
      <c r="A1350" s="49"/>
      <c r="C1350" s="69" t="s">
        <v>24</v>
      </c>
      <c r="D1350" s="70"/>
      <c r="E1350" s="36"/>
      <c r="F1350" s="36"/>
      <c r="G1350" s="71"/>
      <c r="H1350" s="36"/>
      <c r="I1350" s="36"/>
      <c r="J1350" s="36"/>
      <c r="K1350" s="70"/>
      <c r="L1350" s="36"/>
      <c r="M1350" s="36"/>
      <c r="N1350" s="36"/>
      <c r="O1350" s="36"/>
      <c r="P1350" s="36"/>
    </row>
    <row r="1351" ht="14.25" customHeight="1">
      <c r="A1351" s="49"/>
      <c r="C1351" s="69" t="s">
        <v>25</v>
      </c>
      <c r="D1351" s="70"/>
      <c r="E1351" s="36"/>
      <c r="F1351" s="36"/>
      <c r="G1351" s="71"/>
      <c r="H1351" s="36"/>
      <c r="I1351" s="36"/>
      <c r="J1351" s="36"/>
      <c r="K1351" s="70"/>
      <c r="L1351" s="36"/>
      <c r="M1351" s="36"/>
      <c r="N1351" s="36"/>
      <c r="O1351" s="36"/>
      <c r="P1351" s="36"/>
    </row>
    <row r="1352" ht="14.25" customHeight="1">
      <c r="A1352" s="56"/>
      <c r="B1352" s="57"/>
      <c r="C1352" s="77" t="s">
        <v>26</v>
      </c>
      <c r="D1352" s="72"/>
      <c r="E1352" s="73"/>
      <c r="F1352" s="73"/>
      <c r="G1352" s="74"/>
      <c r="H1352" s="73"/>
      <c r="I1352" s="73"/>
      <c r="J1352" s="73"/>
      <c r="K1352" s="72"/>
      <c r="L1352" s="73"/>
      <c r="M1352" s="73"/>
      <c r="N1352" s="73"/>
      <c r="O1352" s="73"/>
      <c r="P1352" s="73"/>
    </row>
    <row r="1353" ht="14.25" customHeight="1">
      <c r="A1353" s="93">
        <v>45821.0</v>
      </c>
      <c r="B1353" s="66" t="s">
        <v>42</v>
      </c>
      <c r="C1353" s="64" t="s">
        <v>20</v>
      </c>
      <c r="D1353" s="75">
        <v>5.0</v>
      </c>
      <c r="E1353" s="66">
        <v>3.0</v>
      </c>
      <c r="F1353" s="67"/>
      <c r="G1353" s="68"/>
      <c r="H1353" s="66">
        <v>2.0</v>
      </c>
      <c r="I1353" s="67"/>
      <c r="J1353" s="67"/>
      <c r="K1353" s="65"/>
      <c r="L1353" s="67"/>
      <c r="M1353" s="67"/>
      <c r="N1353" s="66">
        <v>4.0</v>
      </c>
      <c r="O1353" s="67"/>
      <c r="P1353" s="67"/>
    </row>
    <row r="1354" ht="14.25" customHeight="1">
      <c r="A1354" s="49"/>
      <c r="C1354" s="69" t="s">
        <v>21</v>
      </c>
      <c r="D1354" s="70"/>
      <c r="E1354" s="36"/>
      <c r="F1354" s="36"/>
      <c r="G1354" s="71"/>
      <c r="H1354" s="36"/>
      <c r="I1354" s="36"/>
      <c r="J1354" s="36"/>
      <c r="K1354" s="70"/>
      <c r="L1354" s="36"/>
      <c r="M1354" s="36"/>
      <c r="N1354" s="36"/>
      <c r="O1354" s="36"/>
      <c r="P1354" s="36"/>
    </row>
    <row r="1355" ht="14.25" customHeight="1">
      <c r="A1355" s="49"/>
      <c r="C1355" s="69" t="s">
        <v>22</v>
      </c>
      <c r="D1355" s="70"/>
      <c r="E1355" s="36"/>
      <c r="F1355" s="36"/>
      <c r="G1355" s="71"/>
      <c r="H1355" s="36"/>
      <c r="I1355" s="36"/>
      <c r="J1355" s="36"/>
      <c r="K1355" s="70"/>
      <c r="L1355" s="36"/>
      <c r="M1355" s="36"/>
      <c r="N1355" s="36"/>
      <c r="O1355" s="36"/>
      <c r="P1355" s="36"/>
    </row>
    <row r="1356" ht="14.25" customHeight="1">
      <c r="A1356" s="49"/>
      <c r="C1356" s="69" t="s">
        <v>23</v>
      </c>
      <c r="D1356" s="70"/>
      <c r="E1356" s="36"/>
      <c r="F1356" s="36"/>
      <c r="G1356" s="71"/>
      <c r="H1356" s="36"/>
      <c r="I1356" s="36"/>
      <c r="J1356" s="36"/>
      <c r="K1356" s="70"/>
      <c r="L1356" s="36"/>
      <c r="M1356" s="36"/>
      <c r="N1356" s="36"/>
      <c r="O1356" s="36"/>
      <c r="P1356" s="36"/>
    </row>
    <row r="1357" ht="14.25" customHeight="1">
      <c r="A1357" s="49"/>
      <c r="C1357" s="69" t="s">
        <v>24</v>
      </c>
      <c r="D1357" s="70"/>
      <c r="E1357" s="36"/>
      <c r="F1357" s="36"/>
      <c r="G1357" s="71"/>
      <c r="H1357" s="36"/>
      <c r="I1357" s="36"/>
      <c r="J1357" s="36"/>
      <c r="K1357" s="70"/>
      <c r="L1357" s="36"/>
      <c r="M1357" s="36"/>
      <c r="N1357" s="36"/>
      <c r="O1357" s="36"/>
      <c r="P1357" s="36"/>
    </row>
    <row r="1358" ht="14.25" customHeight="1">
      <c r="A1358" s="49"/>
      <c r="C1358" s="69" t="s">
        <v>25</v>
      </c>
      <c r="D1358" s="70"/>
      <c r="E1358" s="36"/>
      <c r="F1358" s="36"/>
      <c r="G1358" s="71"/>
      <c r="H1358" s="36"/>
      <c r="I1358" s="36"/>
      <c r="J1358" s="36"/>
      <c r="K1358" s="70"/>
      <c r="L1358" s="36"/>
      <c r="M1358" s="36"/>
      <c r="N1358" s="36"/>
      <c r="O1358" s="36"/>
      <c r="P1358" s="36"/>
    </row>
    <row r="1359" ht="14.25" customHeight="1">
      <c r="A1359" s="56"/>
      <c r="B1359" s="57"/>
      <c r="C1359" s="77" t="s">
        <v>26</v>
      </c>
      <c r="D1359" s="72"/>
      <c r="E1359" s="73"/>
      <c r="F1359" s="73"/>
      <c r="G1359" s="74"/>
      <c r="H1359" s="73"/>
      <c r="I1359" s="73"/>
      <c r="J1359" s="73"/>
      <c r="K1359" s="72"/>
      <c r="L1359" s="73"/>
      <c r="M1359" s="73"/>
      <c r="N1359" s="73"/>
      <c r="O1359" s="73"/>
      <c r="P1359" s="73"/>
    </row>
    <row r="1360" ht="14.25" customHeight="1">
      <c r="A1360" s="93">
        <v>45826.0</v>
      </c>
      <c r="B1360" s="66" t="s">
        <v>41</v>
      </c>
      <c r="C1360" s="64" t="s">
        <v>20</v>
      </c>
      <c r="D1360" s="65"/>
      <c r="E1360" s="66">
        <v>1.0</v>
      </c>
      <c r="F1360" s="67"/>
      <c r="G1360" s="68"/>
      <c r="H1360" s="67"/>
      <c r="I1360" s="67"/>
      <c r="J1360" s="67"/>
      <c r="K1360" s="65"/>
      <c r="L1360" s="67"/>
      <c r="M1360" s="67"/>
      <c r="N1360" s="66">
        <v>1.0</v>
      </c>
      <c r="O1360" s="67"/>
      <c r="P1360" s="67"/>
    </row>
    <row r="1361" ht="14.25" customHeight="1">
      <c r="A1361" s="49"/>
      <c r="C1361" s="69" t="s">
        <v>21</v>
      </c>
      <c r="D1361" s="76">
        <v>1.0</v>
      </c>
      <c r="E1361" s="36"/>
      <c r="F1361" s="36"/>
      <c r="G1361" s="71"/>
      <c r="H1361" s="36"/>
      <c r="I1361" s="36"/>
      <c r="J1361" s="36"/>
      <c r="K1361" s="70"/>
      <c r="L1361" s="36"/>
      <c r="M1361" s="36"/>
      <c r="N1361" s="36"/>
      <c r="O1361" s="36"/>
      <c r="P1361" s="36"/>
    </row>
    <row r="1362" ht="14.25" customHeight="1">
      <c r="A1362" s="49"/>
      <c r="C1362" s="69" t="s">
        <v>22</v>
      </c>
      <c r="D1362" s="70"/>
      <c r="E1362" s="36"/>
      <c r="F1362" s="36"/>
      <c r="G1362" s="71"/>
      <c r="H1362" s="36"/>
      <c r="I1362" s="36"/>
      <c r="J1362" s="36"/>
      <c r="K1362" s="70"/>
      <c r="L1362" s="36"/>
      <c r="M1362" s="36"/>
      <c r="N1362" s="36"/>
      <c r="O1362" s="36"/>
      <c r="P1362" s="36"/>
    </row>
    <row r="1363" ht="14.25" customHeight="1">
      <c r="A1363" s="49"/>
      <c r="C1363" s="69" t="s">
        <v>23</v>
      </c>
      <c r="D1363" s="70"/>
      <c r="E1363" s="36"/>
      <c r="F1363" s="36"/>
      <c r="G1363" s="71"/>
      <c r="H1363" s="36"/>
      <c r="I1363" s="36"/>
      <c r="J1363" s="36"/>
      <c r="K1363" s="70"/>
      <c r="L1363" s="36"/>
      <c r="M1363" s="36"/>
      <c r="N1363" s="36"/>
      <c r="O1363" s="36"/>
      <c r="P1363" s="36"/>
    </row>
    <row r="1364" ht="14.25" customHeight="1">
      <c r="A1364" s="49"/>
      <c r="C1364" s="69" t="s">
        <v>24</v>
      </c>
      <c r="D1364" s="70"/>
      <c r="E1364" s="36"/>
      <c r="F1364" s="36"/>
      <c r="G1364" s="71"/>
      <c r="H1364" s="36"/>
      <c r="I1364" s="36"/>
      <c r="J1364" s="36"/>
      <c r="K1364" s="70"/>
      <c r="L1364" s="36"/>
      <c r="M1364" s="36"/>
      <c r="N1364" s="36"/>
      <c r="O1364" s="36"/>
      <c r="P1364" s="36"/>
    </row>
    <row r="1365" ht="14.25" customHeight="1">
      <c r="A1365" s="49"/>
      <c r="C1365" s="69" t="s">
        <v>25</v>
      </c>
      <c r="D1365" s="70"/>
      <c r="E1365" s="36"/>
      <c r="F1365" s="36"/>
      <c r="G1365" s="71"/>
      <c r="H1365" s="36"/>
      <c r="I1365" s="36"/>
      <c r="J1365" s="36"/>
      <c r="K1365" s="70"/>
      <c r="L1365" s="36"/>
      <c r="M1365" s="36"/>
      <c r="N1365" s="36"/>
      <c r="O1365" s="36"/>
      <c r="P1365" s="36"/>
    </row>
    <row r="1366" ht="14.25" customHeight="1">
      <c r="A1366" s="56"/>
      <c r="B1366" s="57"/>
      <c r="C1366" s="77" t="s">
        <v>26</v>
      </c>
      <c r="D1366" s="72"/>
      <c r="E1366" s="73"/>
      <c r="F1366" s="73"/>
      <c r="G1366" s="74"/>
      <c r="H1366" s="73"/>
      <c r="I1366" s="73"/>
      <c r="J1366" s="73"/>
      <c r="K1366" s="72"/>
      <c r="L1366" s="73"/>
      <c r="M1366" s="73"/>
      <c r="N1366" s="73"/>
      <c r="O1366" s="73"/>
      <c r="P1366" s="73"/>
    </row>
    <row r="1367" ht="14.25" customHeight="1">
      <c r="A1367" s="93">
        <v>45827.0</v>
      </c>
      <c r="B1367" s="66" t="s">
        <v>44</v>
      </c>
      <c r="C1367" s="64" t="s">
        <v>20</v>
      </c>
      <c r="D1367" s="75">
        <v>2.0</v>
      </c>
      <c r="E1367" s="66">
        <v>1.0</v>
      </c>
      <c r="F1367" s="67"/>
      <c r="G1367" s="68"/>
      <c r="H1367" s="67"/>
      <c r="I1367" s="67"/>
      <c r="J1367" s="67"/>
      <c r="K1367" s="65"/>
      <c r="L1367" s="67"/>
      <c r="M1367" s="67"/>
      <c r="N1367" s="67"/>
      <c r="O1367" s="67"/>
      <c r="P1367" s="67"/>
    </row>
    <row r="1368" ht="14.25" customHeight="1">
      <c r="A1368" s="49"/>
      <c r="C1368" s="69" t="s">
        <v>21</v>
      </c>
      <c r="D1368" s="76">
        <v>3.0</v>
      </c>
      <c r="E1368" s="36"/>
      <c r="F1368" s="36"/>
      <c r="G1368" s="71"/>
      <c r="H1368" s="36"/>
      <c r="I1368" s="36"/>
      <c r="J1368" s="36"/>
      <c r="K1368" s="70"/>
      <c r="L1368" s="36"/>
      <c r="M1368" s="36"/>
      <c r="N1368" s="36"/>
      <c r="O1368" s="36"/>
      <c r="P1368" s="36"/>
    </row>
    <row r="1369" ht="14.25" customHeight="1">
      <c r="A1369" s="49"/>
      <c r="C1369" s="69" t="s">
        <v>22</v>
      </c>
      <c r="D1369" s="70"/>
      <c r="E1369" s="36"/>
      <c r="F1369" s="36"/>
      <c r="G1369" s="71"/>
      <c r="H1369" s="36"/>
      <c r="I1369" s="36"/>
      <c r="J1369" s="36"/>
      <c r="K1369" s="70"/>
      <c r="L1369" s="36"/>
      <c r="M1369" s="36"/>
      <c r="N1369" s="36"/>
      <c r="O1369" s="36"/>
      <c r="P1369" s="36"/>
    </row>
    <row r="1370" ht="14.25" customHeight="1">
      <c r="A1370" s="49"/>
      <c r="C1370" s="69" t="s">
        <v>23</v>
      </c>
      <c r="D1370" s="70"/>
      <c r="E1370" s="36"/>
      <c r="F1370" s="36"/>
      <c r="G1370" s="71"/>
      <c r="H1370" s="36"/>
      <c r="I1370" s="36"/>
      <c r="J1370" s="36"/>
      <c r="K1370" s="70"/>
      <c r="L1370" s="36"/>
      <c r="M1370" s="36"/>
      <c r="N1370" s="36"/>
      <c r="O1370" s="36"/>
      <c r="P1370" s="36"/>
    </row>
    <row r="1371" ht="14.25" customHeight="1">
      <c r="A1371" s="49"/>
      <c r="C1371" s="69" t="s">
        <v>24</v>
      </c>
      <c r="D1371" s="70"/>
      <c r="E1371" s="36"/>
      <c r="F1371" s="36"/>
      <c r="G1371" s="71"/>
      <c r="H1371" s="36"/>
      <c r="I1371" s="36"/>
      <c r="J1371" s="36"/>
      <c r="K1371" s="70"/>
      <c r="L1371" s="36"/>
      <c r="M1371" s="36"/>
      <c r="N1371" s="36"/>
      <c r="O1371" s="36"/>
      <c r="P1371" s="36"/>
    </row>
    <row r="1372" ht="14.25" customHeight="1">
      <c r="A1372" s="49"/>
      <c r="C1372" s="69" t="s">
        <v>25</v>
      </c>
      <c r="D1372" s="76">
        <v>1.0</v>
      </c>
      <c r="E1372" s="36"/>
      <c r="F1372" s="36"/>
      <c r="G1372" s="71"/>
      <c r="H1372" s="36"/>
      <c r="I1372" s="36"/>
      <c r="J1372" s="36"/>
      <c r="K1372" s="70"/>
      <c r="L1372" s="36"/>
      <c r="M1372" s="36"/>
      <c r="N1372" s="36"/>
      <c r="O1372" s="36"/>
      <c r="P1372" s="36"/>
    </row>
    <row r="1373" ht="14.25" customHeight="1">
      <c r="A1373" s="56"/>
      <c r="B1373" s="57"/>
      <c r="C1373" s="77" t="s">
        <v>26</v>
      </c>
      <c r="D1373" s="72"/>
      <c r="E1373" s="73"/>
      <c r="F1373" s="73"/>
      <c r="G1373" s="74"/>
      <c r="H1373" s="73"/>
      <c r="I1373" s="73"/>
      <c r="J1373" s="73"/>
      <c r="K1373" s="72"/>
      <c r="L1373" s="73"/>
      <c r="M1373" s="73"/>
      <c r="N1373" s="73"/>
      <c r="O1373" s="73"/>
      <c r="P1373" s="73"/>
    </row>
    <row r="1374" ht="14.25" customHeight="1">
      <c r="A1374" s="93">
        <v>45827.0</v>
      </c>
      <c r="B1374" s="66" t="s">
        <v>43</v>
      </c>
      <c r="C1374" s="64" t="s">
        <v>20</v>
      </c>
      <c r="D1374" s="75">
        <v>15.0</v>
      </c>
      <c r="E1374" s="66">
        <v>3.0</v>
      </c>
      <c r="F1374" s="67"/>
      <c r="G1374" s="68"/>
      <c r="H1374" s="66">
        <v>2.0</v>
      </c>
      <c r="I1374" s="67"/>
      <c r="J1374" s="67"/>
      <c r="K1374" s="65"/>
      <c r="L1374" s="67"/>
      <c r="M1374" s="67"/>
      <c r="N1374" s="67"/>
      <c r="O1374" s="66">
        <v>1.0</v>
      </c>
      <c r="P1374" s="67"/>
    </row>
    <row r="1375" ht="14.25" customHeight="1">
      <c r="A1375" s="49"/>
      <c r="C1375" s="69" t="s">
        <v>21</v>
      </c>
      <c r="D1375" s="76">
        <v>13.0</v>
      </c>
      <c r="E1375" s="36"/>
      <c r="F1375" s="36"/>
      <c r="G1375" s="71"/>
      <c r="H1375" s="36"/>
      <c r="I1375" s="36"/>
      <c r="J1375" s="36"/>
      <c r="K1375" s="70"/>
      <c r="L1375" s="36"/>
      <c r="M1375" s="36"/>
      <c r="N1375" s="36"/>
      <c r="O1375" s="36"/>
      <c r="P1375" s="36"/>
    </row>
    <row r="1376" ht="14.25" customHeight="1">
      <c r="A1376" s="49"/>
      <c r="C1376" s="69" t="s">
        <v>22</v>
      </c>
      <c r="D1376" s="70"/>
      <c r="E1376" s="36"/>
      <c r="F1376" s="36"/>
      <c r="G1376" s="71"/>
      <c r="H1376" s="36"/>
      <c r="I1376" s="36"/>
      <c r="J1376" s="36"/>
      <c r="K1376" s="70"/>
      <c r="L1376" s="36"/>
      <c r="M1376" s="36"/>
      <c r="N1376" s="36"/>
      <c r="O1376" s="36"/>
      <c r="P1376" s="36"/>
    </row>
    <row r="1377" ht="14.25" customHeight="1">
      <c r="A1377" s="49"/>
      <c r="C1377" s="69" t="s">
        <v>23</v>
      </c>
      <c r="D1377" s="70"/>
      <c r="E1377" s="36"/>
      <c r="F1377" s="36"/>
      <c r="G1377" s="71"/>
      <c r="H1377" s="36"/>
      <c r="I1377" s="36"/>
      <c r="J1377" s="36"/>
      <c r="K1377" s="70"/>
      <c r="L1377" s="36"/>
      <c r="M1377" s="36"/>
      <c r="N1377" s="36"/>
      <c r="O1377" s="36"/>
      <c r="P1377" s="36"/>
    </row>
    <row r="1378" ht="14.25" customHeight="1">
      <c r="A1378" s="49"/>
      <c r="C1378" s="69" t="s">
        <v>24</v>
      </c>
      <c r="D1378" s="76">
        <v>3.0</v>
      </c>
      <c r="E1378" s="36"/>
      <c r="F1378" s="36"/>
      <c r="G1378" s="71"/>
      <c r="H1378" s="36"/>
      <c r="I1378" s="36"/>
      <c r="J1378" s="36"/>
      <c r="K1378" s="70"/>
      <c r="L1378" s="36"/>
      <c r="M1378" s="36"/>
      <c r="N1378" s="36"/>
      <c r="O1378" s="36"/>
      <c r="P1378" s="36"/>
    </row>
    <row r="1379" ht="14.25" customHeight="1">
      <c r="A1379" s="49"/>
      <c r="C1379" s="69" t="s">
        <v>25</v>
      </c>
      <c r="D1379" s="70"/>
      <c r="E1379" s="36"/>
      <c r="F1379" s="36"/>
      <c r="G1379" s="71"/>
      <c r="H1379" s="36"/>
      <c r="I1379" s="36"/>
      <c r="J1379" s="36"/>
      <c r="K1379" s="70"/>
      <c r="L1379" s="36"/>
      <c r="M1379" s="36"/>
      <c r="N1379" s="36"/>
      <c r="O1379" s="36"/>
      <c r="P1379" s="36"/>
    </row>
    <row r="1380" ht="14.25" customHeight="1">
      <c r="A1380" s="56"/>
      <c r="B1380" s="57"/>
      <c r="C1380" s="77" t="s">
        <v>26</v>
      </c>
      <c r="D1380" s="72"/>
      <c r="E1380" s="73"/>
      <c r="F1380" s="73"/>
      <c r="G1380" s="74"/>
      <c r="H1380" s="73"/>
      <c r="I1380" s="73"/>
      <c r="J1380" s="73"/>
      <c r="K1380" s="72"/>
      <c r="L1380" s="73"/>
      <c r="M1380" s="73"/>
      <c r="N1380" s="73"/>
      <c r="O1380" s="73"/>
      <c r="P1380" s="73"/>
    </row>
    <row r="1381" ht="14.25" customHeight="1">
      <c r="A1381" s="93">
        <v>45828.0</v>
      </c>
      <c r="B1381" s="66" t="s">
        <v>45</v>
      </c>
      <c r="C1381" s="64" t="s">
        <v>20</v>
      </c>
      <c r="D1381" s="65"/>
      <c r="E1381" s="67"/>
      <c r="F1381" s="66">
        <v>1.0</v>
      </c>
      <c r="G1381" s="68"/>
      <c r="H1381" s="67"/>
      <c r="I1381" s="67"/>
      <c r="J1381" s="67"/>
      <c r="K1381" s="65"/>
      <c r="L1381" s="67"/>
      <c r="M1381" s="67"/>
      <c r="N1381" s="66">
        <v>1.0</v>
      </c>
      <c r="O1381" s="67"/>
      <c r="P1381" s="67"/>
    </row>
    <row r="1382" ht="14.25" customHeight="1">
      <c r="A1382" s="49"/>
      <c r="C1382" s="69" t="s">
        <v>21</v>
      </c>
      <c r="D1382" s="76">
        <v>2.0</v>
      </c>
      <c r="E1382" s="36"/>
      <c r="F1382" s="36"/>
      <c r="G1382" s="71"/>
      <c r="H1382" s="36"/>
      <c r="I1382" s="36"/>
      <c r="J1382" s="36"/>
      <c r="K1382" s="70"/>
      <c r="L1382" s="36"/>
      <c r="M1382" s="36"/>
      <c r="N1382" s="36"/>
      <c r="O1382" s="36"/>
      <c r="P1382" s="36"/>
    </row>
    <row r="1383" ht="14.25" customHeight="1">
      <c r="A1383" s="49"/>
      <c r="C1383" s="69" t="s">
        <v>22</v>
      </c>
      <c r="D1383" s="70"/>
      <c r="E1383" s="36"/>
      <c r="F1383" s="36"/>
      <c r="G1383" s="71"/>
      <c r="H1383" s="36"/>
      <c r="I1383" s="36"/>
      <c r="J1383" s="36"/>
      <c r="K1383" s="70"/>
      <c r="L1383" s="36"/>
      <c r="M1383" s="36"/>
      <c r="N1383" s="36"/>
      <c r="O1383" s="36"/>
      <c r="P1383" s="36"/>
    </row>
    <row r="1384" ht="14.25" customHeight="1">
      <c r="A1384" s="49"/>
      <c r="C1384" s="69" t="s">
        <v>23</v>
      </c>
      <c r="D1384" s="70"/>
      <c r="E1384" s="36"/>
      <c r="F1384" s="36"/>
      <c r="G1384" s="71"/>
      <c r="H1384" s="36"/>
      <c r="I1384" s="36"/>
      <c r="J1384" s="36"/>
      <c r="K1384" s="70"/>
      <c r="L1384" s="36"/>
      <c r="M1384" s="36"/>
      <c r="N1384" s="36"/>
      <c r="O1384" s="36"/>
      <c r="P1384" s="36"/>
    </row>
    <row r="1385" ht="14.25" customHeight="1">
      <c r="A1385" s="49"/>
      <c r="C1385" s="69" t="s">
        <v>24</v>
      </c>
      <c r="D1385" s="76">
        <v>2.0</v>
      </c>
      <c r="E1385" s="36"/>
      <c r="F1385" s="36"/>
      <c r="G1385" s="71"/>
      <c r="H1385" s="36"/>
      <c r="I1385" s="36"/>
      <c r="J1385" s="36"/>
      <c r="K1385" s="70"/>
      <c r="L1385" s="36"/>
      <c r="M1385" s="36"/>
      <c r="N1385" s="36"/>
      <c r="O1385" s="36"/>
      <c r="P1385" s="36"/>
    </row>
    <row r="1386" ht="14.25" customHeight="1">
      <c r="A1386" s="49"/>
      <c r="C1386" s="69" t="s">
        <v>25</v>
      </c>
      <c r="D1386" s="70"/>
      <c r="E1386" s="36"/>
      <c r="F1386" s="36"/>
      <c r="G1386" s="71"/>
      <c r="H1386" s="36"/>
      <c r="I1386" s="36"/>
      <c r="J1386" s="36"/>
      <c r="K1386" s="70"/>
      <c r="L1386" s="36"/>
      <c r="M1386" s="36"/>
      <c r="N1386" s="36"/>
      <c r="O1386" s="36"/>
      <c r="P1386" s="36"/>
    </row>
    <row r="1387" ht="14.25" customHeight="1">
      <c r="A1387" s="56"/>
      <c r="B1387" s="57"/>
      <c r="C1387" s="77" t="s">
        <v>26</v>
      </c>
      <c r="D1387" s="72"/>
      <c r="E1387" s="73"/>
      <c r="F1387" s="73"/>
      <c r="G1387" s="74"/>
      <c r="H1387" s="73"/>
      <c r="I1387" s="73"/>
      <c r="J1387" s="73"/>
      <c r="K1387" s="72"/>
      <c r="L1387" s="73"/>
      <c r="M1387" s="73"/>
      <c r="N1387" s="73"/>
      <c r="O1387" s="73"/>
      <c r="P1387" s="73"/>
    </row>
    <row r="1388" ht="14.25" customHeight="1">
      <c r="A1388" s="93">
        <v>45828.0</v>
      </c>
      <c r="B1388" s="66" t="s">
        <v>42</v>
      </c>
      <c r="C1388" s="64" t="s">
        <v>20</v>
      </c>
      <c r="D1388" s="75">
        <v>11.0</v>
      </c>
      <c r="E1388" s="66">
        <v>1.0</v>
      </c>
      <c r="F1388" s="66">
        <v>1.0</v>
      </c>
      <c r="G1388" s="68"/>
      <c r="H1388" s="66">
        <v>1.0</v>
      </c>
      <c r="I1388" s="67"/>
      <c r="J1388" s="67"/>
      <c r="K1388" s="65"/>
      <c r="L1388" s="67"/>
      <c r="M1388" s="67"/>
      <c r="N1388" s="67"/>
      <c r="O1388" s="67"/>
      <c r="P1388" s="66">
        <v>1.0</v>
      </c>
    </row>
    <row r="1389" ht="14.25" customHeight="1">
      <c r="A1389" s="49"/>
      <c r="C1389" s="69" t="s">
        <v>21</v>
      </c>
      <c r="D1389" s="76">
        <v>3.0</v>
      </c>
      <c r="E1389" s="36"/>
      <c r="F1389" s="36"/>
      <c r="G1389" s="71"/>
      <c r="H1389" s="36"/>
      <c r="I1389" s="36"/>
      <c r="J1389" s="36"/>
      <c r="K1389" s="70"/>
      <c r="L1389" s="36"/>
      <c r="M1389" s="36"/>
      <c r="N1389" s="36"/>
      <c r="O1389" s="36"/>
      <c r="P1389" s="36"/>
    </row>
    <row r="1390" ht="14.25" customHeight="1">
      <c r="A1390" s="49"/>
      <c r="C1390" s="69" t="s">
        <v>22</v>
      </c>
      <c r="D1390" s="70"/>
      <c r="E1390" s="36"/>
      <c r="F1390" s="36"/>
      <c r="G1390" s="71"/>
      <c r="H1390" s="36"/>
      <c r="I1390" s="36"/>
      <c r="J1390" s="36"/>
      <c r="K1390" s="70"/>
      <c r="L1390" s="36"/>
      <c r="M1390" s="36"/>
      <c r="N1390" s="36"/>
      <c r="O1390" s="36"/>
      <c r="P1390" s="36"/>
    </row>
    <row r="1391" ht="14.25" customHeight="1">
      <c r="A1391" s="49"/>
      <c r="C1391" s="69" t="s">
        <v>23</v>
      </c>
      <c r="D1391" s="76">
        <v>1.0</v>
      </c>
      <c r="E1391" s="36"/>
      <c r="F1391" s="36"/>
      <c r="G1391" s="71"/>
      <c r="H1391" s="36"/>
      <c r="I1391" s="36"/>
      <c r="J1391" s="36"/>
      <c r="K1391" s="70"/>
      <c r="L1391" s="36"/>
      <c r="M1391" s="36"/>
      <c r="N1391" s="36"/>
      <c r="O1391" s="36"/>
      <c r="P1391" s="36"/>
    </row>
    <row r="1392" ht="14.25" customHeight="1">
      <c r="A1392" s="49"/>
      <c r="C1392" s="69" t="s">
        <v>24</v>
      </c>
      <c r="D1392" s="76">
        <v>4.0</v>
      </c>
      <c r="E1392" s="36"/>
      <c r="F1392" s="36"/>
      <c r="G1392" s="71"/>
      <c r="H1392" s="36"/>
      <c r="I1392" s="36"/>
      <c r="J1392" s="36"/>
      <c r="K1392" s="70"/>
      <c r="L1392" s="36"/>
      <c r="M1392" s="36"/>
      <c r="N1392" s="36"/>
      <c r="O1392" s="36"/>
      <c r="P1392" s="36"/>
    </row>
    <row r="1393" ht="14.25" customHeight="1">
      <c r="A1393" s="49"/>
      <c r="C1393" s="69" t="s">
        <v>25</v>
      </c>
      <c r="D1393" s="70"/>
      <c r="E1393" s="36"/>
      <c r="F1393" s="36"/>
      <c r="G1393" s="71"/>
      <c r="H1393" s="36"/>
      <c r="I1393" s="36"/>
      <c r="J1393" s="36"/>
      <c r="K1393" s="70"/>
      <c r="L1393" s="36"/>
      <c r="M1393" s="36"/>
      <c r="N1393" s="36"/>
      <c r="O1393" s="36"/>
      <c r="P1393" s="36"/>
    </row>
    <row r="1394" ht="14.25" customHeight="1">
      <c r="A1394" s="56"/>
      <c r="B1394" s="57"/>
      <c r="C1394" s="77" t="s">
        <v>26</v>
      </c>
      <c r="D1394" s="72"/>
      <c r="E1394" s="73"/>
      <c r="F1394" s="73"/>
      <c r="G1394" s="74"/>
      <c r="H1394" s="73"/>
      <c r="I1394" s="73"/>
      <c r="J1394" s="73"/>
      <c r="K1394" s="72"/>
      <c r="L1394" s="73"/>
      <c r="M1394" s="73"/>
      <c r="N1394" s="73"/>
      <c r="O1394" s="73"/>
      <c r="P1394" s="73"/>
    </row>
    <row r="1395" ht="14.25" customHeight="1">
      <c r="A1395" s="91">
        <v>45842.0</v>
      </c>
      <c r="B1395" s="66" t="s">
        <v>44</v>
      </c>
      <c r="C1395" s="64" t="s">
        <v>20</v>
      </c>
      <c r="D1395" s="75">
        <v>4.0</v>
      </c>
      <c r="E1395" s="66">
        <v>3.0</v>
      </c>
      <c r="F1395" s="66">
        <v>2.0</v>
      </c>
      <c r="G1395" s="68"/>
      <c r="H1395" s="66">
        <v>2.0</v>
      </c>
      <c r="I1395" s="66">
        <v>1.0</v>
      </c>
      <c r="J1395" s="67"/>
      <c r="K1395" s="65"/>
      <c r="L1395" s="67"/>
      <c r="M1395" s="67"/>
      <c r="N1395" s="66">
        <v>1.0</v>
      </c>
      <c r="O1395" s="67"/>
      <c r="P1395" s="67"/>
    </row>
    <row r="1396" ht="14.25" customHeight="1">
      <c r="A1396" s="49"/>
      <c r="C1396" s="69" t="s">
        <v>21</v>
      </c>
      <c r="D1396" s="70"/>
      <c r="E1396" s="36"/>
      <c r="F1396" s="36"/>
      <c r="G1396" s="71"/>
      <c r="H1396" s="36"/>
      <c r="I1396" s="36"/>
      <c r="J1396" s="36"/>
      <c r="K1396" s="70"/>
      <c r="L1396" s="36"/>
      <c r="M1396" s="36"/>
      <c r="N1396" s="36"/>
      <c r="O1396" s="36"/>
      <c r="P1396" s="36"/>
    </row>
    <row r="1397" ht="14.25" customHeight="1">
      <c r="A1397" s="49"/>
      <c r="C1397" s="69" t="s">
        <v>22</v>
      </c>
      <c r="D1397" s="70"/>
      <c r="E1397" s="36"/>
      <c r="F1397" s="36"/>
      <c r="G1397" s="71"/>
      <c r="H1397" s="36"/>
      <c r="I1397" s="36"/>
      <c r="J1397" s="36"/>
      <c r="K1397" s="70"/>
      <c r="L1397" s="36"/>
      <c r="M1397" s="36"/>
      <c r="N1397" s="36"/>
      <c r="O1397" s="36"/>
      <c r="P1397" s="36"/>
    </row>
    <row r="1398" ht="14.25" customHeight="1">
      <c r="A1398" s="49"/>
      <c r="C1398" s="69" t="s">
        <v>23</v>
      </c>
      <c r="D1398" s="70"/>
      <c r="E1398" s="36"/>
      <c r="F1398" s="36"/>
      <c r="G1398" s="71"/>
      <c r="H1398" s="36"/>
      <c r="I1398" s="36"/>
      <c r="J1398" s="36"/>
      <c r="K1398" s="70"/>
      <c r="L1398" s="36"/>
      <c r="M1398" s="36"/>
      <c r="N1398" s="36"/>
      <c r="O1398" s="36"/>
      <c r="P1398" s="36"/>
    </row>
    <row r="1399" ht="14.25" customHeight="1">
      <c r="A1399" s="49"/>
      <c r="C1399" s="69" t="s">
        <v>24</v>
      </c>
      <c r="D1399" s="70"/>
      <c r="E1399" s="36"/>
      <c r="F1399" s="36"/>
      <c r="G1399" s="71"/>
      <c r="H1399" s="36"/>
      <c r="I1399" s="36"/>
      <c r="J1399" s="36"/>
      <c r="K1399" s="70"/>
      <c r="L1399" s="36"/>
      <c r="M1399" s="36"/>
      <c r="N1399" s="36"/>
      <c r="O1399" s="36"/>
      <c r="P1399" s="36"/>
    </row>
    <row r="1400" ht="14.25" customHeight="1">
      <c r="A1400" s="49"/>
      <c r="C1400" s="69" t="s">
        <v>25</v>
      </c>
      <c r="D1400" s="70"/>
      <c r="E1400" s="36"/>
      <c r="F1400" s="36"/>
      <c r="G1400" s="71"/>
      <c r="H1400" s="36"/>
      <c r="I1400" s="36"/>
      <c r="J1400" s="36"/>
      <c r="K1400" s="70"/>
      <c r="L1400" s="36"/>
      <c r="M1400" s="36"/>
      <c r="N1400" s="36"/>
      <c r="O1400" s="36"/>
      <c r="P1400" s="36"/>
    </row>
    <row r="1401" ht="14.25" customHeight="1">
      <c r="A1401" s="56"/>
      <c r="B1401" s="57"/>
      <c r="C1401" s="77" t="s">
        <v>26</v>
      </c>
      <c r="D1401" s="72"/>
      <c r="E1401" s="73"/>
      <c r="F1401" s="73"/>
      <c r="G1401" s="74"/>
      <c r="H1401" s="73"/>
      <c r="I1401" s="73"/>
      <c r="J1401" s="73"/>
      <c r="K1401" s="72"/>
      <c r="L1401" s="73"/>
      <c r="M1401" s="73"/>
      <c r="N1401" s="73"/>
      <c r="O1401" s="73"/>
      <c r="P1401" s="73"/>
    </row>
    <row r="1402" ht="14.25" customHeight="1">
      <c r="A1402" s="97">
        <v>45842.0</v>
      </c>
      <c r="B1402" s="66" t="s">
        <v>41</v>
      </c>
      <c r="C1402" s="64" t="s">
        <v>20</v>
      </c>
      <c r="D1402" s="75">
        <v>2.0</v>
      </c>
      <c r="E1402" s="66">
        <v>1.0</v>
      </c>
      <c r="F1402" s="66">
        <v>4.0</v>
      </c>
      <c r="G1402" s="64">
        <v>1.0</v>
      </c>
      <c r="H1402" s="66">
        <v>1.0</v>
      </c>
      <c r="I1402" s="66">
        <v>1.0</v>
      </c>
      <c r="J1402" s="67"/>
      <c r="K1402" s="65"/>
      <c r="L1402" s="67"/>
      <c r="M1402" s="67"/>
      <c r="N1402" s="66">
        <v>2.0</v>
      </c>
      <c r="O1402" s="67"/>
      <c r="P1402" s="67"/>
    </row>
    <row r="1403" ht="14.25" customHeight="1">
      <c r="A1403" s="49"/>
      <c r="C1403" s="69" t="s">
        <v>21</v>
      </c>
      <c r="D1403" s="70"/>
      <c r="E1403" s="36"/>
      <c r="F1403" s="36"/>
      <c r="G1403" s="71"/>
      <c r="H1403" s="36"/>
      <c r="I1403" s="36"/>
      <c r="J1403" s="36"/>
      <c r="K1403" s="70"/>
      <c r="L1403" s="36"/>
      <c r="M1403" s="36"/>
      <c r="N1403" s="36"/>
      <c r="O1403" s="36"/>
      <c r="P1403" s="36"/>
    </row>
    <row r="1404" ht="14.25" customHeight="1">
      <c r="A1404" s="49"/>
      <c r="C1404" s="69" t="s">
        <v>22</v>
      </c>
      <c r="D1404" s="70"/>
      <c r="E1404" s="36"/>
      <c r="F1404" s="36"/>
      <c r="G1404" s="71"/>
      <c r="H1404" s="36"/>
      <c r="I1404" s="36"/>
      <c r="J1404" s="36"/>
      <c r="K1404" s="70"/>
      <c r="L1404" s="36"/>
      <c r="M1404" s="36"/>
      <c r="N1404" s="36"/>
      <c r="O1404" s="36"/>
      <c r="P1404" s="36"/>
    </row>
    <row r="1405" ht="14.25" customHeight="1">
      <c r="A1405" s="49"/>
      <c r="C1405" s="69" t="s">
        <v>23</v>
      </c>
      <c r="D1405" s="70"/>
      <c r="E1405" s="36"/>
      <c r="F1405" s="36"/>
      <c r="G1405" s="71"/>
      <c r="H1405" s="36"/>
      <c r="I1405" s="36"/>
      <c r="J1405" s="36"/>
      <c r="K1405" s="70"/>
      <c r="L1405" s="36"/>
      <c r="M1405" s="36"/>
      <c r="N1405" s="36"/>
      <c r="O1405" s="36"/>
      <c r="P1405" s="36"/>
    </row>
    <row r="1406" ht="14.25" customHeight="1">
      <c r="A1406" s="49"/>
      <c r="C1406" s="69" t="s">
        <v>24</v>
      </c>
      <c r="D1406" s="70"/>
      <c r="E1406" s="36"/>
      <c r="F1406" s="36"/>
      <c r="G1406" s="71"/>
      <c r="H1406" s="36"/>
      <c r="I1406" s="36"/>
      <c r="J1406" s="36"/>
      <c r="K1406" s="70"/>
      <c r="L1406" s="36"/>
      <c r="M1406" s="36"/>
      <c r="N1406" s="36"/>
      <c r="O1406" s="36"/>
      <c r="P1406" s="36"/>
    </row>
    <row r="1407" ht="14.25" customHeight="1">
      <c r="A1407" s="49"/>
      <c r="C1407" s="69" t="s">
        <v>25</v>
      </c>
      <c r="D1407" s="70"/>
      <c r="E1407" s="36"/>
      <c r="F1407" s="36"/>
      <c r="G1407" s="71"/>
      <c r="H1407" s="36"/>
      <c r="I1407" s="36"/>
      <c r="J1407" s="36"/>
      <c r="K1407" s="70"/>
      <c r="L1407" s="36"/>
      <c r="M1407" s="36"/>
      <c r="N1407" s="36"/>
      <c r="O1407" s="36"/>
      <c r="P1407" s="36"/>
    </row>
    <row r="1408" ht="14.25" customHeight="1">
      <c r="A1408" s="56"/>
      <c r="B1408" s="57"/>
      <c r="C1408" s="77" t="s">
        <v>26</v>
      </c>
      <c r="D1408" s="72"/>
      <c r="E1408" s="73"/>
      <c r="F1408" s="73"/>
      <c r="G1408" s="74"/>
      <c r="H1408" s="73"/>
      <c r="I1408" s="73"/>
      <c r="J1408" s="73"/>
      <c r="K1408" s="72"/>
      <c r="L1408" s="73"/>
      <c r="M1408" s="73"/>
      <c r="N1408" s="73"/>
      <c r="O1408" s="73"/>
      <c r="P1408" s="73"/>
    </row>
    <row r="1409" ht="14.25" customHeight="1">
      <c r="A1409" s="97">
        <v>45870.0</v>
      </c>
      <c r="B1409" s="94" t="s">
        <v>65</v>
      </c>
      <c r="C1409" s="64" t="s">
        <v>20</v>
      </c>
      <c r="D1409" s="75">
        <v>1.0</v>
      </c>
      <c r="E1409" s="67"/>
      <c r="F1409" s="66">
        <v>4.0</v>
      </c>
      <c r="G1409" s="68"/>
      <c r="H1409" s="66">
        <v>2.0</v>
      </c>
      <c r="I1409" s="67"/>
      <c r="J1409" s="67"/>
      <c r="K1409" s="65"/>
      <c r="L1409" s="67"/>
      <c r="M1409" s="67"/>
      <c r="N1409" s="66">
        <v>2.0</v>
      </c>
      <c r="O1409" s="67"/>
      <c r="P1409" s="67"/>
    </row>
    <row r="1410" ht="14.25" customHeight="1">
      <c r="A1410" s="49"/>
      <c r="C1410" s="69" t="s">
        <v>21</v>
      </c>
      <c r="D1410" s="76">
        <v>1.0</v>
      </c>
      <c r="E1410" s="36"/>
      <c r="F1410" s="16">
        <v>1.0</v>
      </c>
      <c r="G1410" s="71"/>
      <c r="H1410" s="16">
        <v>2.0</v>
      </c>
      <c r="I1410" s="36"/>
      <c r="J1410" s="36"/>
      <c r="K1410" s="70"/>
      <c r="L1410" s="36"/>
      <c r="M1410" s="36"/>
      <c r="N1410" s="36"/>
      <c r="O1410" s="36"/>
      <c r="P1410" s="36"/>
    </row>
    <row r="1411" ht="14.25" customHeight="1">
      <c r="A1411" s="49"/>
      <c r="C1411" s="69" t="s">
        <v>22</v>
      </c>
      <c r="D1411" s="70"/>
      <c r="E1411" s="36"/>
      <c r="F1411" s="36"/>
      <c r="G1411" s="71"/>
      <c r="H1411" s="36"/>
      <c r="I1411" s="36"/>
      <c r="J1411" s="36"/>
      <c r="K1411" s="70"/>
      <c r="L1411" s="36"/>
      <c r="M1411" s="36"/>
      <c r="N1411" s="36"/>
      <c r="O1411" s="36"/>
      <c r="P1411" s="36"/>
    </row>
    <row r="1412" ht="14.25" customHeight="1">
      <c r="A1412" s="49"/>
      <c r="C1412" s="69" t="s">
        <v>23</v>
      </c>
      <c r="D1412" s="70"/>
      <c r="E1412" s="36"/>
      <c r="F1412" s="36"/>
      <c r="G1412" s="71"/>
      <c r="H1412" s="36"/>
      <c r="I1412" s="36"/>
      <c r="J1412" s="36"/>
      <c r="K1412" s="70"/>
      <c r="L1412" s="36"/>
      <c r="M1412" s="36"/>
      <c r="N1412" s="36"/>
      <c r="O1412" s="36"/>
      <c r="P1412" s="36"/>
    </row>
    <row r="1413" ht="14.25" customHeight="1">
      <c r="A1413" s="49"/>
      <c r="C1413" s="69" t="s">
        <v>24</v>
      </c>
      <c r="D1413" s="70"/>
      <c r="E1413" s="36"/>
      <c r="F1413" s="36"/>
      <c r="G1413" s="71"/>
      <c r="H1413" s="36"/>
      <c r="I1413" s="36"/>
      <c r="J1413" s="36"/>
      <c r="K1413" s="70"/>
      <c r="L1413" s="36"/>
      <c r="M1413" s="36"/>
      <c r="N1413" s="36"/>
      <c r="O1413" s="36"/>
      <c r="P1413" s="36"/>
    </row>
    <row r="1414" ht="14.25" customHeight="1">
      <c r="A1414" s="49"/>
      <c r="C1414" s="69" t="s">
        <v>25</v>
      </c>
      <c r="D1414" s="70"/>
      <c r="E1414" s="36"/>
      <c r="F1414" s="36"/>
      <c r="G1414" s="71"/>
      <c r="H1414" s="36"/>
      <c r="I1414" s="36"/>
      <c r="J1414" s="36"/>
      <c r="K1414" s="70"/>
      <c r="L1414" s="36"/>
      <c r="M1414" s="36"/>
      <c r="N1414" s="36"/>
      <c r="O1414" s="36"/>
      <c r="P1414" s="36"/>
    </row>
    <row r="1415" ht="14.25" customHeight="1">
      <c r="A1415" s="56"/>
      <c r="B1415" s="57"/>
      <c r="C1415" s="77" t="s">
        <v>26</v>
      </c>
      <c r="D1415" s="72"/>
      <c r="E1415" s="73"/>
      <c r="F1415" s="73"/>
      <c r="G1415" s="74"/>
      <c r="H1415" s="73"/>
      <c r="I1415" s="73"/>
      <c r="J1415" s="73"/>
      <c r="K1415" s="72"/>
      <c r="L1415" s="73"/>
      <c r="M1415" s="73"/>
      <c r="N1415" s="73"/>
      <c r="O1415" s="73"/>
      <c r="P1415" s="73"/>
    </row>
    <row r="1416" ht="14.25" customHeight="1">
      <c r="A1416" s="97">
        <v>45870.0</v>
      </c>
      <c r="B1416" s="66" t="s">
        <v>70</v>
      </c>
      <c r="C1416" s="64" t="s">
        <v>20</v>
      </c>
      <c r="D1416" s="65"/>
      <c r="E1416" s="66">
        <v>1.0</v>
      </c>
      <c r="F1416" s="66">
        <v>2.0</v>
      </c>
      <c r="G1416" s="68"/>
      <c r="H1416" s="66">
        <v>3.0</v>
      </c>
      <c r="I1416" s="67"/>
      <c r="J1416" s="67"/>
      <c r="K1416" s="65"/>
      <c r="L1416" s="67"/>
      <c r="M1416" s="67"/>
      <c r="N1416" s="67"/>
      <c r="O1416" s="67"/>
      <c r="P1416" s="67"/>
    </row>
    <row r="1417" ht="14.25" customHeight="1">
      <c r="A1417" s="49"/>
      <c r="C1417" s="69" t="s">
        <v>21</v>
      </c>
      <c r="D1417" s="70"/>
      <c r="E1417" s="36"/>
      <c r="F1417" s="36"/>
      <c r="G1417" s="71"/>
      <c r="H1417" s="36"/>
      <c r="I1417" s="36"/>
      <c r="J1417" s="36"/>
      <c r="K1417" s="70"/>
      <c r="L1417" s="36"/>
      <c r="M1417" s="36"/>
      <c r="N1417" s="36"/>
      <c r="O1417" s="36"/>
      <c r="P1417" s="36"/>
    </row>
    <row r="1418" ht="14.25" customHeight="1">
      <c r="A1418" s="49"/>
      <c r="C1418" s="69" t="s">
        <v>22</v>
      </c>
      <c r="D1418" s="70"/>
      <c r="E1418" s="36"/>
      <c r="F1418" s="36"/>
      <c r="G1418" s="71"/>
      <c r="H1418" s="36"/>
      <c r="I1418" s="36"/>
      <c r="J1418" s="36"/>
      <c r="K1418" s="70"/>
      <c r="L1418" s="36"/>
      <c r="M1418" s="36"/>
      <c r="N1418" s="36"/>
      <c r="O1418" s="36"/>
      <c r="P1418" s="36"/>
    </row>
    <row r="1419" ht="14.25" customHeight="1">
      <c r="A1419" s="49"/>
      <c r="C1419" s="69" t="s">
        <v>23</v>
      </c>
      <c r="D1419" s="70"/>
      <c r="E1419" s="36"/>
      <c r="F1419" s="36"/>
      <c r="G1419" s="71"/>
      <c r="H1419" s="36"/>
      <c r="I1419" s="36"/>
      <c r="J1419" s="36"/>
      <c r="K1419" s="70"/>
      <c r="L1419" s="36"/>
      <c r="M1419" s="36"/>
      <c r="N1419" s="36"/>
      <c r="O1419" s="36"/>
      <c r="P1419" s="36"/>
    </row>
    <row r="1420" ht="14.25" customHeight="1">
      <c r="A1420" s="49"/>
      <c r="C1420" s="69" t="s">
        <v>24</v>
      </c>
      <c r="D1420" s="70"/>
      <c r="E1420" s="36"/>
      <c r="F1420" s="36"/>
      <c r="G1420" s="71"/>
      <c r="H1420" s="36"/>
      <c r="I1420" s="36"/>
      <c r="J1420" s="36"/>
      <c r="K1420" s="70"/>
      <c r="L1420" s="36"/>
      <c r="M1420" s="36"/>
      <c r="N1420" s="36"/>
      <c r="O1420" s="36"/>
      <c r="P1420" s="36"/>
    </row>
    <row r="1421" ht="14.25" customHeight="1">
      <c r="A1421" s="49"/>
      <c r="C1421" s="69" t="s">
        <v>25</v>
      </c>
      <c r="D1421" s="70"/>
      <c r="E1421" s="36"/>
      <c r="F1421" s="36"/>
      <c r="G1421" s="71"/>
      <c r="H1421" s="36"/>
      <c r="I1421" s="36"/>
      <c r="J1421" s="36"/>
      <c r="K1421" s="70"/>
      <c r="L1421" s="36"/>
      <c r="M1421" s="36"/>
      <c r="N1421" s="36"/>
      <c r="O1421" s="36"/>
      <c r="P1421" s="36"/>
    </row>
    <row r="1422" ht="14.25" customHeight="1">
      <c r="A1422" s="56"/>
      <c r="B1422" s="57"/>
      <c r="C1422" s="77" t="s">
        <v>26</v>
      </c>
      <c r="D1422" s="72"/>
      <c r="E1422" s="73"/>
      <c r="F1422" s="73"/>
      <c r="G1422" s="74"/>
      <c r="H1422" s="73"/>
      <c r="I1422" s="73"/>
      <c r="J1422" s="73"/>
      <c r="K1422" s="72"/>
      <c r="L1422" s="73"/>
      <c r="M1422" s="73"/>
      <c r="N1422" s="73"/>
      <c r="O1422" s="73"/>
      <c r="P1422" s="73"/>
    </row>
    <row r="1423" ht="14.25" customHeight="1">
      <c r="A1423" s="97">
        <v>45873.0</v>
      </c>
      <c r="B1423" s="66" t="s">
        <v>42</v>
      </c>
      <c r="C1423" s="64" t="s">
        <v>20</v>
      </c>
      <c r="D1423" s="75">
        <v>1.0</v>
      </c>
      <c r="E1423" s="67"/>
      <c r="F1423" s="66">
        <v>1.0</v>
      </c>
      <c r="G1423" s="68"/>
      <c r="H1423" s="66">
        <v>1.0</v>
      </c>
      <c r="I1423" s="66">
        <v>1.0</v>
      </c>
      <c r="J1423" s="67"/>
      <c r="K1423" s="65"/>
      <c r="L1423" s="67"/>
      <c r="M1423" s="67"/>
      <c r="N1423" s="67"/>
      <c r="O1423" s="67"/>
      <c r="P1423" s="67"/>
    </row>
    <row r="1424" ht="14.25" customHeight="1">
      <c r="A1424" s="49"/>
      <c r="C1424" s="69" t="s">
        <v>21</v>
      </c>
      <c r="D1424" s="70"/>
      <c r="E1424" s="36"/>
      <c r="F1424" s="36"/>
      <c r="G1424" s="71"/>
      <c r="H1424" s="36"/>
      <c r="I1424" s="36"/>
      <c r="J1424" s="36"/>
      <c r="K1424" s="70"/>
      <c r="L1424" s="36"/>
      <c r="M1424" s="36"/>
      <c r="N1424" s="36"/>
      <c r="O1424" s="36"/>
      <c r="P1424" s="36"/>
    </row>
    <row r="1425" ht="14.25" customHeight="1">
      <c r="A1425" s="49"/>
      <c r="C1425" s="69" t="s">
        <v>22</v>
      </c>
      <c r="D1425" s="70"/>
      <c r="E1425" s="36"/>
      <c r="F1425" s="36"/>
      <c r="G1425" s="71"/>
      <c r="H1425" s="36"/>
      <c r="I1425" s="36"/>
      <c r="J1425" s="36"/>
      <c r="K1425" s="70"/>
      <c r="L1425" s="36"/>
      <c r="M1425" s="36"/>
      <c r="N1425" s="36"/>
      <c r="O1425" s="36"/>
      <c r="P1425" s="36"/>
    </row>
    <row r="1426" ht="14.25" customHeight="1">
      <c r="A1426" s="49"/>
      <c r="C1426" s="69" t="s">
        <v>23</v>
      </c>
      <c r="D1426" s="70"/>
      <c r="E1426" s="36"/>
      <c r="F1426" s="36"/>
      <c r="G1426" s="71"/>
      <c r="H1426" s="36"/>
      <c r="I1426" s="36"/>
      <c r="J1426" s="36"/>
      <c r="K1426" s="70"/>
      <c r="L1426" s="36"/>
      <c r="M1426" s="36"/>
      <c r="N1426" s="36"/>
      <c r="O1426" s="36"/>
      <c r="P1426" s="36"/>
    </row>
    <row r="1427" ht="14.25" customHeight="1">
      <c r="A1427" s="49"/>
      <c r="C1427" s="69" t="s">
        <v>24</v>
      </c>
      <c r="D1427" s="76">
        <v>1.0</v>
      </c>
      <c r="E1427" s="36"/>
      <c r="F1427" s="36"/>
      <c r="G1427" s="71"/>
      <c r="H1427" s="16">
        <v>1.0</v>
      </c>
      <c r="I1427" s="36"/>
      <c r="J1427" s="36"/>
      <c r="K1427" s="70"/>
      <c r="L1427" s="36"/>
      <c r="M1427" s="36"/>
      <c r="N1427" s="36"/>
      <c r="O1427" s="36"/>
      <c r="P1427" s="36"/>
    </row>
    <row r="1428" ht="14.25" customHeight="1">
      <c r="A1428" s="49"/>
      <c r="C1428" s="69" t="s">
        <v>25</v>
      </c>
      <c r="D1428" s="70"/>
      <c r="E1428" s="36"/>
      <c r="F1428" s="36"/>
      <c r="G1428" s="71"/>
      <c r="H1428" s="36"/>
      <c r="I1428" s="36"/>
      <c r="J1428" s="36"/>
      <c r="K1428" s="70"/>
      <c r="L1428" s="36"/>
      <c r="M1428" s="36"/>
      <c r="N1428" s="36"/>
      <c r="O1428" s="36"/>
      <c r="P1428" s="36"/>
    </row>
    <row r="1429" ht="14.25" customHeight="1">
      <c r="A1429" s="56"/>
      <c r="B1429" s="57"/>
      <c r="C1429" s="77" t="s">
        <v>26</v>
      </c>
      <c r="D1429" s="72"/>
      <c r="E1429" s="73"/>
      <c r="F1429" s="73"/>
      <c r="G1429" s="74"/>
      <c r="H1429" s="73"/>
      <c r="I1429" s="73"/>
      <c r="J1429" s="73"/>
      <c r="K1429" s="72"/>
      <c r="L1429" s="73"/>
      <c r="M1429" s="73"/>
      <c r="N1429" s="73"/>
      <c r="O1429" s="73"/>
      <c r="P1429" s="73"/>
    </row>
    <row r="1430" ht="14.25" customHeight="1">
      <c r="A1430" s="98">
        <v>45874.0</v>
      </c>
      <c r="B1430" s="66" t="s">
        <v>64</v>
      </c>
      <c r="C1430" s="64" t="s">
        <v>20</v>
      </c>
      <c r="D1430" s="75">
        <v>4.0</v>
      </c>
      <c r="E1430" s="66">
        <v>2.0</v>
      </c>
      <c r="F1430" s="66">
        <v>2.0</v>
      </c>
      <c r="G1430" s="64">
        <v>1.0</v>
      </c>
      <c r="H1430" s="66">
        <v>4.0</v>
      </c>
      <c r="I1430" s="66">
        <v>1.0</v>
      </c>
      <c r="J1430" s="67"/>
      <c r="K1430" s="65"/>
      <c r="L1430" s="67"/>
      <c r="M1430" s="67"/>
      <c r="N1430" s="67"/>
      <c r="O1430" s="67"/>
      <c r="P1430" s="67"/>
    </row>
    <row r="1431" ht="14.25" customHeight="1">
      <c r="A1431" s="49"/>
      <c r="C1431" s="69" t="s">
        <v>21</v>
      </c>
      <c r="D1431" s="70"/>
      <c r="E1431" s="36"/>
      <c r="F1431" s="36"/>
      <c r="G1431" s="71"/>
      <c r="H1431" s="36"/>
      <c r="I1431" s="36"/>
      <c r="J1431" s="36"/>
      <c r="K1431" s="70"/>
      <c r="L1431" s="36"/>
      <c r="M1431" s="36"/>
      <c r="N1431" s="36"/>
      <c r="O1431" s="36"/>
      <c r="P1431" s="36"/>
    </row>
    <row r="1432" ht="14.25" customHeight="1">
      <c r="A1432" s="49"/>
      <c r="C1432" s="69" t="s">
        <v>22</v>
      </c>
      <c r="D1432" s="70"/>
      <c r="E1432" s="36"/>
      <c r="F1432" s="36"/>
      <c r="G1432" s="71"/>
      <c r="H1432" s="36"/>
      <c r="I1432" s="36"/>
      <c r="J1432" s="36"/>
      <c r="K1432" s="70"/>
      <c r="L1432" s="36"/>
      <c r="M1432" s="36"/>
      <c r="N1432" s="36"/>
      <c r="O1432" s="36"/>
      <c r="P1432" s="36"/>
    </row>
    <row r="1433" ht="14.25" customHeight="1">
      <c r="A1433" s="49"/>
      <c r="C1433" s="69" t="s">
        <v>23</v>
      </c>
      <c r="D1433" s="70"/>
      <c r="E1433" s="36"/>
      <c r="F1433" s="36"/>
      <c r="G1433" s="71"/>
      <c r="H1433" s="36"/>
      <c r="I1433" s="36"/>
      <c r="J1433" s="36"/>
      <c r="K1433" s="70"/>
      <c r="L1433" s="36"/>
      <c r="M1433" s="36"/>
      <c r="N1433" s="36"/>
      <c r="O1433" s="36"/>
      <c r="P1433" s="36"/>
    </row>
    <row r="1434" ht="14.25" customHeight="1">
      <c r="A1434" s="49"/>
      <c r="C1434" s="69" t="s">
        <v>24</v>
      </c>
      <c r="D1434" s="70"/>
      <c r="E1434" s="36"/>
      <c r="F1434" s="36"/>
      <c r="G1434" s="71"/>
      <c r="H1434" s="36"/>
      <c r="I1434" s="36"/>
      <c r="J1434" s="36"/>
      <c r="K1434" s="70"/>
      <c r="L1434" s="36"/>
      <c r="M1434" s="36"/>
      <c r="N1434" s="36"/>
      <c r="O1434" s="36"/>
      <c r="P1434" s="36"/>
    </row>
    <row r="1435" ht="14.25" customHeight="1">
      <c r="A1435" s="49"/>
      <c r="C1435" s="69" t="s">
        <v>25</v>
      </c>
      <c r="D1435" s="70"/>
      <c r="E1435" s="36"/>
      <c r="F1435" s="36"/>
      <c r="G1435" s="71"/>
      <c r="H1435" s="36"/>
      <c r="I1435" s="36"/>
      <c r="J1435" s="36"/>
      <c r="K1435" s="70"/>
      <c r="L1435" s="36"/>
      <c r="M1435" s="36"/>
      <c r="N1435" s="36"/>
      <c r="O1435" s="36"/>
      <c r="P1435" s="36"/>
    </row>
    <row r="1436" ht="14.25" customHeight="1">
      <c r="A1436" s="56"/>
      <c r="B1436" s="57"/>
      <c r="C1436" s="77" t="s">
        <v>26</v>
      </c>
      <c r="D1436" s="72"/>
      <c r="E1436" s="73"/>
      <c r="F1436" s="73"/>
      <c r="G1436" s="74"/>
      <c r="H1436" s="73"/>
      <c r="I1436" s="73"/>
      <c r="J1436" s="73"/>
      <c r="K1436" s="72"/>
      <c r="L1436" s="73"/>
      <c r="M1436" s="73"/>
      <c r="N1436" s="73"/>
      <c r="O1436" s="73"/>
      <c r="P1436" s="73"/>
    </row>
    <row r="1437" ht="14.25" customHeight="1">
      <c r="A1437" s="97">
        <v>45874.0</v>
      </c>
      <c r="B1437" s="66" t="s">
        <v>44</v>
      </c>
      <c r="C1437" s="64" t="s">
        <v>20</v>
      </c>
      <c r="D1437" s="75">
        <v>1.0</v>
      </c>
      <c r="E1437" s="66">
        <v>3.0</v>
      </c>
      <c r="F1437" s="66">
        <v>2.0</v>
      </c>
      <c r="G1437" s="68"/>
      <c r="H1437" s="66">
        <v>3.0</v>
      </c>
      <c r="I1437" s="67"/>
      <c r="J1437" s="67"/>
      <c r="K1437" s="65"/>
      <c r="L1437" s="67"/>
      <c r="M1437" s="67"/>
      <c r="N1437" s="67"/>
      <c r="O1437" s="67"/>
      <c r="P1437" s="67"/>
    </row>
    <row r="1438" ht="14.25" customHeight="1">
      <c r="A1438" s="49"/>
      <c r="C1438" s="69" t="s">
        <v>21</v>
      </c>
      <c r="D1438" s="70"/>
      <c r="E1438" s="16">
        <v>1.0</v>
      </c>
      <c r="F1438" s="36"/>
      <c r="G1438" s="71"/>
      <c r="H1438" s="36"/>
      <c r="I1438" s="36"/>
      <c r="J1438" s="36"/>
      <c r="K1438" s="70"/>
      <c r="L1438" s="36"/>
      <c r="M1438" s="36"/>
      <c r="N1438" s="36"/>
      <c r="O1438" s="36"/>
      <c r="P1438" s="36"/>
    </row>
    <row r="1439" ht="14.25" customHeight="1">
      <c r="A1439" s="49"/>
      <c r="C1439" s="69" t="s">
        <v>22</v>
      </c>
      <c r="D1439" s="70"/>
      <c r="E1439" s="36"/>
      <c r="F1439" s="36"/>
      <c r="G1439" s="71"/>
      <c r="H1439" s="36"/>
      <c r="I1439" s="36"/>
      <c r="J1439" s="36"/>
      <c r="K1439" s="70"/>
      <c r="L1439" s="36"/>
      <c r="M1439" s="36"/>
      <c r="N1439" s="36"/>
      <c r="O1439" s="36"/>
      <c r="P1439" s="36"/>
    </row>
    <row r="1440" ht="14.25" customHeight="1">
      <c r="A1440" s="49"/>
      <c r="C1440" s="69" t="s">
        <v>23</v>
      </c>
      <c r="D1440" s="70"/>
      <c r="E1440" s="36"/>
      <c r="F1440" s="36"/>
      <c r="G1440" s="71"/>
      <c r="H1440" s="36"/>
      <c r="I1440" s="36"/>
      <c r="J1440" s="36"/>
      <c r="K1440" s="70"/>
      <c r="L1440" s="36"/>
      <c r="M1440" s="36"/>
      <c r="N1440" s="36"/>
      <c r="O1440" s="36"/>
      <c r="P1440" s="36"/>
    </row>
    <row r="1441" ht="14.25" customHeight="1">
      <c r="A1441" s="49"/>
      <c r="C1441" s="69" t="s">
        <v>24</v>
      </c>
      <c r="D1441" s="70"/>
      <c r="E1441" s="36"/>
      <c r="F1441" s="36"/>
      <c r="G1441" s="71"/>
      <c r="H1441" s="36"/>
      <c r="I1441" s="36"/>
      <c r="J1441" s="36"/>
      <c r="K1441" s="70"/>
      <c r="L1441" s="36"/>
      <c r="M1441" s="36"/>
      <c r="N1441" s="36"/>
      <c r="O1441" s="36"/>
      <c r="P1441" s="36"/>
    </row>
    <row r="1442" ht="14.25" customHeight="1">
      <c r="A1442" s="49"/>
      <c r="C1442" s="69" t="s">
        <v>25</v>
      </c>
      <c r="D1442" s="70"/>
      <c r="E1442" s="36"/>
      <c r="F1442" s="36"/>
      <c r="G1442" s="71"/>
      <c r="H1442" s="36"/>
      <c r="I1442" s="36"/>
      <c r="J1442" s="36"/>
      <c r="K1442" s="70"/>
      <c r="L1442" s="36"/>
      <c r="M1442" s="36"/>
      <c r="N1442" s="36"/>
      <c r="O1442" s="36"/>
      <c r="P1442" s="36"/>
    </row>
    <row r="1443" ht="14.25" customHeight="1">
      <c r="A1443" s="56"/>
      <c r="B1443" s="57"/>
      <c r="C1443" s="77" t="s">
        <v>26</v>
      </c>
      <c r="D1443" s="70"/>
      <c r="E1443" s="36"/>
      <c r="F1443" s="36"/>
      <c r="G1443" s="71"/>
      <c r="H1443" s="36"/>
      <c r="I1443" s="36"/>
      <c r="J1443" s="36"/>
      <c r="K1443" s="70"/>
      <c r="L1443" s="36"/>
      <c r="M1443" s="36"/>
      <c r="N1443" s="36"/>
      <c r="O1443" s="36"/>
      <c r="P1443" s="36"/>
    </row>
    <row r="1444" ht="14.25" customHeight="1">
      <c r="A1444" s="97">
        <v>45874.0</v>
      </c>
      <c r="B1444" s="66" t="s">
        <v>44</v>
      </c>
      <c r="C1444" s="66" t="s">
        <v>20</v>
      </c>
      <c r="D1444" s="75">
        <v>4.0</v>
      </c>
      <c r="E1444" s="66">
        <v>1.0</v>
      </c>
      <c r="F1444" s="66">
        <v>2.0</v>
      </c>
      <c r="G1444" s="68"/>
      <c r="H1444" s="66">
        <v>3.0</v>
      </c>
      <c r="I1444" s="66">
        <v>2.0</v>
      </c>
      <c r="J1444" s="68"/>
      <c r="K1444" s="65"/>
      <c r="L1444" s="67"/>
      <c r="M1444" s="67"/>
      <c r="N1444" s="67"/>
      <c r="O1444" s="67"/>
      <c r="P1444" s="67"/>
    </row>
    <row r="1445" ht="14.25" customHeight="1">
      <c r="A1445" s="49"/>
      <c r="C1445" s="16" t="s">
        <v>21</v>
      </c>
      <c r="D1445" s="76">
        <v>1.0</v>
      </c>
      <c r="E1445" s="16">
        <v>1.0</v>
      </c>
      <c r="F1445" s="36"/>
      <c r="G1445" s="71"/>
      <c r="H1445" s="16">
        <v>1.0</v>
      </c>
      <c r="I1445" s="36"/>
      <c r="J1445" s="71"/>
      <c r="K1445" s="70"/>
      <c r="L1445" s="36"/>
      <c r="M1445" s="36"/>
      <c r="N1445" s="36"/>
      <c r="O1445" s="36"/>
      <c r="P1445" s="36"/>
    </row>
    <row r="1446" ht="14.25" customHeight="1">
      <c r="A1446" s="49"/>
      <c r="C1446" s="16" t="s">
        <v>22</v>
      </c>
      <c r="D1446" s="70"/>
      <c r="E1446" s="36"/>
      <c r="F1446" s="36"/>
      <c r="G1446" s="71"/>
      <c r="H1446" s="36"/>
      <c r="I1446" s="36"/>
      <c r="J1446" s="71"/>
      <c r="K1446" s="70"/>
      <c r="L1446" s="36"/>
      <c r="M1446" s="36"/>
      <c r="N1446" s="36"/>
      <c r="O1446" s="36"/>
      <c r="P1446" s="36"/>
    </row>
    <row r="1447" ht="14.25" customHeight="1">
      <c r="A1447" s="49"/>
      <c r="C1447" s="16" t="s">
        <v>23</v>
      </c>
      <c r="D1447" s="70"/>
      <c r="E1447" s="36"/>
      <c r="F1447" s="36"/>
      <c r="G1447" s="71"/>
      <c r="H1447" s="36"/>
      <c r="I1447" s="36"/>
      <c r="J1447" s="71"/>
      <c r="K1447" s="70"/>
      <c r="L1447" s="36"/>
      <c r="M1447" s="36"/>
      <c r="N1447" s="36"/>
      <c r="O1447" s="36"/>
      <c r="P1447" s="36"/>
    </row>
    <row r="1448" ht="14.25" customHeight="1">
      <c r="A1448" s="49"/>
      <c r="C1448" s="16" t="s">
        <v>24</v>
      </c>
      <c r="D1448" s="70"/>
      <c r="E1448" s="36"/>
      <c r="F1448" s="36"/>
      <c r="G1448" s="71"/>
      <c r="H1448" s="36"/>
      <c r="I1448" s="36"/>
      <c r="J1448" s="71"/>
      <c r="K1448" s="70"/>
      <c r="L1448" s="36"/>
      <c r="M1448" s="36"/>
      <c r="N1448" s="36"/>
      <c r="O1448" s="36"/>
      <c r="P1448" s="36"/>
    </row>
    <row r="1449" ht="14.25" customHeight="1">
      <c r="A1449" s="49"/>
      <c r="C1449" s="16" t="s">
        <v>25</v>
      </c>
      <c r="D1449" s="76">
        <v>1.0</v>
      </c>
      <c r="E1449" s="36"/>
      <c r="F1449" s="36"/>
      <c r="G1449" s="71"/>
      <c r="H1449" s="36"/>
      <c r="I1449" s="36"/>
      <c r="J1449" s="71"/>
      <c r="K1449" s="70"/>
      <c r="L1449" s="36"/>
      <c r="M1449" s="36"/>
      <c r="N1449" s="36"/>
      <c r="O1449" s="36"/>
      <c r="P1449" s="36"/>
    </row>
    <row r="1450" ht="14.25" customHeight="1">
      <c r="A1450" s="56"/>
      <c r="B1450" s="57"/>
      <c r="C1450" s="82" t="s">
        <v>26</v>
      </c>
      <c r="D1450" s="72"/>
      <c r="E1450" s="73"/>
      <c r="F1450" s="73"/>
      <c r="G1450" s="74"/>
      <c r="H1450" s="73"/>
      <c r="I1450" s="73"/>
      <c r="J1450" s="74"/>
      <c r="K1450" s="72"/>
      <c r="L1450" s="73"/>
      <c r="M1450" s="73"/>
      <c r="N1450" s="73"/>
      <c r="O1450" s="73"/>
      <c r="P1450" s="73"/>
    </row>
    <row r="1451" ht="14.25" customHeight="1">
      <c r="A1451" s="97">
        <v>45875.0</v>
      </c>
      <c r="B1451" s="66" t="s">
        <v>42</v>
      </c>
      <c r="C1451" s="66" t="s">
        <v>20</v>
      </c>
      <c r="D1451" s="65"/>
      <c r="E1451" s="66">
        <v>5.0</v>
      </c>
      <c r="F1451" s="66">
        <v>3.0</v>
      </c>
      <c r="G1451" s="68"/>
      <c r="H1451" s="66">
        <v>6.0</v>
      </c>
      <c r="I1451" s="66">
        <v>2.0</v>
      </c>
      <c r="J1451" s="68"/>
      <c r="K1451" s="65"/>
      <c r="L1451" s="67"/>
      <c r="M1451" s="67"/>
      <c r="N1451" s="67"/>
      <c r="O1451" s="67"/>
      <c r="P1451" s="67"/>
    </row>
    <row r="1452" ht="14.25" customHeight="1">
      <c r="A1452" s="49"/>
      <c r="C1452" s="16" t="s">
        <v>21</v>
      </c>
      <c r="D1452" s="70"/>
      <c r="E1452" s="36"/>
      <c r="F1452" s="16">
        <v>1.0</v>
      </c>
      <c r="G1452" s="71"/>
      <c r="H1452" s="16">
        <v>1.0</v>
      </c>
      <c r="I1452" s="36"/>
      <c r="J1452" s="71"/>
      <c r="K1452" s="70"/>
      <c r="L1452" s="36"/>
      <c r="M1452" s="36"/>
      <c r="N1452" s="36"/>
      <c r="O1452" s="36"/>
      <c r="P1452" s="36"/>
    </row>
    <row r="1453" ht="14.25" customHeight="1">
      <c r="A1453" s="49"/>
      <c r="C1453" s="16" t="s">
        <v>22</v>
      </c>
      <c r="D1453" s="70"/>
      <c r="E1453" s="36"/>
      <c r="F1453" s="36"/>
      <c r="G1453" s="71"/>
      <c r="H1453" s="36"/>
      <c r="I1453" s="36"/>
      <c r="J1453" s="71"/>
      <c r="K1453" s="70"/>
      <c r="L1453" s="36"/>
      <c r="M1453" s="36"/>
      <c r="N1453" s="36"/>
      <c r="O1453" s="36"/>
      <c r="P1453" s="36"/>
    </row>
    <row r="1454" ht="14.25" customHeight="1">
      <c r="A1454" s="49"/>
      <c r="C1454" s="16" t="s">
        <v>23</v>
      </c>
      <c r="D1454" s="70"/>
      <c r="E1454" s="36"/>
      <c r="F1454" s="16">
        <v>2.0</v>
      </c>
      <c r="G1454" s="71"/>
      <c r="H1454" s="16">
        <v>2.0</v>
      </c>
      <c r="I1454" s="36"/>
      <c r="J1454" s="71"/>
      <c r="K1454" s="70"/>
      <c r="L1454" s="36"/>
      <c r="M1454" s="36"/>
      <c r="N1454" s="36"/>
      <c r="O1454" s="36"/>
      <c r="P1454" s="36"/>
    </row>
    <row r="1455" ht="14.25" customHeight="1">
      <c r="A1455" s="49"/>
      <c r="C1455" s="16" t="s">
        <v>24</v>
      </c>
      <c r="D1455" s="70"/>
      <c r="E1455" s="36"/>
      <c r="F1455" s="36"/>
      <c r="G1455" s="71"/>
      <c r="H1455" s="36"/>
      <c r="I1455" s="36"/>
      <c r="J1455" s="71"/>
      <c r="K1455" s="70"/>
      <c r="L1455" s="36"/>
      <c r="M1455" s="36"/>
      <c r="N1455" s="36"/>
      <c r="O1455" s="36"/>
      <c r="P1455" s="36"/>
    </row>
    <row r="1456" ht="14.25" customHeight="1">
      <c r="A1456" s="49"/>
      <c r="C1456" s="16" t="s">
        <v>25</v>
      </c>
      <c r="D1456" s="70"/>
      <c r="E1456" s="36"/>
      <c r="F1456" s="36"/>
      <c r="G1456" s="71"/>
      <c r="H1456" s="36"/>
      <c r="I1456" s="36"/>
      <c r="J1456" s="71"/>
      <c r="K1456" s="70"/>
      <c r="L1456" s="36"/>
      <c r="M1456" s="36"/>
      <c r="N1456" s="36"/>
      <c r="O1456" s="36"/>
      <c r="P1456" s="36"/>
    </row>
    <row r="1457" ht="14.25" customHeight="1">
      <c r="A1457" s="56"/>
      <c r="B1457" s="57"/>
      <c r="C1457" s="82" t="s">
        <v>26</v>
      </c>
      <c r="D1457" s="72"/>
      <c r="E1457" s="73"/>
      <c r="F1457" s="73"/>
      <c r="G1457" s="74"/>
      <c r="H1457" s="73"/>
      <c r="I1457" s="73"/>
      <c r="J1457" s="74"/>
      <c r="K1457" s="72"/>
      <c r="L1457" s="73"/>
      <c r="M1457" s="73"/>
      <c r="N1457" s="73"/>
      <c r="O1457" s="73"/>
      <c r="P1457" s="73"/>
    </row>
    <row r="1458" ht="14.25" customHeight="1">
      <c r="A1458" s="97">
        <v>45875.0</v>
      </c>
      <c r="B1458" s="66" t="s">
        <v>71</v>
      </c>
      <c r="C1458" s="66" t="s">
        <v>20</v>
      </c>
      <c r="D1458" s="75">
        <v>2.0</v>
      </c>
      <c r="E1458" s="66">
        <v>1.0</v>
      </c>
      <c r="F1458" s="66">
        <v>1.0</v>
      </c>
      <c r="G1458" s="68"/>
      <c r="H1458" s="66">
        <v>4.0</v>
      </c>
      <c r="I1458" s="67"/>
      <c r="J1458" s="68"/>
      <c r="K1458" s="65"/>
      <c r="L1458" s="67"/>
      <c r="M1458" s="67"/>
      <c r="N1458" s="67"/>
      <c r="O1458" s="67"/>
      <c r="P1458" s="67"/>
    </row>
    <row r="1459" ht="14.25" customHeight="1">
      <c r="A1459" s="49"/>
      <c r="C1459" s="16" t="s">
        <v>21</v>
      </c>
      <c r="D1459" s="76">
        <v>2.0</v>
      </c>
      <c r="E1459" s="36"/>
      <c r="F1459" s="36"/>
      <c r="G1459" s="71"/>
      <c r="H1459" s="16">
        <v>2.0</v>
      </c>
      <c r="I1459" s="36"/>
      <c r="J1459" s="71"/>
      <c r="K1459" s="70"/>
      <c r="L1459" s="36"/>
      <c r="M1459" s="36"/>
      <c r="N1459" s="36"/>
      <c r="O1459" s="36"/>
      <c r="P1459" s="36"/>
    </row>
    <row r="1460" ht="14.25" customHeight="1">
      <c r="A1460" s="49"/>
      <c r="C1460" s="16" t="s">
        <v>22</v>
      </c>
      <c r="D1460" s="70"/>
      <c r="E1460" s="36"/>
      <c r="F1460" s="36"/>
      <c r="G1460" s="71"/>
      <c r="H1460" s="36"/>
      <c r="I1460" s="36"/>
      <c r="J1460" s="71"/>
      <c r="K1460" s="70"/>
      <c r="L1460" s="36"/>
      <c r="M1460" s="36"/>
      <c r="N1460" s="36"/>
      <c r="O1460" s="36"/>
      <c r="P1460" s="36"/>
    </row>
    <row r="1461" ht="14.25" customHeight="1">
      <c r="A1461" s="49"/>
      <c r="C1461" s="16" t="s">
        <v>23</v>
      </c>
      <c r="D1461" s="70"/>
      <c r="E1461" s="16">
        <v>2.0</v>
      </c>
      <c r="F1461" s="36"/>
      <c r="G1461" s="71"/>
      <c r="H1461" s="36"/>
      <c r="I1461" s="16">
        <v>2.0</v>
      </c>
      <c r="J1461" s="71"/>
      <c r="K1461" s="70"/>
      <c r="L1461" s="36"/>
      <c r="M1461" s="36"/>
      <c r="N1461" s="36"/>
      <c r="O1461" s="36"/>
      <c r="P1461" s="36"/>
    </row>
    <row r="1462" ht="14.25" customHeight="1">
      <c r="A1462" s="49"/>
      <c r="C1462" s="16" t="s">
        <v>24</v>
      </c>
      <c r="D1462" s="70"/>
      <c r="E1462" s="36"/>
      <c r="F1462" s="36"/>
      <c r="G1462" s="71"/>
      <c r="H1462" s="36"/>
      <c r="I1462" s="36"/>
      <c r="J1462" s="71"/>
      <c r="K1462" s="70"/>
      <c r="L1462" s="36"/>
      <c r="M1462" s="36"/>
      <c r="N1462" s="36"/>
      <c r="O1462" s="36"/>
      <c r="P1462" s="36"/>
    </row>
    <row r="1463" ht="14.25" customHeight="1">
      <c r="A1463" s="49"/>
      <c r="C1463" s="16" t="s">
        <v>25</v>
      </c>
      <c r="D1463" s="70"/>
      <c r="E1463" s="36"/>
      <c r="F1463" s="36"/>
      <c r="G1463" s="71"/>
      <c r="H1463" s="36"/>
      <c r="I1463" s="36"/>
      <c r="J1463" s="71"/>
      <c r="K1463" s="70"/>
      <c r="L1463" s="36"/>
      <c r="M1463" s="36"/>
      <c r="N1463" s="36"/>
      <c r="O1463" s="36"/>
      <c r="P1463" s="36"/>
    </row>
    <row r="1464" ht="14.25" customHeight="1">
      <c r="A1464" s="56"/>
      <c r="B1464" s="57"/>
      <c r="C1464" s="82" t="s">
        <v>26</v>
      </c>
      <c r="D1464" s="72"/>
      <c r="E1464" s="73"/>
      <c r="F1464" s="73"/>
      <c r="G1464" s="74"/>
      <c r="H1464" s="73"/>
      <c r="I1464" s="73"/>
      <c r="J1464" s="74"/>
      <c r="K1464" s="72"/>
      <c r="L1464" s="73"/>
      <c r="M1464" s="73"/>
      <c r="N1464" s="73"/>
      <c r="O1464" s="73"/>
      <c r="P1464" s="73"/>
    </row>
    <row r="1465" ht="14.25" customHeight="1">
      <c r="A1465" s="97">
        <v>45875.0</v>
      </c>
      <c r="B1465" s="66" t="s">
        <v>45</v>
      </c>
      <c r="C1465" s="66" t="s">
        <v>20</v>
      </c>
      <c r="D1465" s="75">
        <v>3.0</v>
      </c>
      <c r="E1465" s="66">
        <v>1.0</v>
      </c>
      <c r="F1465" s="67"/>
      <c r="G1465" s="68"/>
      <c r="H1465" s="66">
        <v>1.0</v>
      </c>
      <c r="I1465" s="67"/>
      <c r="J1465" s="68"/>
      <c r="K1465" s="65"/>
      <c r="L1465" s="67"/>
      <c r="M1465" s="67"/>
      <c r="N1465" s="67"/>
      <c r="O1465" s="67"/>
      <c r="P1465" s="67"/>
    </row>
    <row r="1466" ht="14.25" customHeight="1">
      <c r="A1466" s="49"/>
      <c r="C1466" s="16" t="s">
        <v>21</v>
      </c>
      <c r="D1466" s="70"/>
      <c r="E1466" s="36"/>
      <c r="F1466" s="36"/>
      <c r="G1466" s="71"/>
      <c r="H1466" s="36"/>
      <c r="I1466" s="36"/>
      <c r="J1466" s="71"/>
      <c r="K1466" s="70"/>
      <c r="L1466" s="36"/>
      <c r="M1466" s="36"/>
      <c r="N1466" s="36"/>
      <c r="O1466" s="36"/>
      <c r="P1466" s="36"/>
    </row>
    <row r="1467" ht="14.25" customHeight="1">
      <c r="A1467" s="49"/>
      <c r="C1467" s="16" t="s">
        <v>22</v>
      </c>
      <c r="D1467" s="70"/>
      <c r="E1467" s="36"/>
      <c r="F1467" s="36"/>
      <c r="G1467" s="71"/>
      <c r="H1467" s="36"/>
      <c r="I1467" s="36"/>
      <c r="J1467" s="71"/>
      <c r="K1467" s="70"/>
      <c r="L1467" s="36"/>
      <c r="M1467" s="36"/>
      <c r="N1467" s="36"/>
      <c r="O1467" s="36"/>
      <c r="P1467" s="36"/>
    </row>
    <row r="1468" ht="14.25" customHeight="1">
      <c r="A1468" s="49"/>
      <c r="C1468" s="16" t="s">
        <v>23</v>
      </c>
      <c r="D1468" s="70"/>
      <c r="E1468" s="36"/>
      <c r="F1468" s="36"/>
      <c r="G1468" s="71"/>
      <c r="H1468" s="36"/>
      <c r="I1468" s="36"/>
      <c r="J1468" s="71"/>
      <c r="K1468" s="70"/>
      <c r="L1468" s="36"/>
      <c r="M1468" s="36"/>
      <c r="N1468" s="36"/>
      <c r="O1468" s="36"/>
      <c r="P1468" s="36"/>
    </row>
    <row r="1469" ht="14.25" customHeight="1">
      <c r="A1469" s="49"/>
      <c r="C1469" s="16" t="s">
        <v>24</v>
      </c>
      <c r="D1469" s="70"/>
      <c r="E1469" s="36"/>
      <c r="F1469" s="36"/>
      <c r="G1469" s="71"/>
      <c r="H1469" s="36"/>
      <c r="I1469" s="36"/>
      <c r="J1469" s="71"/>
      <c r="K1469" s="70"/>
      <c r="L1469" s="36"/>
      <c r="M1469" s="36"/>
      <c r="N1469" s="36"/>
      <c r="O1469" s="36"/>
      <c r="P1469" s="36"/>
    </row>
    <row r="1470" ht="14.25" customHeight="1">
      <c r="A1470" s="49"/>
      <c r="C1470" s="16" t="s">
        <v>25</v>
      </c>
      <c r="D1470" s="70"/>
      <c r="E1470" s="36"/>
      <c r="F1470" s="36"/>
      <c r="G1470" s="71"/>
      <c r="H1470" s="36"/>
      <c r="I1470" s="36"/>
      <c r="J1470" s="71"/>
      <c r="K1470" s="70"/>
      <c r="L1470" s="36"/>
      <c r="M1470" s="36"/>
      <c r="N1470" s="36"/>
      <c r="O1470" s="36"/>
      <c r="P1470" s="36"/>
    </row>
    <row r="1471" ht="14.25" customHeight="1">
      <c r="A1471" s="56"/>
      <c r="B1471" s="57"/>
      <c r="C1471" s="82" t="s">
        <v>26</v>
      </c>
      <c r="D1471" s="72"/>
      <c r="E1471" s="73"/>
      <c r="F1471" s="73"/>
      <c r="G1471" s="74"/>
      <c r="H1471" s="73"/>
      <c r="I1471" s="73"/>
      <c r="J1471" s="74"/>
      <c r="K1471" s="72"/>
      <c r="L1471" s="73"/>
      <c r="M1471" s="73"/>
      <c r="N1471" s="73"/>
      <c r="O1471" s="73"/>
      <c r="P1471" s="73"/>
    </row>
    <row r="1472" ht="14.25" customHeight="1">
      <c r="A1472" s="97">
        <v>45875.0</v>
      </c>
      <c r="B1472" s="66" t="s">
        <v>42</v>
      </c>
      <c r="C1472" s="66" t="s">
        <v>20</v>
      </c>
      <c r="D1472" s="65"/>
      <c r="E1472" s="67"/>
      <c r="F1472" s="66">
        <v>1.0</v>
      </c>
      <c r="G1472" s="68"/>
      <c r="H1472" s="66">
        <v>1.0</v>
      </c>
      <c r="I1472" s="67"/>
      <c r="J1472" s="68"/>
      <c r="K1472" s="65"/>
      <c r="L1472" s="67"/>
      <c r="M1472" s="67"/>
      <c r="N1472" s="67"/>
      <c r="O1472" s="67"/>
      <c r="P1472" s="67"/>
    </row>
    <row r="1473" ht="14.25" customHeight="1">
      <c r="A1473" s="49"/>
      <c r="C1473" s="16" t="s">
        <v>21</v>
      </c>
      <c r="D1473" s="70"/>
      <c r="E1473" s="16">
        <v>1.0</v>
      </c>
      <c r="F1473" s="36"/>
      <c r="G1473" s="69">
        <v>4.0</v>
      </c>
      <c r="H1473" s="36"/>
      <c r="I1473" s="36"/>
      <c r="J1473" s="71"/>
      <c r="K1473" s="70"/>
      <c r="L1473" s="36"/>
      <c r="M1473" s="36"/>
      <c r="N1473" s="36"/>
      <c r="O1473" s="36"/>
      <c r="P1473" s="36"/>
    </row>
    <row r="1474" ht="14.25" customHeight="1">
      <c r="A1474" s="49"/>
      <c r="C1474" s="16" t="s">
        <v>22</v>
      </c>
      <c r="D1474" s="70"/>
      <c r="E1474" s="36"/>
      <c r="F1474" s="36"/>
      <c r="G1474" s="71"/>
      <c r="H1474" s="36"/>
      <c r="I1474" s="36"/>
      <c r="J1474" s="71"/>
      <c r="K1474" s="70"/>
      <c r="L1474" s="36"/>
      <c r="M1474" s="36"/>
      <c r="N1474" s="36"/>
      <c r="O1474" s="36"/>
      <c r="P1474" s="36"/>
    </row>
    <row r="1475" ht="14.25" customHeight="1">
      <c r="A1475" s="49"/>
      <c r="C1475" s="16" t="s">
        <v>23</v>
      </c>
      <c r="D1475" s="70"/>
      <c r="E1475" s="36"/>
      <c r="F1475" s="36"/>
      <c r="G1475" s="71"/>
      <c r="H1475" s="36"/>
      <c r="I1475" s="36"/>
      <c r="J1475" s="71"/>
      <c r="K1475" s="70"/>
      <c r="L1475" s="36"/>
      <c r="M1475" s="36"/>
      <c r="N1475" s="36"/>
      <c r="O1475" s="36"/>
      <c r="P1475" s="36"/>
    </row>
    <row r="1476" ht="14.25" customHeight="1">
      <c r="A1476" s="49"/>
      <c r="C1476" s="16" t="s">
        <v>24</v>
      </c>
      <c r="D1476" s="70"/>
      <c r="E1476" s="36"/>
      <c r="F1476" s="36"/>
      <c r="G1476" s="71"/>
      <c r="H1476" s="36"/>
      <c r="I1476" s="36"/>
      <c r="J1476" s="71"/>
      <c r="K1476" s="70"/>
      <c r="L1476" s="36"/>
      <c r="M1476" s="36"/>
      <c r="N1476" s="36"/>
      <c r="O1476" s="36"/>
      <c r="P1476" s="36"/>
    </row>
    <row r="1477" ht="14.25" customHeight="1">
      <c r="A1477" s="49"/>
      <c r="C1477" s="16" t="s">
        <v>25</v>
      </c>
      <c r="D1477" s="70"/>
      <c r="E1477" s="36"/>
      <c r="F1477" s="36"/>
      <c r="G1477" s="71"/>
      <c r="H1477" s="36"/>
      <c r="I1477" s="36"/>
      <c r="J1477" s="71"/>
      <c r="K1477" s="70"/>
      <c r="L1477" s="36"/>
      <c r="M1477" s="36"/>
      <c r="N1477" s="36"/>
      <c r="O1477" s="36"/>
      <c r="P1477" s="36"/>
    </row>
    <row r="1478" ht="14.25" customHeight="1">
      <c r="A1478" s="56"/>
      <c r="B1478" s="57"/>
      <c r="C1478" s="82" t="s">
        <v>26</v>
      </c>
      <c r="D1478" s="72"/>
      <c r="E1478" s="73"/>
      <c r="F1478" s="73"/>
      <c r="G1478" s="74"/>
      <c r="H1478" s="73"/>
      <c r="I1478" s="73"/>
      <c r="J1478" s="74"/>
      <c r="K1478" s="72"/>
      <c r="L1478" s="73"/>
      <c r="M1478" s="73"/>
      <c r="N1478" s="73"/>
      <c r="O1478" s="73"/>
      <c r="P1478" s="73"/>
    </row>
    <row r="1479" ht="14.25" customHeight="1">
      <c r="A1479" s="97">
        <v>45876.0</v>
      </c>
      <c r="B1479" s="66" t="s">
        <v>68</v>
      </c>
      <c r="C1479" s="66" t="s">
        <v>20</v>
      </c>
      <c r="D1479" s="75">
        <v>1.0</v>
      </c>
      <c r="E1479" s="67"/>
      <c r="F1479" s="67"/>
      <c r="G1479" s="68"/>
      <c r="H1479" s="66">
        <v>1.0</v>
      </c>
      <c r="I1479" s="67"/>
      <c r="J1479" s="68"/>
      <c r="K1479" s="65"/>
      <c r="L1479" s="67"/>
      <c r="M1479" s="67"/>
      <c r="N1479" s="67"/>
      <c r="O1479" s="67"/>
      <c r="P1479" s="67"/>
    </row>
    <row r="1480" ht="14.25" customHeight="1">
      <c r="A1480" s="49"/>
      <c r="C1480" s="16" t="s">
        <v>21</v>
      </c>
      <c r="D1480" s="70"/>
      <c r="E1480" s="36"/>
      <c r="F1480" s="36"/>
      <c r="G1480" s="71"/>
      <c r="H1480" s="36"/>
      <c r="I1480" s="36"/>
      <c r="J1480" s="71"/>
      <c r="K1480" s="70"/>
      <c r="L1480" s="36"/>
      <c r="M1480" s="36"/>
      <c r="N1480" s="36"/>
      <c r="O1480" s="36"/>
      <c r="P1480" s="36"/>
    </row>
    <row r="1481" ht="14.25" customHeight="1">
      <c r="A1481" s="49"/>
      <c r="C1481" s="16" t="s">
        <v>22</v>
      </c>
      <c r="D1481" s="70"/>
      <c r="E1481" s="36"/>
      <c r="F1481" s="36"/>
      <c r="G1481" s="71"/>
      <c r="H1481" s="36"/>
      <c r="I1481" s="36"/>
      <c r="J1481" s="71"/>
      <c r="K1481" s="70"/>
      <c r="L1481" s="36"/>
      <c r="M1481" s="36"/>
      <c r="N1481" s="36"/>
      <c r="O1481" s="36"/>
      <c r="P1481" s="36"/>
    </row>
    <row r="1482" ht="14.25" customHeight="1">
      <c r="A1482" s="49"/>
      <c r="C1482" s="16" t="s">
        <v>23</v>
      </c>
      <c r="D1482" s="70"/>
      <c r="E1482" s="36"/>
      <c r="F1482" s="36"/>
      <c r="G1482" s="71"/>
      <c r="H1482" s="36"/>
      <c r="I1482" s="36"/>
      <c r="J1482" s="71"/>
      <c r="K1482" s="70"/>
      <c r="L1482" s="36"/>
      <c r="M1482" s="36"/>
      <c r="N1482" s="36"/>
      <c r="O1482" s="36"/>
      <c r="P1482" s="36"/>
    </row>
    <row r="1483" ht="14.25" customHeight="1">
      <c r="A1483" s="49"/>
      <c r="C1483" s="16" t="s">
        <v>24</v>
      </c>
      <c r="D1483" s="70"/>
      <c r="E1483" s="36"/>
      <c r="F1483" s="36"/>
      <c r="G1483" s="71"/>
      <c r="H1483" s="36"/>
      <c r="I1483" s="36"/>
      <c r="J1483" s="71"/>
      <c r="K1483" s="70"/>
      <c r="L1483" s="36"/>
      <c r="M1483" s="36"/>
      <c r="N1483" s="36"/>
      <c r="O1483" s="36"/>
      <c r="P1483" s="36"/>
    </row>
    <row r="1484" ht="14.25" customHeight="1">
      <c r="A1484" s="49"/>
      <c r="C1484" s="16" t="s">
        <v>25</v>
      </c>
      <c r="D1484" s="70"/>
      <c r="E1484" s="36"/>
      <c r="F1484" s="36"/>
      <c r="G1484" s="71"/>
      <c r="H1484" s="36"/>
      <c r="I1484" s="36"/>
      <c r="J1484" s="71"/>
      <c r="K1484" s="70"/>
      <c r="L1484" s="36"/>
      <c r="M1484" s="36"/>
      <c r="N1484" s="36"/>
      <c r="O1484" s="36"/>
      <c r="P1484" s="36"/>
    </row>
    <row r="1485" ht="14.25" customHeight="1">
      <c r="A1485" s="56"/>
      <c r="B1485" s="57"/>
      <c r="C1485" s="82" t="s">
        <v>26</v>
      </c>
      <c r="D1485" s="72"/>
      <c r="E1485" s="73"/>
      <c r="F1485" s="73"/>
      <c r="G1485" s="74"/>
      <c r="H1485" s="73"/>
      <c r="I1485" s="73"/>
      <c r="J1485" s="74"/>
      <c r="K1485" s="72"/>
      <c r="L1485" s="73"/>
      <c r="M1485" s="73"/>
      <c r="N1485" s="73"/>
      <c r="O1485" s="73"/>
      <c r="P1485" s="73"/>
    </row>
    <row r="1486" ht="14.25" customHeight="1">
      <c r="A1486" s="97">
        <v>45876.0</v>
      </c>
      <c r="B1486" s="94" t="s">
        <v>72</v>
      </c>
      <c r="C1486" s="66" t="s">
        <v>20</v>
      </c>
      <c r="D1486" s="65"/>
      <c r="E1486" s="67"/>
      <c r="F1486" s="67"/>
      <c r="G1486" s="68"/>
      <c r="H1486" s="67"/>
      <c r="I1486" s="67"/>
      <c r="J1486" s="68"/>
      <c r="K1486" s="65"/>
      <c r="L1486" s="67"/>
      <c r="M1486" s="67"/>
      <c r="N1486" s="67"/>
      <c r="O1486" s="67"/>
      <c r="P1486" s="67"/>
    </row>
    <row r="1487" ht="14.25" customHeight="1">
      <c r="A1487" s="49"/>
      <c r="C1487" s="16" t="s">
        <v>21</v>
      </c>
      <c r="D1487" s="76">
        <v>1.0</v>
      </c>
      <c r="E1487" s="36"/>
      <c r="F1487" s="36"/>
      <c r="G1487" s="71"/>
      <c r="H1487" s="16">
        <v>1.0</v>
      </c>
      <c r="I1487" s="36"/>
      <c r="J1487" s="71"/>
      <c r="K1487" s="70"/>
      <c r="L1487" s="36"/>
      <c r="M1487" s="36"/>
      <c r="N1487" s="36"/>
      <c r="O1487" s="36"/>
      <c r="P1487" s="36"/>
    </row>
    <row r="1488" ht="14.25" customHeight="1">
      <c r="A1488" s="49"/>
      <c r="C1488" s="16" t="s">
        <v>22</v>
      </c>
      <c r="D1488" s="70"/>
      <c r="E1488" s="36"/>
      <c r="F1488" s="36"/>
      <c r="G1488" s="71"/>
      <c r="H1488" s="36"/>
      <c r="I1488" s="36"/>
      <c r="J1488" s="71"/>
      <c r="K1488" s="70"/>
      <c r="L1488" s="36"/>
      <c r="M1488" s="36"/>
      <c r="N1488" s="36"/>
      <c r="O1488" s="36"/>
      <c r="P1488" s="36"/>
    </row>
    <row r="1489" ht="14.25" customHeight="1">
      <c r="A1489" s="49"/>
      <c r="C1489" s="16" t="s">
        <v>23</v>
      </c>
      <c r="D1489" s="70"/>
      <c r="E1489" s="36"/>
      <c r="F1489" s="36"/>
      <c r="G1489" s="71"/>
      <c r="H1489" s="36"/>
      <c r="I1489" s="36"/>
      <c r="J1489" s="71"/>
      <c r="K1489" s="70"/>
      <c r="L1489" s="36"/>
      <c r="M1489" s="36"/>
      <c r="N1489" s="36"/>
      <c r="O1489" s="36"/>
      <c r="P1489" s="36"/>
    </row>
    <row r="1490" ht="14.25" customHeight="1">
      <c r="A1490" s="49"/>
      <c r="C1490" s="16" t="s">
        <v>24</v>
      </c>
      <c r="D1490" s="70"/>
      <c r="E1490" s="36"/>
      <c r="F1490" s="36"/>
      <c r="G1490" s="71"/>
      <c r="H1490" s="36"/>
      <c r="I1490" s="36"/>
      <c r="J1490" s="71"/>
      <c r="K1490" s="70"/>
      <c r="L1490" s="36"/>
      <c r="M1490" s="36"/>
      <c r="N1490" s="36"/>
      <c r="O1490" s="36"/>
      <c r="P1490" s="36"/>
    </row>
    <row r="1491" ht="14.25" customHeight="1">
      <c r="A1491" s="49"/>
      <c r="C1491" s="16" t="s">
        <v>25</v>
      </c>
      <c r="D1491" s="70"/>
      <c r="E1491" s="36"/>
      <c r="F1491" s="36"/>
      <c r="G1491" s="71"/>
      <c r="H1491" s="36"/>
      <c r="I1491" s="36"/>
      <c r="J1491" s="71"/>
      <c r="K1491" s="70"/>
      <c r="L1491" s="36"/>
      <c r="M1491" s="36"/>
      <c r="N1491" s="36"/>
      <c r="O1491" s="36"/>
      <c r="P1491" s="36"/>
    </row>
    <row r="1492" ht="14.25" customHeight="1">
      <c r="A1492" s="56"/>
      <c r="B1492" s="57"/>
      <c r="C1492" s="82" t="s">
        <v>26</v>
      </c>
      <c r="D1492" s="70"/>
      <c r="E1492" s="36"/>
      <c r="F1492" s="36"/>
      <c r="G1492" s="71"/>
      <c r="H1492" s="36"/>
      <c r="I1492" s="36"/>
      <c r="J1492" s="71"/>
      <c r="K1492" s="70"/>
      <c r="L1492" s="36"/>
      <c r="M1492" s="36"/>
      <c r="N1492" s="36"/>
      <c r="O1492" s="36"/>
      <c r="P1492" s="36"/>
    </row>
    <row r="1493" ht="14.25" customHeight="1">
      <c r="A1493" s="97">
        <v>45876.0</v>
      </c>
      <c r="B1493" s="66" t="s">
        <v>41</v>
      </c>
      <c r="C1493" s="84" t="s">
        <v>20</v>
      </c>
      <c r="D1493" s="66">
        <v>1.0</v>
      </c>
      <c r="E1493" s="67"/>
      <c r="F1493" s="67"/>
      <c r="G1493" s="67"/>
      <c r="H1493" s="65"/>
      <c r="I1493" s="67"/>
      <c r="J1493" s="67"/>
      <c r="K1493" s="65"/>
      <c r="L1493" s="67"/>
      <c r="M1493" s="67"/>
      <c r="N1493" s="67"/>
      <c r="O1493" s="67"/>
      <c r="P1493" s="67"/>
    </row>
    <row r="1494" ht="14.25" customHeight="1">
      <c r="A1494" s="49"/>
      <c r="C1494" s="85" t="s">
        <v>21</v>
      </c>
      <c r="D1494" s="16">
        <v>1.0</v>
      </c>
      <c r="E1494" s="36"/>
      <c r="F1494" s="36"/>
      <c r="G1494" s="71"/>
      <c r="H1494" s="36"/>
      <c r="I1494" s="36"/>
      <c r="J1494" s="71"/>
      <c r="K1494" s="70"/>
      <c r="L1494" s="36"/>
      <c r="M1494" s="36"/>
      <c r="N1494" s="36"/>
      <c r="O1494" s="36"/>
      <c r="P1494" s="36"/>
    </row>
    <row r="1495" ht="14.25" customHeight="1">
      <c r="A1495" s="49"/>
      <c r="C1495" s="85" t="s">
        <v>22</v>
      </c>
      <c r="D1495" s="36"/>
      <c r="E1495" s="36"/>
      <c r="F1495" s="36"/>
      <c r="G1495" s="71"/>
      <c r="H1495" s="36"/>
      <c r="I1495" s="36"/>
      <c r="J1495" s="71"/>
      <c r="K1495" s="70"/>
      <c r="L1495" s="36"/>
      <c r="M1495" s="36"/>
      <c r="N1495" s="36"/>
      <c r="O1495" s="36"/>
      <c r="P1495" s="36"/>
    </row>
    <row r="1496" ht="14.25" customHeight="1">
      <c r="A1496" s="49"/>
      <c r="C1496" s="85" t="s">
        <v>23</v>
      </c>
      <c r="D1496" s="36"/>
      <c r="E1496" s="36"/>
      <c r="F1496" s="36"/>
      <c r="G1496" s="71"/>
      <c r="H1496" s="36"/>
      <c r="I1496" s="36"/>
      <c r="J1496" s="71"/>
      <c r="K1496" s="70"/>
      <c r="L1496" s="36"/>
      <c r="M1496" s="36"/>
      <c r="N1496" s="36"/>
      <c r="O1496" s="36"/>
      <c r="P1496" s="36"/>
    </row>
    <row r="1497" ht="14.25" customHeight="1">
      <c r="A1497" s="49"/>
      <c r="C1497" s="85" t="s">
        <v>24</v>
      </c>
      <c r="D1497" s="36"/>
      <c r="E1497" s="36"/>
      <c r="F1497" s="36"/>
      <c r="G1497" s="71"/>
      <c r="H1497" s="36"/>
      <c r="I1497" s="36"/>
      <c r="J1497" s="71"/>
      <c r="K1497" s="70"/>
      <c r="L1497" s="36"/>
      <c r="M1497" s="36"/>
      <c r="N1497" s="36"/>
      <c r="O1497" s="36"/>
      <c r="P1497" s="36"/>
    </row>
    <row r="1498" ht="14.25" customHeight="1">
      <c r="A1498" s="49"/>
      <c r="C1498" s="85" t="s">
        <v>25</v>
      </c>
      <c r="D1498" s="36"/>
      <c r="E1498" s="36"/>
      <c r="F1498" s="36"/>
      <c r="G1498" s="71"/>
      <c r="H1498" s="36"/>
      <c r="I1498" s="36"/>
      <c r="J1498" s="71"/>
      <c r="K1498" s="70"/>
      <c r="L1498" s="36"/>
      <c r="M1498" s="36"/>
      <c r="N1498" s="36"/>
      <c r="O1498" s="36"/>
      <c r="P1498" s="36"/>
    </row>
    <row r="1499" ht="14.25" customHeight="1">
      <c r="A1499" s="56"/>
      <c r="B1499" s="57"/>
      <c r="C1499" s="86" t="s">
        <v>26</v>
      </c>
      <c r="D1499" s="73"/>
      <c r="E1499" s="73"/>
      <c r="F1499" s="73"/>
      <c r="G1499" s="74"/>
      <c r="H1499" s="73"/>
      <c r="I1499" s="73"/>
      <c r="J1499" s="74"/>
      <c r="K1499" s="72"/>
      <c r="L1499" s="73"/>
      <c r="M1499" s="73"/>
      <c r="N1499" s="73"/>
      <c r="O1499" s="73"/>
      <c r="P1499" s="73"/>
    </row>
    <row r="1500" ht="14.25" customHeight="1">
      <c r="A1500" s="97">
        <v>45876.0</v>
      </c>
      <c r="B1500" s="66" t="s">
        <v>42</v>
      </c>
      <c r="C1500" s="84" t="s">
        <v>20</v>
      </c>
      <c r="D1500" s="66">
        <v>1.0</v>
      </c>
      <c r="E1500" s="67"/>
      <c r="F1500" s="66">
        <v>1.0</v>
      </c>
      <c r="G1500" s="64">
        <v>1.0</v>
      </c>
      <c r="H1500" s="66">
        <v>4.0</v>
      </c>
      <c r="I1500" s="67"/>
      <c r="J1500" s="68"/>
      <c r="K1500" s="65"/>
      <c r="L1500" s="67"/>
      <c r="M1500" s="67"/>
      <c r="N1500" s="66">
        <v>1.0</v>
      </c>
      <c r="O1500" s="67"/>
      <c r="P1500" s="66">
        <v>1.0</v>
      </c>
    </row>
    <row r="1501" ht="14.25" customHeight="1">
      <c r="A1501" s="49"/>
      <c r="C1501" s="85" t="s">
        <v>21</v>
      </c>
      <c r="D1501" s="36"/>
      <c r="E1501" s="36"/>
      <c r="F1501" s="36"/>
      <c r="G1501" s="71"/>
      <c r="H1501" s="36"/>
      <c r="I1501" s="36"/>
      <c r="J1501" s="71"/>
      <c r="K1501" s="70"/>
      <c r="L1501" s="36"/>
      <c r="M1501" s="36"/>
      <c r="N1501" s="36"/>
      <c r="O1501" s="36"/>
      <c r="P1501" s="36"/>
    </row>
    <row r="1502" ht="14.25" customHeight="1">
      <c r="A1502" s="49"/>
      <c r="C1502" s="85" t="s">
        <v>22</v>
      </c>
      <c r="D1502" s="36"/>
      <c r="E1502" s="36"/>
      <c r="F1502" s="36"/>
      <c r="G1502" s="71"/>
      <c r="H1502" s="36"/>
      <c r="I1502" s="36"/>
      <c r="J1502" s="71"/>
      <c r="K1502" s="70"/>
      <c r="L1502" s="36"/>
      <c r="M1502" s="36"/>
      <c r="N1502" s="36"/>
      <c r="O1502" s="36"/>
      <c r="P1502" s="36"/>
    </row>
    <row r="1503" ht="14.25" customHeight="1">
      <c r="A1503" s="49"/>
      <c r="C1503" s="85" t="s">
        <v>23</v>
      </c>
      <c r="D1503" s="36"/>
      <c r="E1503" s="36"/>
      <c r="F1503" s="36"/>
      <c r="G1503" s="71"/>
      <c r="H1503" s="36"/>
      <c r="I1503" s="36"/>
      <c r="J1503" s="71"/>
      <c r="K1503" s="70"/>
      <c r="L1503" s="36"/>
      <c r="M1503" s="36"/>
      <c r="N1503" s="36"/>
      <c r="O1503" s="36"/>
      <c r="P1503" s="36"/>
    </row>
    <row r="1504" ht="14.25" customHeight="1">
      <c r="A1504" s="49"/>
      <c r="C1504" s="85" t="s">
        <v>24</v>
      </c>
      <c r="D1504" s="36"/>
      <c r="E1504" s="36"/>
      <c r="F1504" s="36"/>
      <c r="G1504" s="71"/>
      <c r="H1504" s="36"/>
      <c r="I1504" s="36"/>
      <c r="J1504" s="71"/>
      <c r="K1504" s="70"/>
      <c r="L1504" s="36"/>
      <c r="M1504" s="36"/>
      <c r="N1504" s="36"/>
      <c r="O1504" s="36"/>
      <c r="P1504" s="36"/>
    </row>
    <row r="1505" ht="14.25" customHeight="1">
      <c r="A1505" s="49"/>
      <c r="C1505" s="85" t="s">
        <v>25</v>
      </c>
      <c r="D1505" s="36"/>
      <c r="E1505" s="36"/>
      <c r="F1505" s="36"/>
      <c r="G1505" s="71"/>
      <c r="H1505" s="36"/>
      <c r="I1505" s="36"/>
      <c r="J1505" s="71"/>
      <c r="K1505" s="70"/>
      <c r="L1505" s="36"/>
      <c r="M1505" s="36"/>
      <c r="N1505" s="36"/>
      <c r="O1505" s="36"/>
      <c r="P1505" s="36"/>
    </row>
    <row r="1506" ht="14.25" customHeight="1">
      <c r="A1506" s="56"/>
      <c r="B1506" s="57"/>
      <c r="C1506" s="86" t="s">
        <v>26</v>
      </c>
      <c r="D1506" s="36"/>
      <c r="E1506" s="36"/>
      <c r="F1506" s="36"/>
      <c r="G1506" s="71"/>
      <c r="H1506" s="36"/>
      <c r="I1506" s="36"/>
      <c r="J1506" s="71"/>
      <c r="K1506" s="70"/>
      <c r="L1506" s="36"/>
      <c r="M1506" s="36"/>
      <c r="N1506" s="36"/>
      <c r="O1506" s="36"/>
      <c r="P1506" s="36"/>
    </row>
    <row r="1507" ht="14.25" customHeight="1">
      <c r="A1507" s="75">
        <v>8.8</v>
      </c>
      <c r="B1507" s="66" t="s">
        <v>42</v>
      </c>
      <c r="C1507" s="84" t="s">
        <v>20</v>
      </c>
      <c r="D1507" s="66">
        <v>5.0</v>
      </c>
      <c r="E1507" s="66">
        <v>3.0</v>
      </c>
      <c r="F1507" s="66">
        <v>2.0</v>
      </c>
      <c r="G1507" s="68"/>
      <c r="H1507" s="66">
        <v>6.0</v>
      </c>
      <c r="I1507" s="66">
        <v>4.0</v>
      </c>
      <c r="J1507" s="68"/>
      <c r="K1507" s="65"/>
      <c r="L1507" s="67"/>
      <c r="M1507" s="67"/>
      <c r="N1507" s="67"/>
      <c r="O1507" s="67"/>
      <c r="P1507" s="67"/>
    </row>
    <row r="1508" ht="14.25" customHeight="1">
      <c r="A1508" s="49"/>
      <c r="C1508" s="85" t="s">
        <v>21</v>
      </c>
      <c r="D1508" s="36"/>
      <c r="E1508" s="36"/>
      <c r="F1508" s="36"/>
      <c r="G1508" s="71"/>
      <c r="H1508" s="36"/>
      <c r="I1508" s="36"/>
      <c r="J1508" s="71"/>
      <c r="K1508" s="70"/>
      <c r="L1508" s="36"/>
      <c r="M1508" s="36"/>
      <c r="N1508" s="36"/>
      <c r="O1508" s="36"/>
      <c r="P1508" s="36"/>
    </row>
    <row r="1509" ht="14.25" customHeight="1">
      <c r="A1509" s="49"/>
      <c r="C1509" s="85" t="s">
        <v>22</v>
      </c>
      <c r="D1509" s="36"/>
      <c r="E1509" s="36"/>
      <c r="F1509" s="36"/>
      <c r="G1509" s="71"/>
      <c r="H1509" s="36"/>
      <c r="I1509" s="36"/>
      <c r="J1509" s="71"/>
      <c r="K1509" s="70"/>
      <c r="L1509" s="36"/>
      <c r="M1509" s="36"/>
      <c r="N1509" s="36"/>
      <c r="O1509" s="36"/>
      <c r="P1509" s="36"/>
    </row>
    <row r="1510" ht="14.25" customHeight="1">
      <c r="A1510" s="49"/>
      <c r="C1510" s="85" t="s">
        <v>23</v>
      </c>
      <c r="D1510" s="16">
        <v>1.0</v>
      </c>
      <c r="E1510" s="36"/>
      <c r="F1510" s="36"/>
      <c r="G1510" s="71"/>
      <c r="H1510" s="16">
        <v>1.0</v>
      </c>
      <c r="I1510" s="36"/>
      <c r="J1510" s="71"/>
      <c r="K1510" s="70"/>
      <c r="L1510" s="36"/>
      <c r="M1510" s="36"/>
      <c r="N1510" s="36"/>
      <c r="O1510" s="36"/>
      <c r="P1510" s="36"/>
    </row>
    <row r="1511" ht="14.25" customHeight="1">
      <c r="A1511" s="49"/>
      <c r="C1511" s="85" t="s">
        <v>24</v>
      </c>
      <c r="D1511" s="36"/>
      <c r="E1511" s="36"/>
      <c r="F1511" s="36"/>
      <c r="G1511" s="71"/>
      <c r="H1511" s="36"/>
      <c r="I1511" s="36"/>
      <c r="J1511" s="71"/>
      <c r="K1511" s="70"/>
      <c r="L1511" s="36"/>
      <c r="M1511" s="36"/>
      <c r="N1511" s="36"/>
      <c r="O1511" s="36"/>
      <c r="P1511" s="36"/>
    </row>
    <row r="1512" ht="14.25" customHeight="1">
      <c r="A1512" s="49"/>
      <c r="C1512" s="85" t="s">
        <v>25</v>
      </c>
      <c r="D1512" s="36"/>
      <c r="E1512" s="36"/>
      <c r="F1512" s="36"/>
      <c r="G1512" s="71"/>
      <c r="H1512" s="36"/>
      <c r="I1512" s="36"/>
      <c r="J1512" s="71"/>
      <c r="K1512" s="70"/>
      <c r="L1512" s="36"/>
      <c r="M1512" s="36"/>
      <c r="N1512" s="36"/>
      <c r="O1512" s="36"/>
      <c r="P1512" s="36"/>
    </row>
    <row r="1513" ht="14.25" customHeight="1">
      <c r="A1513" s="56"/>
      <c r="B1513" s="57"/>
      <c r="C1513" s="86" t="s">
        <v>26</v>
      </c>
      <c r="D1513" s="36"/>
      <c r="E1513" s="36"/>
      <c r="F1513" s="36"/>
      <c r="G1513" s="71"/>
      <c r="H1513" s="36"/>
      <c r="I1513" s="36"/>
      <c r="J1513" s="71"/>
      <c r="K1513" s="70"/>
      <c r="L1513" s="36"/>
      <c r="M1513" s="36"/>
      <c r="N1513" s="36"/>
      <c r="O1513" s="36"/>
      <c r="P1513" s="36"/>
    </row>
    <row r="1514" ht="14.25" customHeight="1">
      <c r="A1514" s="97">
        <v>45877.0</v>
      </c>
      <c r="B1514" s="66" t="s">
        <v>73</v>
      </c>
      <c r="C1514" s="84" t="s">
        <v>20</v>
      </c>
      <c r="D1514" s="66">
        <v>1.0</v>
      </c>
      <c r="E1514" s="66">
        <v>2.0</v>
      </c>
      <c r="F1514" s="67"/>
      <c r="G1514" s="68"/>
      <c r="H1514" s="66">
        <v>1.0</v>
      </c>
      <c r="I1514" s="66">
        <v>1.0</v>
      </c>
      <c r="J1514" s="68"/>
      <c r="K1514" s="65"/>
      <c r="L1514" s="67"/>
      <c r="M1514" s="67"/>
      <c r="N1514" s="67"/>
      <c r="O1514" s="67"/>
      <c r="P1514" s="67"/>
    </row>
    <row r="1515" ht="14.25" customHeight="1">
      <c r="A1515" s="49"/>
      <c r="C1515" s="85" t="s">
        <v>21</v>
      </c>
      <c r="D1515" s="36"/>
      <c r="E1515" s="16">
        <v>1.0</v>
      </c>
      <c r="F1515" s="36"/>
      <c r="G1515" s="71"/>
      <c r="H1515" s="16">
        <v>1.0</v>
      </c>
      <c r="I1515" s="36"/>
      <c r="J1515" s="71"/>
      <c r="K1515" s="36"/>
      <c r="L1515" s="36"/>
      <c r="M1515" s="36"/>
      <c r="N1515" s="36"/>
      <c r="O1515" s="36"/>
      <c r="P1515" s="36"/>
    </row>
    <row r="1516" ht="14.25" customHeight="1">
      <c r="A1516" s="49"/>
      <c r="C1516" s="85" t="s">
        <v>22</v>
      </c>
      <c r="D1516" s="36"/>
      <c r="E1516" s="36"/>
      <c r="F1516" s="36"/>
      <c r="G1516" s="71"/>
      <c r="H1516" s="36"/>
      <c r="I1516" s="36"/>
      <c r="J1516" s="71"/>
      <c r="K1516" s="36"/>
      <c r="L1516" s="36"/>
      <c r="M1516" s="36"/>
      <c r="N1516" s="36"/>
      <c r="O1516" s="36"/>
      <c r="P1516" s="36"/>
    </row>
    <row r="1517" ht="14.25" customHeight="1">
      <c r="A1517" s="49"/>
      <c r="C1517" s="85" t="s">
        <v>23</v>
      </c>
      <c r="D1517" s="36"/>
      <c r="E1517" s="36"/>
      <c r="F1517" s="36"/>
      <c r="G1517" s="71"/>
      <c r="H1517" s="36"/>
      <c r="I1517" s="36"/>
      <c r="J1517" s="71"/>
      <c r="K1517" s="36"/>
      <c r="L1517" s="36"/>
      <c r="M1517" s="36"/>
      <c r="N1517" s="36"/>
      <c r="O1517" s="36"/>
      <c r="P1517" s="36"/>
    </row>
    <row r="1518" ht="14.25" customHeight="1">
      <c r="A1518" s="49"/>
      <c r="C1518" s="85" t="s">
        <v>24</v>
      </c>
      <c r="D1518" s="36"/>
      <c r="E1518" s="36"/>
      <c r="F1518" s="36"/>
      <c r="G1518" s="71"/>
      <c r="H1518" s="36"/>
      <c r="I1518" s="36"/>
      <c r="J1518" s="71"/>
      <c r="K1518" s="36"/>
      <c r="L1518" s="36"/>
      <c r="M1518" s="36"/>
      <c r="N1518" s="36"/>
      <c r="O1518" s="36"/>
      <c r="P1518" s="36"/>
    </row>
    <row r="1519" ht="14.25" customHeight="1">
      <c r="A1519" s="49"/>
      <c r="C1519" s="85" t="s">
        <v>25</v>
      </c>
      <c r="D1519" s="36"/>
      <c r="E1519" s="36"/>
      <c r="F1519" s="36"/>
      <c r="G1519" s="71"/>
      <c r="H1519" s="36"/>
      <c r="I1519" s="36"/>
      <c r="J1519" s="71"/>
      <c r="K1519" s="36"/>
      <c r="L1519" s="36"/>
      <c r="M1519" s="36"/>
      <c r="N1519" s="36"/>
      <c r="O1519" s="36"/>
      <c r="P1519" s="36"/>
    </row>
    <row r="1520" ht="14.25" customHeight="1">
      <c r="A1520" s="56"/>
      <c r="B1520" s="57"/>
      <c r="C1520" s="86" t="s">
        <v>26</v>
      </c>
      <c r="D1520" s="87"/>
      <c r="E1520" s="87"/>
      <c r="F1520" s="87"/>
      <c r="G1520" s="88"/>
      <c r="H1520" s="87"/>
      <c r="I1520" s="87"/>
      <c r="J1520" s="88"/>
      <c r="K1520" s="87"/>
      <c r="L1520" s="87"/>
      <c r="M1520" s="87"/>
      <c r="N1520" s="87"/>
      <c r="O1520" s="87"/>
      <c r="P1520" s="87"/>
    </row>
    <row r="1521" ht="14.25" customHeight="1">
      <c r="A1521" s="97">
        <v>45877.0</v>
      </c>
      <c r="B1521" s="66" t="s">
        <v>45</v>
      </c>
      <c r="C1521" s="84" t="s">
        <v>20</v>
      </c>
      <c r="D1521" s="67"/>
      <c r="E1521" s="67"/>
      <c r="F1521" s="67"/>
      <c r="G1521" s="68"/>
      <c r="H1521" s="66">
        <v>3.0</v>
      </c>
      <c r="I1521" s="66">
        <v>1.0</v>
      </c>
      <c r="J1521" s="68"/>
      <c r="K1521" s="65"/>
      <c r="L1521" s="67"/>
      <c r="M1521" s="67"/>
      <c r="N1521" s="67"/>
      <c r="O1521" s="67"/>
      <c r="P1521" s="67"/>
    </row>
    <row r="1522" ht="14.25" customHeight="1">
      <c r="A1522" s="49"/>
      <c r="C1522" s="85" t="s">
        <v>21</v>
      </c>
      <c r="D1522" s="36"/>
      <c r="E1522" s="36"/>
      <c r="F1522" s="36"/>
      <c r="G1522" s="71"/>
      <c r="H1522" s="36"/>
      <c r="I1522" s="36"/>
      <c r="J1522" s="71"/>
      <c r="K1522" s="70"/>
      <c r="L1522" s="36"/>
      <c r="M1522" s="36"/>
      <c r="N1522" s="36"/>
      <c r="O1522" s="36"/>
      <c r="P1522" s="36"/>
    </row>
    <row r="1523" ht="14.25" customHeight="1">
      <c r="A1523" s="49"/>
      <c r="C1523" s="85" t="s">
        <v>22</v>
      </c>
      <c r="D1523" s="36"/>
      <c r="E1523" s="36"/>
      <c r="F1523" s="36"/>
      <c r="G1523" s="71"/>
      <c r="H1523" s="36"/>
      <c r="I1523" s="36"/>
      <c r="J1523" s="71"/>
      <c r="K1523" s="70"/>
      <c r="L1523" s="36"/>
      <c r="M1523" s="36"/>
      <c r="N1523" s="36"/>
      <c r="O1523" s="36"/>
      <c r="P1523" s="36"/>
    </row>
    <row r="1524" ht="14.25" customHeight="1">
      <c r="A1524" s="49"/>
      <c r="C1524" s="85" t="s">
        <v>23</v>
      </c>
      <c r="D1524" s="36"/>
      <c r="E1524" s="36"/>
      <c r="F1524" s="36"/>
      <c r="G1524" s="71"/>
      <c r="H1524" s="36"/>
      <c r="I1524" s="36"/>
      <c r="J1524" s="71"/>
      <c r="K1524" s="70"/>
      <c r="L1524" s="36"/>
      <c r="M1524" s="36"/>
      <c r="N1524" s="36"/>
      <c r="O1524" s="36"/>
      <c r="P1524" s="36"/>
    </row>
    <row r="1525" ht="14.25" customHeight="1">
      <c r="A1525" s="49"/>
      <c r="C1525" s="85" t="s">
        <v>24</v>
      </c>
      <c r="D1525" s="36"/>
      <c r="E1525" s="36"/>
      <c r="F1525" s="36"/>
      <c r="G1525" s="71"/>
      <c r="H1525" s="36"/>
      <c r="I1525" s="36"/>
      <c r="J1525" s="71"/>
      <c r="K1525" s="70"/>
      <c r="L1525" s="36"/>
      <c r="M1525" s="36"/>
      <c r="N1525" s="36"/>
      <c r="O1525" s="36"/>
      <c r="P1525" s="36"/>
    </row>
    <row r="1526" ht="14.25" customHeight="1">
      <c r="A1526" s="49"/>
      <c r="C1526" s="85" t="s">
        <v>25</v>
      </c>
      <c r="D1526" s="36"/>
      <c r="E1526" s="36"/>
      <c r="F1526" s="36"/>
      <c r="G1526" s="71"/>
      <c r="H1526" s="36"/>
      <c r="I1526" s="36"/>
      <c r="J1526" s="71"/>
      <c r="K1526" s="70"/>
      <c r="L1526" s="36"/>
      <c r="M1526" s="36"/>
      <c r="N1526" s="36"/>
      <c r="O1526" s="36"/>
      <c r="P1526" s="36"/>
    </row>
    <row r="1527" ht="14.25" customHeight="1">
      <c r="A1527" s="56"/>
      <c r="B1527" s="57"/>
      <c r="C1527" s="86" t="s">
        <v>26</v>
      </c>
      <c r="D1527" s="36"/>
      <c r="E1527" s="36"/>
      <c r="F1527" s="36"/>
      <c r="G1527" s="71"/>
      <c r="H1527" s="36"/>
      <c r="I1527" s="36"/>
      <c r="J1527" s="71"/>
      <c r="K1527" s="70"/>
      <c r="L1527" s="36"/>
      <c r="M1527" s="36"/>
      <c r="N1527" s="36"/>
      <c r="O1527" s="36"/>
      <c r="P1527" s="36"/>
    </row>
    <row r="1528" ht="14.25" customHeight="1">
      <c r="A1528" s="97">
        <v>45877.0</v>
      </c>
      <c r="B1528" s="66" t="s">
        <v>42</v>
      </c>
      <c r="C1528" s="84" t="s">
        <v>20</v>
      </c>
      <c r="D1528" s="66">
        <v>2.0</v>
      </c>
      <c r="E1528" s="67"/>
      <c r="F1528" s="66">
        <v>1.0</v>
      </c>
      <c r="G1528" s="68"/>
      <c r="H1528" s="66">
        <v>2.0</v>
      </c>
      <c r="I1528" s="67"/>
      <c r="J1528" s="68"/>
      <c r="K1528" s="65"/>
      <c r="L1528" s="67"/>
      <c r="M1528" s="67"/>
      <c r="N1528" s="67"/>
      <c r="O1528" s="67"/>
      <c r="P1528" s="67"/>
    </row>
    <row r="1529" ht="14.25" customHeight="1">
      <c r="A1529" s="49"/>
      <c r="C1529" s="85" t="s">
        <v>21</v>
      </c>
      <c r="D1529" s="36"/>
      <c r="E1529" s="36"/>
      <c r="F1529" s="36"/>
      <c r="G1529" s="71"/>
      <c r="H1529" s="16">
        <v>1.0</v>
      </c>
      <c r="I1529" s="36"/>
      <c r="J1529" s="71"/>
      <c r="K1529" s="36"/>
      <c r="L1529" s="36"/>
      <c r="M1529" s="36"/>
      <c r="N1529" s="36"/>
      <c r="O1529" s="36"/>
      <c r="P1529" s="36"/>
    </row>
    <row r="1530" ht="14.25" customHeight="1">
      <c r="A1530" s="49"/>
      <c r="C1530" s="85" t="s">
        <v>22</v>
      </c>
      <c r="D1530" s="36"/>
      <c r="E1530" s="36"/>
      <c r="F1530" s="36"/>
      <c r="G1530" s="71"/>
      <c r="H1530" s="36"/>
      <c r="I1530" s="36"/>
      <c r="J1530" s="71"/>
      <c r="K1530" s="36"/>
      <c r="L1530" s="36"/>
      <c r="M1530" s="36"/>
      <c r="N1530" s="36"/>
      <c r="O1530" s="36"/>
      <c r="P1530" s="36"/>
    </row>
    <row r="1531" ht="14.25" customHeight="1">
      <c r="A1531" s="49"/>
      <c r="C1531" s="85" t="s">
        <v>23</v>
      </c>
      <c r="D1531" s="36"/>
      <c r="E1531" s="36"/>
      <c r="F1531" s="36"/>
      <c r="G1531" s="71"/>
      <c r="H1531" s="16">
        <v>1.0</v>
      </c>
      <c r="I1531" s="36"/>
      <c r="J1531" s="71"/>
      <c r="K1531" s="36"/>
      <c r="L1531" s="36"/>
      <c r="M1531" s="36"/>
      <c r="N1531" s="36"/>
      <c r="O1531" s="36"/>
      <c r="P1531" s="36"/>
    </row>
    <row r="1532" ht="14.25" customHeight="1">
      <c r="A1532" s="49"/>
      <c r="C1532" s="85" t="s">
        <v>24</v>
      </c>
      <c r="D1532" s="36"/>
      <c r="E1532" s="36"/>
      <c r="F1532" s="36"/>
      <c r="G1532" s="71"/>
      <c r="H1532" s="36"/>
      <c r="I1532" s="36"/>
      <c r="J1532" s="71"/>
      <c r="K1532" s="36"/>
      <c r="L1532" s="36"/>
      <c r="M1532" s="36"/>
      <c r="N1532" s="36"/>
      <c r="O1532" s="36"/>
      <c r="P1532" s="36"/>
    </row>
    <row r="1533" ht="14.25" customHeight="1">
      <c r="A1533" s="49"/>
      <c r="C1533" s="85" t="s">
        <v>25</v>
      </c>
      <c r="D1533" s="36"/>
      <c r="E1533" s="36"/>
      <c r="F1533" s="36"/>
      <c r="G1533" s="71"/>
      <c r="H1533" s="36"/>
      <c r="I1533" s="36"/>
      <c r="J1533" s="71"/>
      <c r="K1533" s="36"/>
      <c r="L1533" s="36"/>
      <c r="M1533" s="36"/>
      <c r="N1533" s="36"/>
      <c r="O1533" s="36"/>
      <c r="P1533" s="36"/>
    </row>
    <row r="1534" ht="14.25" customHeight="1">
      <c r="A1534" s="56"/>
      <c r="B1534" s="57"/>
      <c r="C1534" s="86" t="s">
        <v>26</v>
      </c>
      <c r="D1534" s="87"/>
      <c r="E1534" s="87"/>
      <c r="F1534" s="87"/>
      <c r="G1534" s="88"/>
      <c r="H1534" s="87"/>
      <c r="I1534" s="87"/>
      <c r="J1534" s="88"/>
      <c r="K1534" s="87"/>
      <c r="L1534" s="87"/>
      <c r="M1534" s="87"/>
      <c r="N1534" s="87"/>
      <c r="O1534" s="87"/>
      <c r="P1534" s="87"/>
    </row>
    <row r="1535" ht="14.25" customHeight="1">
      <c r="A1535" s="97">
        <v>45882.0</v>
      </c>
      <c r="B1535" s="66" t="s">
        <v>42</v>
      </c>
      <c r="C1535" s="84" t="s">
        <v>20</v>
      </c>
      <c r="D1535" s="67"/>
      <c r="E1535" s="66">
        <v>1.0</v>
      </c>
      <c r="F1535" s="67"/>
      <c r="G1535" s="68"/>
      <c r="H1535" s="67"/>
      <c r="I1535" s="67"/>
      <c r="J1535" s="68"/>
      <c r="K1535" s="65"/>
      <c r="L1535" s="66">
        <v>1.0</v>
      </c>
      <c r="M1535" s="67"/>
      <c r="N1535" s="67"/>
      <c r="O1535" s="67"/>
      <c r="P1535" s="67"/>
    </row>
    <row r="1536" ht="14.25" customHeight="1">
      <c r="A1536" s="49"/>
      <c r="C1536" s="85" t="s">
        <v>21</v>
      </c>
      <c r="D1536" s="36"/>
      <c r="E1536" s="36"/>
      <c r="F1536" s="36"/>
      <c r="G1536" s="71"/>
      <c r="H1536" s="36"/>
      <c r="I1536" s="36"/>
      <c r="J1536" s="71"/>
      <c r="K1536" s="36"/>
      <c r="L1536" s="36"/>
      <c r="M1536" s="36"/>
      <c r="N1536" s="36"/>
      <c r="O1536" s="36"/>
      <c r="P1536" s="36"/>
    </row>
    <row r="1537" ht="14.25" customHeight="1">
      <c r="A1537" s="49"/>
      <c r="C1537" s="85" t="s">
        <v>22</v>
      </c>
      <c r="D1537" s="36"/>
      <c r="E1537" s="36"/>
      <c r="F1537" s="36"/>
      <c r="G1537" s="71"/>
      <c r="H1537" s="36"/>
      <c r="I1537" s="36"/>
      <c r="J1537" s="71"/>
      <c r="K1537" s="36"/>
      <c r="L1537" s="36"/>
      <c r="M1537" s="36"/>
      <c r="N1537" s="36"/>
      <c r="O1537" s="36"/>
      <c r="P1537" s="36"/>
    </row>
    <row r="1538" ht="14.25" customHeight="1">
      <c r="A1538" s="49"/>
      <c r="C1538" s="85" t="s">
        <v>23</v>
      </c>
      <c r="D1538" s="36"/>
      <c r="E1538" s="36"/>
      <c r="F1538" s="36"/>
      <c r="G1538" s="71"/>
      <c r="H1538" s="36"/>
      <c r="I1538" s="36"/>
      <c r="J1538" s="71"/>
      <c r="K1538" s="36"/>
      <c r="L1538" s="36"/>
      <c r="M1538" s="36"/>
      <c r="N1538" s="36"/>
      <c r="O1538" s="36"/>
      <c r="P1538" s="36"/>
    </row>
    <row r="1539" ht="14.25" customHeight="1">
      <c r="A1539" s="49"/>
      <c r="C1539" s="85" t="s">
        <v>24</v>
      </c>
      <c r="D1539" s="36"/>
      <c r="E1539" s="36"/>
      <c r="F1539" s="36"/>
      <c r="G1539" s="71"/>
      <c r="H1539" s="36"/>
      <c r="I1539" s="36"/>
      <c r="J1539" s="71"/>
      <c r="K1539" s="36"/>
      <c r="L1539" s="36"/>
      <c r="M1539" s="36"/>
      <c r="N1539" s="36"/>
      <c r="O1539" s="36"/>
      <c r="P1539" s="36"/>
    </row>
    <row r="1540" ht="14.25" customHeight="1">
      <c r="A1540" s="49"/>
      <c r="C1540" s="85" t="s">
        <v>25</v>
      </c>
      <c r="D1540" s="36"/>
      <c r="E1540" s="36"/>
      <c r="F1540" s="36"/>
      <c r="G1540" s="71"/>
      <c r="H1540" s="36"/>
      <c r="I1540" s="36"/>
      <c r="J1540" s="71"/>
      <c r="K1540" s="36"/>
      <c r="L1540" s="36"/>
      <c r="M1540" s="36"/>
      <c r="N1540" s="36"/>
      <c r="O1540" s="36"/>
      <c r="P1540" s="36"/>
    </row>
    <row r="1541" ht="14.25" customHeight="1">
      <c r="A1541" s="56"/>
      <c r="B1541" s="57"/>
      <c r="C1541" s="86" t="s">
        <v>26</v>
      </c>
      <c r="D1541" s="87"/>
      <c r="E1541" s="87"/>
      <c r="F1541" s="87"/>
      <c r="G1541" s="88"/>
      <c r="H1541" s="87"/>
      <c r="I1541" s="87"/>
      <c r="J1541" s="88"/>
      <c r="K1541" s="87"/>
      <c r="L1541" s="87"/>
      <c r="M1541" s="87"/>
      <c r="N1541" s="87"/>
      <c r="O1541" s="87"/>
      <c r="P1541" s="87"/>
    </row>
    <row r="1542" ht="14.25" customHeight="1">
      <c r="A1542" s="97">
        <v>45882.0</v>
      </c>
      <c r="B1542" s="66" t="s">
        <v>41</v>
      </c>
      <c r="C1542" s="84" t="s">
        <v>20</v>
      </c>
      <c r="D1542" s="67"/>
      <c r="E1542" s="67"/>
      <c r="F1542" s="67"/>
      <c r="G1542" s="68"/>
      <c r="H1542" s="67"/>
      <c r="I1542" s="67"/>
      <c r="J1542" s="68"/>
      <c r="K1542" s="65"/>
      <c r="L1542" s="67"/>
      <c r="M1542" s="67"/>
      <c r="N1542" s="67"/>
      <c r="O1542" s="67"/>
      <c r="P1542" s="67"/>
    </row>
    <row r="1543" ht="14.25" customHeight="1">
      <c r="A1543" s="49"/>
      <c r="C1543" s="85" t="s">
        <v>21</v>
      </c>
      <c r="D1543" s="36"/>
      <c r="E1543" s="16">
        <v>1.0</v>
      </c>
      <c r="F1543" s="36"/>
      <c r="G1543" s="71"/>
      <c r="H1543" s="36"/>
      <c r="I1543" s="16">
        <v>1.0</v>
      </c>
      <c r="J1543" s="71"/>
      <c r="K1543" s="36"/>
      <c r="L1543" s="36"/>
      <c r="M1543" s="36"/>
      <c r="N1543" s="36"/>
      <c r="O1543" s="36"/>
      <c r="P1543" s="36"/>
    </row>
    <row r="1544" ht="14.25" customHeight="1">
      <c r="A1544" s="49"/>
      <c r="C1544" s="85" t="s">
        <v>22</v>
      </c>
      <c r="D1544" s="36"/>
      <c r="E1544" s="36"/>
      <c r="F1544" s="36"/>
      <c r="G1544" s="71"/>
      <c r="H1544" s="36"/>
      <c r="I1544" s="36"/>
      <c r="J1544" s="71"/>
      <c r="K1544" s="36"/>
      <c r="L1544" s="36"/>
      <c r="M1544" s="36"/>
      <c r="N1544" s="36"/>
      <c r="O1544" s="36"/>
      <c r="P1544" s="36"/>
    </row>
    <row r="1545" ht="14.25" customHeight="1">
      <c r="A1545" s="49"/>
      <c r="C1545" s="85" t="s">
        <v>23</v>
      </c>
      <c r="D1545" s="36"/>
      <c r="E1545" s="36"/>
      <c r="F1545" s="36"/>
      <c r="G1545" s="71"/>
      <c r="H1545" s="36"/>
      <c r="I1545" s="36"/>
      <c r="J1545" s="71"/>
      <c r="K1545" s="36"/>
      <c r="L1545" s="36"/>
      <c r="M1545" s="36"/>
      <c r="N1545" s="36"/>
      <c r="O1545" s="36"/>
      <c r="P1545" s="36"/>
    </row>
    <row r="1546" ht="14.25" customHeight="1">
      <c r="A1546" s="49"/>
      <c r="C1546" s="85" t="s">
        <v>24</v>
      </c>
      <c r="D1546" s="36"/>
      <c r="E1546" s="36"/>
      <c r="F1546" s="36"/>
      <c r="G1546" s="71"/>
      <c r="H1546" s="36"/>
      <c r="I1546" s="36"/>
      <c r="J1546" s="71"/>
      <c r="K1546" s="36"/>
      <c r="L1546" s="36"/>
      <c r="M1546" s="36"/>
      <c r="N1546" s="36"/>
      <c r="O1546" s="36"/>
      <c r="P1546" s="36"/>
    </row>
    <row r="1547" ht="14.25" customHeight="1">
      <c r="A1547" s="49"/>
      <c r="C1547" s="85" t="s">
        <v>25</v>
      </c>
      <c r="D1547" s="36"/>
      <c r="E1547" s="36"/>
      <c r="F1547" s="36"/>
      <c r="G1547" s="71"/>
      <c r="H1547" s="36"/>
      <c r="I1547" s="36"/>
      <c r="J1547" s="71"/>
      <c r="K1547" s="36"/>
      <c r="L1547" s="36"/>
      <c r="M1547" s="36"/>
      <c r="N1547" s="36"/>
      <c r="O1547" s="36"/>
      <c r="P1547" s="36"/>
    </row>
    <row r="1548" ht="14.25" customHeight="1">
      <c r="A1548" s="56"/>
      <c r="B1548" s="57"/>
      <c r="C1548" s="86" t="s">
        <v>26</v>
      </c>
      <c r="D1548" s="87"/>
      <c r="E1548" s="87"/>
      <c r="F1548" s="87"/>
      <c r="G1548" s="88"/>
      <c r="H1548" s="87"/>
      <c r="I1548" s="87"/>
      <c r="J1548" s="88"/>
      <c r="K1548" s="87"/>
      <c r="L1548" s="87"/>
      <c r="M1548" s="87"/>
      <c r="N1548" s="87"/>
      <c r="O1548" s="87"/>
      <c r="P1548" s="87"/>
    </row>
    <row r="1549" ht="14.25" customHeight="1">
      <c r="A1549" s="97">
        <v>45882.0</v>
      </c>
      <c r="B1549" s="66" t="s">
        <v>42</v>
      </c>
      <c r="C1549" s="84" t="s">
        <v>20</v>
      </c>
      <c r="D1549" s="66">
        <v>3.0</v>
      </c>
      <c r="E1549" s="67"/>
      <c r="F1549" s="66">
        <v>1.0</v>
      </c>
      <c r="G1549" s="68"/>
      <c r="H1549" s="67"/>
      <c r="I1549" s="67"/>
      <c r="J1549" s="68"/>
      <c r="K1549" s="65"/>
      <c r="L1549" s="67"/>
      <c r="M1549" s="67"/>
      <c r="N1549" s="67"/>
      <c r="O1549" s="67"/>
      <c r="P1549" s="67"/>
    </row>
    <row r="1550" ht="14.25" customHeight="1">
      <c r="A1550" s="49"/>
      <c r="C1550" s="85" t="s">
        <v>21</v>
      </c>
      <c r="D1550" s="36"/>
      <c r="E1550" s="36"/>
      <c r="F1550" s="36"/>
      <c r="G1550" s="71"/>
      <c r="H1550" s="36"/>
      <c r="I1550" s="36"/>
      <c r="J1550" s="71"/>
      <c r="K1550" s="36"/>
      <c r="L1550" s="36"/>
      <c r="M1550" s="36"/>
      <c r="N1550" s="16">
        <v>1.0</v>
      </c>
      <c r="O1550" s="36"/>
      <c r="P1550" s="36"/>
    </row>
    <row r="1551" ht="14.25" customHeight="1">
      <c r="A1551" s="49"/>
      <c r="C1551" s="85" t="s">
        <v>22</v>
      </c>
      <c r="D1551" s="36"/>
      <c r="E1551" s="36"/>
      <c r="F1551" s="36"/>
      <c r="G1551" s="71"/>
      <c r="H1551" s="36"/>
      <c r="I1551" s="36"/>
      <c r="J1551" s="71"/>
      <c r="K1551" s="36"/>
      <c r="L1551" s="36"/>
      <c r="M1551" s="36"/>
      <c r="N1551" s="36"/>
      <c r="O1551" s="36"/>
      <c r="P1551" s="36"/>
    </row>
    <row r="1552" ht="14.25" customHeight="1">
      <c r="A1552" s="49"/>
      <c r="C1552" s="85" t="s">
        <v>23</v>
      </c>
      <c r="D1552" s="36"/>
      <c r="E1552" s="36"/>
      <c r="F1552" s="36"/>
      <c r="G1552" s="71"/>
      <c r="H1552" s="36"/>
      <c r="I1552" s="36"/>
      <c r="J1552" s="71"/>
      <c r="K1552" s="36"/>
      <c r="L1552" s="36"/>
      <c r="M1552" s="36"/>
      <c r="N1552" s="36"/>
      <c r="O1552" s="36"/>
      <c r="P1552" s="36"/>
    </row>
    <row r="1553" ht="14.25" customHeight="1">
      <c r="A1553" s="49"/>
      <c r="C1553" s="85" t="s">
        <v>24</v>
      </c>
      <c r="D1553" s="36"/>
      <c r="E1553" s="36"/>
      <c r="F1553" s="36"/>
      <c r="G1553" s="71"/>
      <c r="H1553" s="36"/>
      <c r="I1553" s="36"/>
      <c r="J1553" s="71"/>
      <c r="K1553" s="36"/>
      <c r="L1553" s="36"/>
      <c r="M1553" s="36"/>
      <c r="N1553" s="36"/>
      <c r="O1553" s="36"/>
      <c r="P1553" s="36"/>
    </row>
    <row r="1554" ht="14.25" customHeight="1">
      <c r="A1554" s="49"/>
      <c r="C1554" s="85" t="s">
        <v>25</v>
      </c>
      <c r="D1554" s="36"/>
      <c r="E1554" s="36"/>
      <c r="F1554" s="36"/>
      <c r="G1554" s="71"/>
      <c r="H1554" s="36"/>
      <c r="I1554" s="36"/>
      <c r="J1554" s="71"/>
      <c r="K1554" s="36"/>
      <c r="L1554" s="36"/>
      <c r="M1554" s="36"/>
      <c r="N1554" s="36"/>
      <c r="O1554" s="36"/>
      <c r="P1554" s="36"/>
    </row>
    <row r="1555" ht="14.25" customHeight="1">
      <c r="A1555" s="56"/>
      <c r="B1555" s="57"/>
      <c r="C1555" s="86" t="s">
        <v>26</v>
      </c>
      <c r="D1555" s="87"/>
      <c r="E1555" s="87"/>
      <c r="F1555" s="87"/>
      <c r="G1555" s="88"/>
      <c r="H1555" s="87"/>
      <c r="I1555" s="87"/>
      <c r="J1555" s="88"/>
      <c r="K1555" s="87"/>
      <c r="L1555" s="87"/>
      <c r="M1555" s="87"/>
      <c r="N1555" s="87"/>
      <c r="O1555" s="87"/>
      <c r="P1555" s="87"/>
    </row>
    <row r="1556" ht="14.25" customHeight="1">
      <c r="A1556" s="97">
        <v>45882.0</v>
      </c>
      <c r="B1556" s="66" t="s">
        <v>41</v>
      </c>
      <c r="C1556" s="84" t="s">
        <v>20</v>
      </c>
      <c r="D1556" s="67"/>
      <c r="E1556" s="67"/>
      <c r="F1556" s="67"/>
      <c r="G1556" s="68"/>
      <c r="H1556" s="67"/>
      <c r="I1556" s="67"/>
      <c r="J1556" s="68"/>
      <c r="K1556" s="65"/>
      <c r="L1556" s="67"/>
      <c r="M1556" s="67"/>
      <c r="N1556" s="67"/>
      <c r="O1556" s="67"/>
      <c r="P1556" s="67"/>
    </row>
    <row r="1557" ht="14.25" customHeight="1">
      <c r="A1557" s="49"/>
      <c r="C1557" s="85" t="s">
        <v>21</v>
      </c>
      <c r="D1557" s="36"/>
      <c r="E1557" s="36"/>
      <c r="F1557" s="36"/>
      <c r="G1557" s="71"/>
      <c r="H1557" s="36"/>
      <c r="I1557" s="36"/>
      <c r="J1557" s="71"/>
      <c r="K1557" s="36"/>
      <c r="L1557" s="36"/>
      <c r="M1557" s="36"/>
      <c r="N1557" s="36"/>
      <c r="O1557" s="36"/>
      <c r="P1557" s="36"/>
    </row>
    <row r="1558" ht="14.25" customHeight="1">
      <c r="A1558" s="49"/>
      <c r="C1558" s="85" t="s">
        <v>22</v>
      </c>
      <c r="D1558" s="36"/>
      <c r="E1558" s="36"/>
      <c r="F1558" s="36"/>
      <c r="G1558" s="71"/>
      <c r="H1558" s="36"/>
      <c r="I1558" s="36"/>
      <c r="J1558" s="71"/>
      <c r="K1558" s="36"/>
      <c r="L1558" s="36"/>
      <c r="M1558" s="36"/>
      <c r="N1558" s="36"/>
      <c r="O1558" s="36"/>
      <c r="P1558" s="36"/>
    </row>
    <row r="1559" ht="14.25" customHeight="1">
      <c r="A1559" s="49"/>
      <c r="C1559" s="85" t="s">
        <v>23</v>
      </c>
      <c r="D1559" s="36"/>
      <c r="E1559" s="36"/>
      <c r="F1559" s="36"/>
      <c r="G1559" s="71"/>
      <c r="H1559" s="36"/>
      <c r="I1559" s="36"/>
      <c r="J1559" s="71"/>
      <c r="K1559" s="36"/>
      <c r="L1559" s="36"/>
      <c r="M1559" s="36"/>
      <c r="N1559" s="36"/>
      <c r="O1559" s="36"/>
      <c r="P1559" s="36"/>
    </row>
    <row r="1560" ht="14.25" customHeight="1">
      <c r="A1560" s="49"/>
      <c r="C1560" s="85" t="s">
        <v>24</v>
      </c>
      <c r="D1560" s="36"/>
      <c r="E1560" s="36"/>
      <c r="F1560" s="36"/>
      <c r="G1560" s="71"/>
      <c r="H1560" s="36"/>
      <c r="I1560" s="36"/>
      <c r="J1560" s="71"/>
      <c r="K1560" s="36"/>
      <c r="L1560" s="36"/>
      <c r="M1560" s="36"/>
      <c r="N1560" s="36"/>
      <c r="O1560" s="36"/>
      <c r="P1560" s="36"/>
    </row>
    <row r="1561" ht="14.25" customHeight="1">
      <c r="A1561" s="49"/>
      <c r="C1561" s="85" t="s">
        <v>25</v>
      </c>
      <c r="D1561" s="36"/>
      <c r="E1561" s="36"/>
      <c r="F1561" s="36"/>
      <c r="G1561" s="71"/>
      <c r="H1561" s="36"/>
      <c r="I1561" s="36"/>
      <c r="J1561" s="71"/>
      <c r="K1561" s="36"/>
      <c r="L1561" s="36"/>
      <c r="M1561" s="36"/>
      <c r="N1561" s="36"/>
      <c r="O1561" s="36"/>
      <c r="P1561" s="36"/>
    </row>
    <row r="1562" ht="14.25" customHeight="1">
      <c r="A1562" s="56"/>
      <c r="B1562" s="57"/>
      <c r="C1562" s="86" t="s">
        <v>26</v>
      </c>
      <c r="D1562" s="90">
        <v>1.0</v>
      </c>
      <c r="E1562" s="87"/>
      <c r="F1562" s="87"/>
      <c r="G1562" s="88"/>
      <c r="H1562" s="87"/>
      <c r="I1562" s="87"/>
      <c r="J1562" s="88"/>
      <c r="K1562" s="87"/>
      <c r="L1562" s="87"/>
      <c r="M1562" s="87"/>
      <c r="N1562" s="87"/>
      <c r="O1562" s="87"/>
      <c r="P1562" s="87"/>
    </row>
    <row r="1563" ht="14.25" customHeight="1">
      <c r="A1563" s="97">
        <v>45882.0</v>
      </c>
      <c r="B1563" s="66" t="s">
        <v>42</v>
      </c>
      <c r="C1563" s="84" t="s">
        <v>20</v>
      </c>
      <c r="D1563" s="66">
        <v>1.0</v>
      </c>
      <c r="E1563" s="67"/>
      <c r="F1563" s="67"/>
      <c r="G1563" s="68"/>
      <c r="H1563" s="67"/>
      <c r="I1563" s="67"/>
      <c r="J1563" s="68"/>
      <c r="K1563" s="65"/>
      <c r="L1563" s="67"/>
      <c r="M1563" s="67"/>
      <c r="N1563" s="67"/>
      <c r="O1563" s="67"/>
      <c r="P1563" s="67"/>
    </row>
    <row r="1564" ht="14.25" customHeight="1">
      <c r="A1564" s="49"/>
      <c r="C1564" s="85" t="s">
        <v>21</v>
      </c>
      <c r="D1564" s="36"/>
      <c r="E1564" s="36"/>
      <c r="F1564" s="36"/>
      <c r="G1564" s="71"/>
      <c r="H1564" s="36"/>
      <c r="I1564" s="36"/>
      <c r="J1564" s="71"/>
      <c r="K1564" s="36"/>
      <c r="L1564" s="36"/>
      <c r="M1564" s="36"/>
      <c r="N1564" s="36"/>
      <c r="O1564" s="36"/>
      <c r="P1564" s="36"/>
    </row>
    <row r="1565" ht="14.25" customHeight="1">
      <c r="A1565" s="49"/>
      <c r="C1565" s="85" t="s">
        <v>22</v>
      </c>
      <c r="D1565" s="36"/>
      <c r="E1565" s="36"/>
      <c r="F1565" s="36"/>
      <c r="G1565" s="71"/>
      <c r="H1565" s="36"/>
      <c r="I1565" s="36"/>
      <c r="J1565" s="71"/>
      <c r="K1565" s="36"/>
      <c r="L1565" s="36"/>
      <c r="M1565" s="36"/>
      <c r="N1565" s="36"/>
      <c r="O1565" s="36"/>
      <c r="P1565" s="36"/>
    </row>
    <row r="1566" ht="14.25" customHeight="1">
      <c r="A1566" s="49"/>
      <c r="C1566" s="85" t="s">
        <v>23</v>
      </c>
      <c r="D1566" s="36"/>
      <c r="E1566" s="36"/>
      <c r="F1566" s="36"/>
      <c r="G1566" s="71"/>
      <c r="H1566" s="36"/>
      <c r="I1566" s="36"/>
      <c r="J1566" s="71"/>
      <c r="K1566" s="36"/>
      <c r="L1566" s="36"/>
      <c r="M1566" s="36"/>
      <c r="N1566" s="36"/>
      <c r="O1566" s="36"/>
      <c r="P1566" s="36"/>
    </row>
    <row r="1567" ht="14.25" customHeight="1">
      <c r="A1567" s="49"/>
      <c r="C1567" s="85" t="s">
        <v>24</v>
      </c>
      <c r="D1567" s="36"/>
      <c r="E1567" s="36"/>
      <c r="F1567" s="36"/>
      <c r="G1567" s="71"/>
      <c r="H1567" s="36"/>
      <c r="I1567" s="36"/>
      <c r="J1567" s="71"/>
      <c r="K1567" s="36"/>
      <c r="L1567" s="36"/>
      <c r="M1567" s="36"/>
      <c r="N1567" s="36"/>
      <c r="O1567" s="36"/>
      <c r="P1567" s="36"/>
    </row>
    <row r="1568" ht="14.25" customHeight="1">
      <c r="A1568" s="49"/>
      <c r="C1568" s="85" t="s">
        <v>25</v>
      </c>
      <c r="D1568" s="36"/>
      <c r="E1568" s="36"/>
      <c r="F1568" s="36"/>
      <c r="G1568" s="71"/>
      <c r="H1568" s="36"/>
      <c r="I1568" s="36"/>
      <c r="J1568" s="71"/>
      <c r="K1568" s="36"/>
      <c r="L1568" s="36"/>
      <c r="M1568" s="36"/>
      <c r="N1568" s="36"/>
      <c r="O1568" s="36"/>
      <c r="P1568" s="36"/>
    </row>
    <row r="1569" ht="14.25" customHeight="1">
      <c r="A1569" s="56"/>
      <c r="B1569" s="57"/>
      <c r="C1569" s="86" t="s">
        <v>26</v>
      </c>
      <c r="D1569" s="87"/>
      <c r="E1569" s="87"/>
      <c r="F1569" s="87"/>
      <c r="G1569" s="88"/>
      <c r="H1569" s="87"/>
      <c r="I1569" s="87"/>
      <c r="J1569" s="88"/>
      <c r="K1569" s="87"/>
      <c r="L1569" s="87"/>
      <c r="M1569" s="87"/>
      <c r="N1569" s="87"/>
      <c r="O1569" s="87"/>
      <c r="P1569" s="87"/>
    </row>
    <row r="1570" ht="14.25" customHeight="1">
      <c r="A1570" s="97">
        <v>45882.0</v>
      </c>
      <c r="B1570" s="66" t="s">
        <v>42</v>
      </c>
      <c r="C1570" s="84" t="s">
        <v>20</v>
      </c>
      <c r="D1570" s="66">
        <v>1.0</v>
      </c>
      <c r="E1570" s="66">
        <v>1.0</v>
      </c>
      <c r="F1570" s="67"/>
      <c r="G1570" s="68"/>
      <c r="H1570" s="67"/>
      <c r="I1570" s="67"/>
      <c r="J1570" s="68"/>
      <c r="K1570" s="65"/>
      <c r="L1570" s="67"/>
      <c r="M1570" s="67"/>
      <c r="N1570" s="67"/>
      <c r="O1570" s="67"/>
      <c r="P1570" s="67"/>
    </row>
    <row r="1571" ht="14.25" customHeight="1">
      <c r="A1571" s="49"/>
      <c r="C1571" s="85" t="s">
        <v>21</v>
      </c>
      <c r="D1571" s="16">
        <v>1.0</v>
      </c>
      <c r="E1571" s="36"/>
      <c r="F1571" s="36"/>
      <c r="G1571" s="71"/>
      <c r="H1571" s="36"/>
      <c r="I1571" s="36"/>
      <c r="J1571" s="71"/>
      <c r="K1571" s="36"/>
      <c r="L1571" s="36"/>
      <c r="M1571" s="36"/>
      <c r="N1571" s="36"/>
      <c r="O1571" s="36"/>
      <c r="P1571" s="36"/>
    </row>
    <row r="1572" ht="14.25" customHeight="1">
      <c r="A1572" s="49"/>
      <c r="C1572" s="85" t="s">
        <v>22</v>
      </c>
      <c r="D1572" s="36"/>
      <c r="E1572" s="36"/>
      <c r="F1572" s="36"/>
      <c r="G1572" s="71"/>
      <c r="H1572" s="36"/>
      <c r="I1572" s="36"/>
      <c r="J1572" s="71"/>
      <c r="K1572" s="36"/>
      <c r="L1572" s="36"/>
      <c r="M1572" s="36"/>
      <c r="N1572" s="36"/>
      <c r="O1572" s="36"/>
      <c r="P1572" s="36"/>
    </row>
    <row r="1573" ht="14.25" customHeight="1">
      <c r="A1573" s="49"/>
      <c r="C1573" s="85" t="s">
        <v>23</v>
      </c>
      <c r="D1573" s="36"/>
      <c r="E1573" s="36"/>
      <c r="F1573" s="36"/>
      <c r="G1573" s="71"/>
      <c r="H1573" s="36"/>
      <c r="I1573" s="36"/>
      <c r="J1573" s="71"/>
      <c r="K1573" s="36"/>
      <c r="L1573" s="36"/>
      <c r="M1573" s="36"/>
      <c r="N1573" s="36"/>
      <c r="O1573" s="36"/>
      <c r="P1573" s="36"/>
    </row>
    <row r="1574" ht="14.25" customHeight="1">
      <c r="A1574" s="49"/>
      <c r="C1574" s="85" t="s">
        <v>24</v>
      </c>
      <c r="D1574" s="36"/>
      <c r="E1574" s="36"/>
      <c r="F1574" s="36"/>
      <c r="G1574" s="71"/>
      <c r="H1574" s="36"/>
      <c r="I1574" s="36"/>
      <c r="J1574" s="71"/>
      <c r="K1574" s="36"/>
      <c r="L1574" s="36"/>
      <c r="M1574" s="36"/>
      <c r="N1574" s="36"/>
      <c r="O1574" s="36"/>
      <c r="P1574" s="36"/>
    </row>
    <row r="1575" ht="14.25" customHeight="1">
      <c r="A1575" s="49"/>
      <c r="C1575" s="85" t="s">
        <v>25</v>
      </c>
      <c r="D1575" s="36"/>
      <c r="E1575" s="36"/>
      <c r="F1575" s="36"/>
      <c r="G1575" s="71"/>
      <c r="H1575" s="36"/>
      <c r="I1575" s="36"/>
      <c r="J1575" s="71"/>
      <c r="K1575" s="36"/>
      <c r="L1575" s="36"/>
      <c r="M1575" s="36"/>
      <c r="N1575" s="36"/>
      <c r="O1575" s="36"/>
      <c r="P1575" s="36"/>
    </row>
    <row r="1576" ht="14.25" customHeight="1">
      <c r="A1576" s="56"/>
      <c r="B1576" s="57"/>
      <c r="C1576" s="86" t="s">
        <v>26</v>
      </c>
      <c r="D1576" s="87"/>
      <c r="E1576" s="87"/>
      <c r="F1576" s="87"/>
      <c r="G1576" s="88"/>
      <c r="H1576" s="87"/>
      <c r="I1576" s="87"/>
      <c r="J1576" s="88"/>
      <c r="K1576" s="87"/>
      <c r="L1576" s="87"/>
      <c r="M1576" s="87"/>
      <c r="N1576" s="87"/>
      <c r="O1576" s="87"/>
      <c r="P1576" s="87"/>
    </row>
    <row r="1577" ht="14.25" customHeight="1">
      <c r="A1577" s="97">
        <v>45883.0</v>
      </c>
      <c r="B1577" s="66" t="s">
        <v>69</v>
      </c>
      <c r="C1577" s="84" t="s">
        <v>20</v>
      </c>
      <c r="D1577" s="67"/>
      <c r="E1577" s="66">
        <v>1.0</v>
      </c>
      <c r="F1577" s="67"/>
      <c r="G1577" s="68"/>
      <c r="H1577" s="66">
        <v>1.0</v>
      </c>
      <c r="I1577" s="67"/>
      <c r="J1577" s="68"/>
      <c r="K1577" s="65"/>
      <c r="L1577" s="67"/>
      <c r="M1577" s="67"/>
      <c r="N1577" s="67"/>
      <c r="O1577" s="67"/>
      <c r="P1577" s="67"/>
    </row>
    <row r="1578" ht="14.25" customHeight="1">
      <c r="A1578" s="49"/>
      <c r="C1578" s="85" t="s">
        <v>21</v>
      </c>
      <c r="D1578" s="16">
        <v>1.0</v>
      </c>
      <c r="E1578" s="36"/>
      <c r="F1578" s="16">
        <v>2.0</v>
      </c>
      <c r="G1578" s="71"/>
      <c r="H1578" s="36"/>
      <c r="I1578" s="36"/>
      <c r="J1578" s="71"/>
      <c r="K1578" s="36"/>
      <c r="L1578" s="36"/>
      <c r="M1578" s="36"/>
      <c r="N1578" s="16">
        <v>2.0</v>
      </c>
      <c r="O1578" s="36"/>
      <c r="P1578" s="36"/>
    </row>
    <row r="1579" ht="14.25" customHeight="1">
      <c r="A1579" s="49"/>
      <c r="C1579" s="85" t="s">
        <v>22</v>
      </c>
      <c r="D1579" s="36"/>
      <c r="E1579" s="36"/>
      <c r="F1579" s="36"/>
      <c r="G1579" s="71"/>
      <c r="H1579" s="36"/>
      <c r="I1579" s="36"/>
      <c r="J1579" s="71"/>
      <c r="K1579" s="36"/>
      <c r="L1579" s="36"/>
      <c r="M1579" s="36"/>
      <c r="N1579" s="36"/>
      <c r="O1579" s="36"/>
      <c r="P1579" s="36"/>
    </row>
    <row r="1580" ht="14.25" customHeight="1">
      <c r="A1580" s="49"/>
      <c r="C1580" s="85" t="s">
        <v>23</v>
      </c>
      <c r="D1580" s="36"/>
      <c r="E1580" s="36"/>
      <c r="F1580" s="36"/>
      <c r="G1580" s="71"/>
      <c r="H1580" s="36"/>
      <c r="I1580" s="36"/>
      <c r="J1580" s="71"/>
      <c r="K1580" s="36"/>
      <c r="L1580" s="36"/>
      <c r="M1580" s="36"/>
      <c r="N1580" s="36"/>
      <c r="O1580" s="36"/>
      <c r="P1580" s="36"/>
    </row>
    <row r="1581" ht="14.25" customHeight="1">
      <c r="A1581" s="49"/>
      <c r="C1581" s="85" t="s">
        <v>24</v>
      </c>
      <c r="D1581" s="36"/>
      <c r="E1581" s="36"/>
      <c r="F1581" s="36"/>
      <c r="G1581" s="69">
        <v>1.0</v>
      </c>
      <c r="H1581" s="36"/>
      <c r="I1581" s="36"/>
      <c r="J1581" s="71"/>
      <c r="K1581" s="36"/>
      <c r="L1581" s="36"/>
      <c r="M1581" s="36"/>
      <c r="N1581" s="36"/>
      <c r="O1581" s="36"/>
      <c r="P1581" s="36"/>
    </row>
    <row r="1582" ht="14.25" customHeight="1">
      <c r="A1582" s="49"/>
      <c r="C1582" s="85" t="s">
        <v>25</v>
      </c>
      <c r="D1582" s="16">
        <v>1.0</v>
      </c>
      <c r="E1582" s="36"/>
      <c r="F1582" s="36"/>
      <c r="G1582" s="71"/>
      <c r="H1582" s="36"/>
      <c r="I1582" s="36"/>
      <c r="J1582" s="71"/>
      <c r="K1582" s="36"/>
      <c r="L1582" s="36"/>
      <c r="M1582" s="36"/>
      <c r="N1582" s="36"/>
      <c r="O1582" s="36"/>
      <c r="P1582" s="36"/>
    </row>
    <row r="1583" ht="14.25" customHeight="1">
      <c r="A1583" s="56"/>
      <c r="B1583" s="57"/>
      <c r="C1583" s="86" t="s">
        <v>26</v>
      </c>
      <c r="D1583" s="87"/>
      <c r="E1583" s="87"/>
      <c r="F1583" s="87"/>
      <c r="G1583" s="88"/>
      <c r="H1583" s="87"/>
      <c r="I1583" s="87"/>
      <c r="J1583" s="88"/>
      <c r="K1583" s="87"/>
      <c r="L1583" s="87"/>
      <c r="M1583" s="87"/>
      <c r="N1583" s="87"/>
      <c r="O1583" s="87"/>
      <c r="P1583" s="87"/>
    </row>
    <row r="1584" ht="14.25" customHeight="1">
      <c r="A1584" s="97">
        <v>45883.0</v>
      </c>
      <c r="B1584" s="66" t="s">
        <v>45</v>
      </c>
      <c r="C1584" s="84" t="s">
        <v>20</v>
      </c>
      <c r="D1584" s="67"/>
      <c r="E1584" s="66">
        <v>1.0</v>
      </c>
      <c r="F1584" s="67"/>
      <c r="G1584" s="68"/>
      <c r="H1584" s="67"/>
      <c r="I1584" s="66">
        <v>1.0</v>
      </c>
      <c r="J1584" s="68"/>
      <c r="K1584" s="65"/>
      <c r="L1584" s="67"/>
      <c r="M1584" s="67"/>
      <c r="N1584" s="67"/>
      <c r="O1584" s="67"/>
      <c r="P1584" s="67"/>
    </row>
    <row r="1585" ht="14.25" customHeight="1">
      <c r="A1585" s="49"/>
      <c r="C1585" s="85" t="s">
        <v>21</v>
      </c>
      <c r="D1585" s="36"/>
      <c r="E1585" s="36"/>
      <c r="F1585" s="36"/>
      <c r="G1585" s="71"/>
      <c r="H1585" s="36"/>
      <c r="I1585" s="36"/>
      <c r="J1585" s="71"/>
      <c r="K1585" s="36"/>
      <c r="L1585" s="36"/>
      <c r="M1585" s="36"/>
      <c r="N1585" s="36"/>
      <c r="O1585" s="36"/>
      <c r="P1585" s="36"/>
    </row>
    <row r="1586" ht="14.25" customHeight="1">
      <c r="A1586" s="49"/>
      <c r="C1586" s="85" t="s">
        <v>22</v>
      </c>
      <c r="D1586" s="36"/>
      <c r="E1586" s="36"/>
      <c r="F1586" s="36"/>
      <c r="G1586" s="71"/>
      <c r="H1586" s="36"/>
      <c r="I1586" s="36"/>
      <c r="J1586" s="71"/>
      <c r="K1586" s="36"/>
      <c r="L1586" s="36"/>
      <c r="M1586" s="36"/>
      <c r="N1586" s="36"/>
      <c r="O1586" s="36"/>
      <c r="P1586" s="36"/>
    </row>
    <row r="1587" ht="14.25" customHeight="1">
      <c r="A1587" s="49"/>
      <c r="C1587" s="85" t="s">
        <v>23</v>
      </c>
      <c r="D1587" s="36"/>
      <c r="E1587" s="36"/>
      <c r="F1587" s="36"/>
      <c r="G1587" s="69">
        <v>1.0</v>
      </c>
      <c r="H1587" s="36"/>
      <c r="I1587" s="36"/>
      <c r="J1587" s="71"/>
      <c r="K1587" s="36"/>
      <c r="L1587" s="36"/>
      <c r="M1587" s="36"/>
      <c r="N1587" s="36"/>
      <c r="O1587" s="36"/>
      <c r="P1587" s="36"/>
    </row>
    <row r="1588" ht="14.25" customHeight="1">
      <c r="A1588" s="49"/>
      <c r="C1588" s="85" t="s">
        <v>24</v>
      </c>
      <c r="D1588" s="36"/>
      <c r="E1588" s="36"/>
      <c r="F1588" s="36"/>
      <c r="G1588" s="71"/>
      <c r="H1588" s="36"/>
      <c r="I1588" s="36"/>
      <c r="J1588" s="71"/>
      <c r="K1588" s="36"/>
      <c r="L1588" s="36"/>
      <c r="M1588" s="36"/>
      <c r="N1588" s="36"/>
      <c r="O1588" s="36"/>
      <c r="P1588" s="36"/>
    </row>
    <row r="1589" ht="14.25" customHeight="1">
      <c r="A1589" s="49"/>
      <c r="C1589" s="85" t="s">
        <v>25</v>
      </c>
      <c r="D1589" s="36"/>
      <c r="E1589" s="36"/>
      <c r="F1589" s="36"/>
      <c r="G1589" s="71"/>
      <c r="H1589" s="36"/>
      <c r="I1589" s="36"/>
      <c r="J1589" s="71"/>
      <c r="K1589" s="36"/>
      <c r="L1589" s="36"/>
      <c r="M1589" s="36"/>
      <c r="N1589" s="36"/>
      <c r="O1589" s="36"/>
      <c r="P1589" s="36"/>
    </row>
    <row r="1590" ht="14.25" customHeight="1">
      <c r="A1590" s="56"/>
      <c r="B1590" s="57"/>
      <c r="C1590" s="86" t="s">
        <v>26</v>
      </c>
      <c r="D1590" s="87"/>
      <c r="E1590" s="87"/>
      <c r="F1590" s="87"/>
      <c r="G1590" s="88"/>
      <c r="H1590" s="87"/>
      <c r="I1590" s="87"/>
      <c r="J1590" s="88"/>
      <c r="K1590" s="87"/>
      <c r="L1590" s="87"/>
      <c r="M1590" s="87"/>
      <c r="N1590" s="87"/>
      <c r="O1590" s="87"/>
      <c r="P1590" s="87"/>
    </row>
    <row r="1591" ht="14.25" customHeight="1">
      <c r="A1591" s="97">
        <v>45883.0</v>
      </c>
      <c r="B1591" s="66" t="s">
        <v>69</v>
      </c>
      <c r="C1591" s="84" t="s">
        <v>20</v>
      </c>
      <c r="D1591" s="66">
        <v>3.0</v>
      </c>
      <c r="E1591" s="66">
        <v>1.0</v>
      </c>
      <c r="F1591" s="67"/>
      <c r="G1591" s="68"/>
      <c r="H1591" s="67"/>
      <c r="I1591" s="67"/>
      <c r="J1591" s="68"/>
      <c r="K1591" s="65"/>
      <c r="L1591" s="67"/>
      <c r="M1591" s="67"/>
      <c r="N1591" s="67"/>
      <c r="O1591" s="67"/>
      <c r="P1591" s="67"/>
    </row>
    <row r="1592" ht="14.25" customHeight="1">
      <c r="A1592" s="49"/>
      <c r="C1592" s="85" t="s">
        <v>21</v>
      </c>
      <c r="D1592" s="36"/>
      <c r="E1592" s="36"/>
      <c r="F1592" s="36"/>
      <c r="G1592" s="71"/>
      <c r="H1592" s="36"/>
      <c r="I1592" s="36"/>
      <c r="J1592" s="71"/>
      <c r="K1592" s="36"/>
      <c r="L1592" s="36"/>
      <c r="M1592" s="36"/>
      <c r="N1592" s="36"/>
      <c r="O1592" s="36"/>
      <c r="P1592" s="36"/>
    </row>
    <row r="1593" ht="14.25" customHeight="1">
      <c r="A1593" s="49"/>
      <c r="C1593" s="85" t="s">
        <v>22</v>
      </c>
      <c r="D1593" s="36"/>
      <c r="E1593" s="36"/>
      <c r="F1593" s="36"/>
      <c r="G1593" s="71"/>
      <c r="H1593" s="36"/>
      <c r="I1593" s="36"/>
      <c r="J1593" s="71"/>
      <c r="K1593" s="36"/>
      <c r="L1593" s="36"/>
      <c r="M1593" s="36"/>
      <c r="N1593" s="36"/>
      <c r="O1593" s="36"/>
      <c r="P1593" s="36"/>
    </row>
    <row r="1594" ht="14.25" customHeight="1">
      <c r="A1594" s="49"/>
      <c r="C1594" s="85" t="s">
        <v>23</v>
      </c>
      <c r="D1594" s="36"/>
      <c r="E1594" s="36"/>
      <c r="F1594" s="36"/>
      <c r="G1594" s="71"/>
      <c r="H1594" s="36"/>
      <c r="I1594" s="36"/>
      <c r="J1594" s="71"/>
      <c r="K1594" s="36"/>
      <c r="L1594" s="36"/>
      <c r="M1594" s="36"/>
      <c r="N1594" s="36"/>
      <c r="O1594" s="36"/>
      <c r="P1594" s="36"/>
    </row>
    <row r="1595" ht="14.25" customHeight="1">
      <c r="A1595" s="49"/>
      <c r="C1595" s="85" t="s">
        <v>24</v>
      </c>
      <c r="D1595" s="36"/>
      <c r="E1595" s="36"/>
      <c r="F1595" s="36"/>
      <c r="G1595" s="71"/>
      <c r="H1595" s="36"/>
      <c r="I1595" s="36"/>
      <c r="J1595" s="71"/>
      <c r="K1595" s="36"/>
      <c r="L1595" s="36"/>
      <c r="M1595" s="36"/>
      <c r="N1595" s="36"/>
      <c r="O1595" s="36"/>
      <c r="P1595" s="36"/>
    </row>
    <row r="1596" ht="14.25" customHeight="1">
      <c r="A1596" s="49"/>
      <c r="C1596" s="85" t="s">
        <v>25</v>
      </c>
      <c r="D1596" s="36"/>
      <c r="E1596" s="36"/>
      <c r="F1596" s="36"/>
      <c r="G1596" s="71"/>
      <c r="H1596" s="36"/>
      <c r="I1596" s="36"/>
      <c r="J1596" s="71"/>
      <c r="K1596" s="36"/>
      <c r="L1596" s="36"/>
      <c r="M1596" s="36"/>
      <c r="N1596" s="36"/>
      <c r="O1596" s="36"/>
      <c r="P1596" s="36"/>
    </row>
    <row r="1597" ht="14.25" customHeight="1">
      <c r="A1597" s="56"/>
      <c r="B1597" s="57"/>
      <c r="C1597" s="86" t="s">
        <v>26</v>
      </c>
      <c r="D1597" s="87"/>
      <c r="E1597" s="87"/>
      <c r="F1597" s="87"/>
      <c r="G1597" s="88"/>
      <c r="H1597" s="87"/>
      <c r="I1597" s="87"/>
      <c r="J1597" s="88"/>
      <c r="K1597" s="87"/>
      <c r="L1597" s="87"/>
      <c r="M1597" s="87"/>
      <c r="N1597" s="87"/>
      <c r="O1597" s="87"/>
      <c r="P1597" s="87"/>
    </row>
    <row r="1598" ht="14.25" customHeight="1">
      <c r="A1598" s="97">
        <v>45883.0</v>
      </c>
      <c r="B1598" s="66" t="s">
        <v>45</v>
      </c>
      <c r="C1598" s="84" t="s">
        <v>20</v>
      </c>
      <c r="D1598" s="66">
        <v>5.0</v>
      </c>
      <c r="E1598" s="66">
        <v>2.0</v>
      </c>
      <c r="F1598" s="67"/>
      <c r="G1598" s="68"/>
      <c r="H1598" s="67"/>
      <c r="I1598" s="67"/>
      <c r="J1598" s="68"/>
      <c r="K1598" s="65"/>
      <c r="L1598" s="67"/>
      <c r="M1598" s="67"/>
      <c r="N1598" s="67"/>
      <c r="O1598" s="67"/>
      <c r="P1598" s="67"/>
    </row>
    <row r="1599" ht="14.25" customHeight="1">
      <c r="A1599" s="49"/>
      <c r="C1599" s="85" t="s">
        <v>21</v>
      </c>
      <c r="D1599" s="16">
        <v>3.0</v>
      </c>
      <c r="E1599" s="36"/>
      <c r="F1599" s="36"/>
      <c r="G1599" s="71"/>
      <c r="H1599" s="36"/>
      <c r="I1599" s="36"/>
      <c r="J1599" s="71"/>
      <c r="K1599" s="36"/>
      <c r="L1599" s="36"/>
      <c r="M1599" s="36"/>
      <c r="N1599" s="36"/>
      <c r="O1599" s="36"/>
      <c r="P1599" s="36"/>
    </row>
    <row r="1600" ht="14.25" customHeight="1">
      <c r="A1600" s="49"/>
      <c r="C1600" s="85" t="s">
        <v>22</v>
      </c>
      <c r="D1600" s="36"/>
      <c r="E1600" s="36"/>
      <c r="F1600" s="36"/>
      <c r="G1600" s="71"/>
      <c r="H1600" s="36"/>
      <c r="I1600" s="36"/>
      <c r="J1600" s="71"/>
      <c r="K1600" s="36"/>
      <c r="L1600" s="36"/>
      <c r="M1600" s="36"/>
      <c r="N1600" s="36"/>
      <c r="O1600" s="36"/>
      <c r="P1600" s="36"/>
    </row>
    <row r="1601" ht="14.25" customHeight="1">
      <c r="A1601" s="49"/>
      <c r="C1601" s="85" t="s">
        <v>23</v>
      </c>
      <c r="D1601" s="36"/>
      <c r="E1601" s="36"/>
      <c r="F1601" s="36"/>
      <c r="G1601" s="71"/>
      <c r="H1601" s="36"/>
      <c r="I1601" s="36"/>
      <c r="J1601" s="71"/>
      <c r="K1601" s="36"/>
      <c r="L1601" s="36"/>
      <c r="M1601" s="36"/>
      <c r="N1601" s="36"/>
      <c r="O1601" s="36"/>
      <c r="P1601" s="36"/>
    </row>
    <row r="1602" ht="14.25" customHeight="1">
      <c r="A1602" s="49"/>
      <c r="C1602" s="85" t="s">
        <v>24</v>
      </c>
      <c r="D1602" s="36"/>
      <c r="E1602" s="36"/>
      <c r="F1602" s="36"/>
      <c r="G1602" s="71"/>
      <c r="H1602" s="36"/>
      <c r="I1602" s="36"/>
      <c r="J1602" s="71"/>
      <c r="K1602" s="36"/>
      <c r="L1602" s="36"/>
      <c r="M1602" s="36"/>
      <c r="N1602" s="36"/>
      <c r="O1602" s="36"/>
      <c r="P1602" s="36"/>
    </row>
    <row r="1603" ht="14.25" customHeight="1">
      <c r="A1603" s="49"/>
      <c r="C1603" s="85" t="s">
        <v>25</v>
      </c>
      <c r="D1603" s="36"/>
      <c r="E1603" s="36"/>
      <c r="F1603" s="36"/>
      <c r="G1603" s="71"/>
      <c r="H1603" s="36"/>
      <c r="I1603" s="36"/>
      <c r="J1603" s="71"/>
      <c r="K1603" s="36"/>
      <c r="L1603" s="36"/>
      <c r="M1603" s="36"/>
      <c r="N1603" s="36"/>
      <c r="O1603" s="36"/>
      <c r="P1603" s="36"/>
    </row>
    <row r="1604" ht="14.25" customHeight="1">
      <c r="A1604" s="56"/>
      <c r="B1604" s="57"/>
      <c r="C1604" s="86" t="s">
        <v>26</v>
      </c>
      <c r="D1604" s="87"/>
      <c r="E1604" s="87"/>
      <c r="F1604" s="87"/>
      <c r="G1604" s="88"/>
      <c r="H1604" s="87"/>
      <c r="I1604" s="87"/>
      <c r="J1604" s="88"/>
      <c r="K1604" s="87"/>
      <c r="L1604" s="87"/>
      <c r="M1604" s="87"/>
      <c r="N1604" s="87"/>
      <c r="O1604" s="87"/>
      <c r="P1604" s="87"/>
    </row>
    <row r="1605" ht="14.25" customHeight="1">
      <c r="A1605" s="97">
        <v>45883.0</v>
      </c>
      <c r="B1605" s="16" t="s">
        <v>44</v>
      </c>
      <c r="C1605" s="84" t="s">
        <v>20</v>
      </c>
      <c r="D1605" s="67"/>
      <c r="E1605" s="67"/>
      <c r="F1605" s="67"/>
      <c r="G1605" s="64" t="s">
        <v>74</v>
      </c>
      <c r="H1605" s="67"/>
      <c r="I1605" s="67"/>
      <c r="J1605" s="68"/>
      <c r="K1605" s="65"/>
      <c r="L1605" s="67"/>
      <c r="M1605" s="67"/>
      <c r="N1605" s="67"/>
      <c r="O1605" s="67"/>
      <c r="P1605" s="67"/>
    </row>
    <row r="1606" ht="14.25" customHeight="1">
      <c r="A1606" s="49"/>
      <c r="C1606" s="85" t="s">
        <v>21</v>
      </c>
      <c r="D1606" s="36"/>
      <c r="E1606" s="16" t="s">
        <v>75</v>
      </c>
      <c r="F1606" s="36"/>
      <c r="G1606" s="71"/>
      <c r="H1606" s="16">
        <v>1.0</v>
      </c>
      <c r="I1606" s="36"/>
      <c r="J1606" s="71"/>
      <c r="K1606" s="36"/>
      <c r="L1606" s="36"/>
      <c r="M1606" s="36"/>
      <c r="N1606" s="36"/>
      <c r="O1606" s="36"/>
      <c r="P1606" s="36"/>
    </row>
    <row r="1607" ht="14.25" customHeight="1">
      <c r="A1607" s="49"/>
      <c r="C1607" s="85" t="s">
        <v>22</v>
      </c>
      <c r="D1607" s="36"/>
      <c r="E1607" s="36"/>
      <c r="F1607" s="36"/>
      <c r="G1607" s="71"/>
      <c r="H1607" s="36"/>
      <c r="I1607" s="36"/>
      <c r="J1607" s="71"/>
      <c r="K1607" s="36"/>
      <c r="L1607" s="36"/>
      <c r="M1607" s="36"/>
      <c r="N1607" s="36"/>
      <c r="O1607" s="36"/>
      <c r="P1607" s="36"/>
    </row>
    <row r="1608" ht="14.25" customHeight="1">
      <c r="A1608" s="49"/>
      <c r="C1608" s="85" t="s">
        <v>23</v>
      </c>
      <c r="D1608" s="36"/>
      <c r="E1608" s="36"/>
      <c r="F1608" s="36"/>
      <c r="G1608" s="71"/>
      <c r="H1608" s="36"/>
      <c r="I1608" s="36"/>
      <c r="J1608" s="71"/>
      <c r="K1608" s="36"/>
      <c r="L1608" s="36"/>
      <c r="M1608" s="36"/>
      <c r="N1608" s="36"/>
      <c r="O1608" s="36"/>
      <c r="P1608" s="36"/>
    </row>
    <row r="1609" ht="14.25" customHeight="1">
      <c r="A1609" s="49"/>
      <c r="C1609" s="85" t="s">
        <v>24</v>
      </c>
      <c r="D1609" s="36"/>
      <c r="E1609" s="36"/>
      <c r="F1609" s="36"/>
      <c r="G1609" s="71"/>
      <c r="H1609" s="36"/>
      <c r="I1609" s="36"/>
      <c r="J1609" s="71"/>
      <c r="K1609" s="36"/>
      <c r="L1609" s="36"/>
      <c r="M1609" s="36"/>
      <c r="N1609" s="36"/>
      <c r="O1609" s="36"/>
      <c r="P1609" s="36"/>
    </row>
    <row r="1610" ht="14.25" customHeight="1">
      <c r="A1610" s="49"/>
      <c r="C1610" s="85" t="s">
        <v>25</v>
      </c>
      <c r="D1610" s="36"/>
      <c r="E1610" s="36"/>
      <c r="F1610" s="36"/>
      <c r="G1610" s="71"/>
      <c r="H1610" s="36"/>
      <c r="I1610" s="36"/>
      <c r="J1610" s="71"/>
      <c r="K1610" s="36"/>
      <c r="L1610" s="36"/>
      <c r="M1610" s="36"/>
      <c r="N1610" s="36"/>
      <c r="O1610" s="36"/>
      <c r="P1610" s="36"/>
    </row>
    <row r="1611" ht="14.25" customHeight="1">
      <c r="A1611" s="56"/>
      <c r="B1611" s="57"/>
      <c r="C1611" s="86" t="s">
        <v>26</v>
      </c>
      <c r="D1611" s="87"/>
      <c r="E1611" s="87"/>
      <c r="F1611" s="87"/>
      <c r="G1611" s="88"/>
      <c r="H1611" s="87"/>
      <c r="I1611" s="87"/>
      <c r="J1611" s="88"/>
      <c r="K1611" s="87"/>
      <c r="L1611" s="87"/>
      <c r="M1611" s="87"/>
      <c r="N1611" s="87"/>
      <c r="O1611" s="87"/>
      <c r="P1611" s="87"/>
    </row>
    <row r="1612" ht="14.25" customHeight="1">
      <c r="A1612" s="97">
        <v>45883.0</v>
      </c>
      <c r="B1612" s="94" t="s">
        <v>45</v>
      </c>
      <c r="C1612" s="84" t="s">
        <v>20</v>
      </c>
      <c r="D1612" s="66">
        <v>1.0</v>
      </c>
      <c r="E1612" s="67"/>
      <c r="F1612" s="67"/>
      <c r="G1612" s="68"/>
      <c r="H1612" s="67"/>
      <c r="I1612" s="67"/>
      <c r="J1612" s="68"/>
      <c r="K1612" s="65"/>
      <c r="L1612" s="67"/>
      <c r="M1612" s="67"/>
      <c r="N1612" s="67"/>
      <c r="O1612" s="67"/>
      <c r="P1612" s="67"/>
    </row>
    <row r="1613" ht="14.25" customHeight="1">
      <c r="A1613" s="49"/>
      <c r="C1613" s="85" t="s">
        <v>21</v>
      </c>
      <c r="D1613" s="16">
        <v>2.0</v>
      </c>
      <c r="E1613" s="36"/>
      <c r="F1613" s="36"/>
      <c r="G1613" s="71"/>
      <c r="H1613" s="16">
        <v>2.0</v>
      </c>
      <c r="I1613" s="36"/>
      <c r="J1613" s="71"/>
      <c r="K1613" s="36"/>
      <c r="L1613" s="36"/>
      <c r="M1613" s="36"/>
      <c r="N1613" s="36"/>
      <c r="O1613" s="36"/>
      <c r="P1613" s="36"/>
    </row>
    <row r="1614" ht="14.25" customHeight="1">
      <c r="A1614" s="49"/>
      <c r="C1614" s="85" t="s">
        <v>22</v>
      </c>
      <c r="D1614" s="36"/>
      <c r="E1614" s="36"/>
      <c r="F1614" s="36"/>
      <c r="G1614" s="71"/>
      <c r="H1614" s="36"/>
      <c r="I1614" s="36"/>
      <c r="J1614" s="71"/>
      <c r="K1614" s="36"/>
      <c r="L1614" s="36"/>
      <c r="M1614" s="36"/>
      <c r="N1614" s="36"/>
      <c r="O1614" s="36"/>
      <c r="P1614" s="36"/>
    </row>
    <row r="1615" ht="14.25" customHeight="1">
      <c r="A1615" s="49"/>
      <c r="C1615" s="85" t="s">
        <v>23</v>
      </c>
      <c r="D1615" s="36"/>
      <c r="E1615" s="36"/>
      <c r="F1615" s="36"/>
      <c r="G1615" s="71"/>
      <c r="H1615" s="36"/>
      <c r="I1615" s="36"/>
      <c r="J1615" s="71"/>
      <c r="K1615" s="36"/>
      <c r="L1615" s="36"/>
      <c r="M1615" s="36"/>
      <c r="N1615" s="36"/>
      <c r="O1615" s="36"/>
      <c r="P1615" s="36"/>
    </row>
    <row r="1616" ht="14.25" customHeight="1">
      <c r="A1616" s="49"/>
      <c r="C1616" s="85" t="s">
        <v>24</v>
      </c>
      <c r="D1616" s="36"/>
      <c r="E1616" s="36"/>
      <c r="F1616" s="36"/>
      <c r="G1616" s="71"/>
      <c r="H1616" s="36"/>
      <c r="I1616" s="36"/>
      <c r="J1616" s="71"/>
      <c r="K1616" s="36"/>
      <c r="L1616" s="36"/>
      <c r="M1616" s="36"/>
      <c r="N1616" s="36"/>
      <c r="O1616" s="36"/>
      <c r="P1616" s="36"/>
    </row>
    <row r="1617" ht="14.25" customHeight="1">
      <c r="A1617" s="49"/>
      <c r="C1617" s="85" t="s">
        <v>25</v>
      </c>
      <c r="D1617" s="36"/>
      <c r="E1617" s="36"/>
      <c r="F1617" s="36"/>
      <c r="G1617" s="71"/>
      <c r="H1617" s="36"/>
      <c r="I1617" s="36"/>
      <c r="J1617" s="71"/>
      <c r="K1617" s="36"/>
      <c r="L1617" s="36"/>
      <c r="M1617" s="36"/>
      <c r="N1617" s="36"/>
      <c r="O1617" s="36"/>
      <c r="P1617" s="36"/>
    </row>
    <row r="1618" ht="14.25" customHeight="1">
      <c r="A1618" s="56"/>
      <c r="B1618" s="57"/>
      <c r="C1618" s="86" t="s">
        <v>26</v>
      </c>
      <c r="D1618" s="87"/>
      <c r="E1618" s="87"/>
      <c r="F1618" s="87"/>
      <c r="G1618" s="88"/>
      <c r="H1618" s="87"/>
      <c r="I1618" s="87"/>
      <c r="J1618" s="88"/>
      <c r="K1618" s="87"/>
      <c r="L1618" s="87"/>
      <c r="M1618" s="87"/>
      <c r="N1618" s="87"/>
      <c r="O1618" s="87"/>
      <c r="P1618" s="87"/>
    </row>
    <row r="1619" ht="14.25" customHeight="1">
      <c r="A1619" s="97">
        <v>45884.0</v>
      </c>
      <c r="B1619" s="94" t="s">
        <v>66</v>
      </c>
      <c r="C1619" s="84" t="s">
        <v>20</v>
      </c>
      <c r="D1619" s="66">
        <v>1.0</v>
      </c>
      <c r="E1619" s="67"/>
      <c r="F1619" s="67"/>
      <c r="G1619" s="68"/>
      <c r="H1619" s="67"/>
      <c r="I1619" s="67"/>
      <c r="J1619" s="68"/>
      <c r="K1619" s="65"/>
      <c r="L1619" s="67"/>
      <c r="M1619" s="67"/>
      <c r="N1619" s="67"/>
      <c r="O1619" s="67"/>
      <c r="P1619" s="67"/>
    </row>
    <row r="1620" ht="14.25" customHeight="1">
      <c r="A1620" s="49"/>
      <c r="C1620" s="85" t="s">
        <v>21</v>
      </c>
      <c r="D1620" s="16">
        <v>1.0</v>
      </c>
      <c r="E1620" s="36"/>
      <c r="F1620" s="36"/>
      <c r="G1620" s="71"/>
      <c r="H1620" s="36"/>
      <c r="I1620" s="36"/>
      <c r="J1620" s="71"/>
      <c r="K1620" s="36"/>
      <c r="L1620" s="36"/>
      <c r="M1620" s="36"/>
      <c r="N1620" s="36"/>
      <c r="O1620" s="36"/>
      <c r="P1620" s="36"/>
    </row>
    <row r="1621" ht="14.25" customHeight="1">
      <c r="A1621" s="49"/>
      <c r="C1621" s="85" t="s">
        <v>22</v>
      </c>
      <c r="D1621" s="36"/>
      <c r="E1621" s="36"/>
      <c r="F1621" s="36"/>
      <c r="G1621" s="71"/>
      <c r="H1621" s="36"/>
      <c r="I1621" s="36"/>
      <c r="J1621" s="71"/>
      <c r="K1621" s="36"/>
      <c r="L1621" s="36"/>
      <c r="M1621" s="36"/>
      <c r="N1621" s="36"/>
      <c r="O1621" s="36"/>
      <c r="P1621" s="36"/>
    </row>
    <row r="1622" ht="14.25" customHeight="1">
      <c r="A1622" s="49"/>
      <c r="C1622" s="85" t="s">
        <v>23</v>
      </c>
      <c r="D1622" s="36"/>
      <c r="E1622" s="36"/>
      <c r="F1622" s="36"/>
      <c r="G1622" s="71"/>
      <c r="H1622" s="36"/>
      <c r="I1622" s="36"/>
      <c r="J1622" s="71"/>
      <c r="K1622" s="36"/>
      <c r="L1622" s="36"/>
      <c r="M1622" s="36"/>
      <c r="N1622" s="36"/>
      <c r="O1622" s="36"/>
      <c r="P1622" s="36"/>
    </row>
    <row r="1623" ht="14.25" customHeight="1">
      <c r="A1623" s="49"/>
      <c r="C1623" s="85" t="s">
        <v>24</v>
      </c>
      <c r="D1623" s="36"/>
      <c r="E1623" s="36"/>
      <c r="F1623" s="36"/>
      <c r="G1623" s="71"/>
      <c r="H1623" s="36"/>
      <c r="I1623" s="36"/>
      <c r="J1623" s="71"/>
      <c r="K1623" s="36"/>
      <c r="L1623" s="36"/>
      <c r="M1623" s="36"/>
      <c r="N1623" s="36"/>
      <c r="O1623" s="36"/>
      <c r="P1623" s="36"/>
    </row>
    <row r="1624" ht="14.25" customHeight="1">
      <c r="A1624" s="49"/>
      <c r="C1624" s="85" t="s">
        <v>25</v>
      </c>
      <c r="D1624" s="36"/>
      <c r="E1624" s="36"/>
      <c r="F1624" s="36"/>
      <c r="G1624" s="71"/>
      <c r="H1624" s="36"/>
      <c r="I1624" s="36"/>
      <c r="J1624" s="71"/>
      <c r="K1624" s="36"/>
      <c r="L1624" s="36"/>
      <c r="M1624" s="36"/>
      <c r="N1624" s="36"/>
      <c r="O1624" s="36"/>
      <c r="P1624" s="36"/>
    </row>
    <row r="1625" ht="14.25" customHeight="1">
      <c r="A1625" s="56"/>
      <c r="B1625" s="57"/>
      <c r="C1625" s="86" t="s">
        <v>26</v>
      </c>
      <c r="D1625" s="87"/>
      <c r="E1625" s="87"/>
      <c r="F1625" s="87"/>
      <c r="G1625" s="88"/>
      <c r="H1625" s="87"/>
      <c r="I1625" s="87"/>
      <c r="J1625" s="88"/>
      <c r="K1625" s="87"/>
      <c r="L1625" s="87"/>
      <c r="M1625" s="87"/>
      <c r="N1625" s="87"/>
      <c r="O1625" s="87"/>
      <c r="P1625" s="87"/>
    </row>
    <row r="1626" ht="14.25" customHeight="1">
      <c r="A1626" s="97">
        <v>45884.0</v>
      </c>
      <c r="B1626" s="66" t="s">
        <v>68</v>
      </c>
      <c r="C1626" s="84" t="s">
        <v>20</v>
      </c>
      <c r="D1626" s="67"/>
      <c r="E1626" s="67"/>
      <c r="F1626" s="67"/>
      <c r="G1626" s="68"/>
      <c r="H1626" s="67"/>
      <c r="I1626" s="67"/>
      <c r="J1626" s="68"/>
      <c r="K1626" s="65"/>
      <c r="L1626" s="67"/>
      <c r="M1626" s="67"/>
      <c r="N1626" s="67"/>
      <c r="O1626" s="67"/>
      <c r="P1626" s="67"/>
    </row>
    <row r="1627" ht="14.25" customHeight="1">
      <c r="A1627" s="49"/>
      <c r="C1627" s="85" t="s">
        <v>21</v>
      </c>
      <c r="D1627" s="36"/>
      <c r="E1627" s="36"/>
      <c r="F1627" s="36"/>
      <c r="G1627" s="69">
        <v>1.0</v>
      </c>
      <c r="H1627" s="36"/>
      <c r="I1627" s="36"/>
      <c r="J1627" s="71"/>
      <c r="K1627" s="36"/>
      <c r="L1627" s="36"/>
      <c r="M1627" s="36"/>
      <c r="N1627" s="36"/>
      <c r="O1627" s="36"/>
      <c r="P1627" s="36"/>
    </row>
    <row r="1628" ht="14.25" customHeight="1">
      <c r="A1628" s="49"/>
      <c r="C1628" s="85" t="s">
        <v>22</v>
      </c>
      <c r="D1628" s="36"/>
      <c r="E1628" s="36"/>
      <c r="F1628" s="36"/>
      <c r="G1628" s="71"/>
      <c r="H1628" s="36"/>
      <c r="I1628" s="36"/>
      <c r="J1628" s="71"/>
      <c r="K1628" s="36"/>
      <c r="L1628" s="36"/>
      <c r="M1628" s="36"/>
      <c r="N1628" s="36"/>
      <c r="O1628" s="36"/>
      <c r="P1628" s="36"/>
    </row>
    <row r="1629" ht="14.25" customHeight="1">
      <c r="A1629" s="49"/>
      <c r="C1629" s="85" t="s">
        <v>23</v>
      </c>
      <c r="D1629" s="36"/>
      <c r="E1629" s="36"/>
      <c r="F1629" s="36"/>
      <c r="G1629" s="71"/>
      <c r="H1629" s="36"/>
      <c r="I1629" s="36"/>
      <c r="J1629" s="71"/>
      <c r="K1629" s="36"/>
      <c r="L1629" s="36"/>
      <c r="M1629" s="36"/>
      <c r="N1629" s="36"/>
      <c r="O1629" s="36"/>
      <c r="P1629" s="36"/>
    </row>
    <row r="1630" ht="14.25" customHeight="1">
      <c r="A1630" s="49"/>
      <c r="C1630" s="85" t="s">
        <v>24</v>
      </c>
      <c r="D1630" s="36"/>
      <c r="E1630" s="36"/>
      <c r="F1630" s="36"/>
      <c r="G1630" s="71"/>
      <c r="H1630" s="36"/>
      <c r="I1630" s="36"/>
      <c r="J1630" s="71"/>
      <c r="K1630" s="36"/>
      <c r="L1630" s="36"/>
      <c r="M1630" s="36"/>
      <c r="N1630" s="36"/>
      <c r="O1630" s="36"/>
      <c r="P1630" s="36"/>
    </row>
    <row r="1631" ht="14.25" customHeight="1">
      <c r="A1631" s="49"/>
      <c r="C1631" s="85" t="s">
        <v>25</v>
      </c>
      <c r="D1631" s="36"/>
      <c r="E1631" s="36"/>
      <c r="F1631" s="36"/>
      <c r="G1631" s="71"/>
      <c r="H1631" s="36"/>
      <c r="I1631" s="36"/>
      <c r="J1631" s="71"/>
      <c r="K1631" s="36"/>
      <c r="L1631" s="36"/>
      <c r="M1631" s="36"/>
      <c r="N1631" s="36"/>
      <c r="O1631" s="36"/>
      <c r="P1631" s="36"/>
    </row>
    <row r="1632" ht="14.25" customHeight="1">
      <c r="A1632" s="56"/>
      <c r="B1632" s="57"/>
      <c r="C1632" s="86" t="s">
        <v>26</v>
      </c>
      <c r="D1632" s="87"/>
      <c r="E1632" s="87"/>
      <c r="F1632" s="87"/>
      <c r="G1632" s="88"/>
      <c r="H1632" s="87"/>
      <c r="I1632" s="87"/>
      <c r="J1632" s="88"/>
      <c r="K1632" s="87"/>
      <c r="L1632" s="87"/>
      <c r="M1632" s="87"/>
      <c r="N1632" s="87"/>
      <c r="O1632" s="87"/>
      <c r="P1632" s="87"/>
    </row>
    <row r="1633" ht="14.25" customHeight="1">
      <c r="A1633" s="97">
        <v>45884.0</v>
      </c>
      <c r="B1633" s="66" t="s">
        <v>42</v>
      </c>
      <c r="C1633" s="84" t="s">
        <v>20</v>
      </c>
      <c r="D1633" s="66">
        <v>2.0</v>
      </c>
      <c r="E1633" s="66">
        <v>2.0</v>
      </c>
      <c r="F1633" s="67"/>
      <c r="G1633" s="68"/>
      <c r="H1633" s="66">
        <v>2.0</v>
      </c>
      <c r="I1633" s="66">
        <v>1.0</v>
      </c>
      <c r="J1633" s="68"/>
      <c r="K1633" s="65"/>
      <c r="L1633" s="67"/>
      <c r="M1633" s="67"/>
      <c r="N1633" s="67"/>
      <c r="O1633" s="67"/>
      <c r="P1633" s="67"/>
    </row>
    <row r="1634" ht="14.25" customHeight="1">
      <c r="A1634" s="49"/>
      <c r="C1634" s="85" t="s">
        <v>21</v>
      </c>
      <c r="D1634" s="16">
        <v>2.0</v>
      </c>
      <c r="E1634" s="36"/>
      <c r="F1634" s="36"/>
      <c r="G1634" s="71"/>
      <c r="H1634" s="16">
        <v>1.0</v>
      </c>
      <c r="I1634" s="36"/>
      <c r="J1634" s="71"/>
      <c r="K1634" s="36"/>
      <c r="L1634" s="36"/>
      <c r="M1634" s="36"/>
      <c r="N1634" s="36"/>
      <c r="O1634" s="36"/>
      <c r="P1634" s="36"/>
    </row>
    <row r="1635" ht="14.25" customHeight="1">
      <c r="A1635" s="49"/>
      <c r="C1635" s="85" t="s">
        <v>22</v>
      </c>
      <c r="D1635" s="36"/>
      <c r="E1635" s="36"/>
      <c r="F1635" s="36"/>
      <c r="G1635" s="71"/>
      <c r="H1635" s="36"/>
      <c r="I1635" s="36"/>
      <c r="J1635" s="71"/>
      <c r="K1635" s="36"/>
      <c r="L1635" s="36"/>
      <c r="M1635" s="36"/>
      <c r="N1635" s="36"/>
      <c r="O1635" s="36"/>
      <c r="P1635" s="36"/>
    </row>
    <row r="1636" ht="14.25" customHeight="1">
      <c r="A1636" s="49"/>
      <c r="C1636" s="85" t="s">
        <v>23</v>
      </c>
      <c r="D1636" s="36"/>
      <c r="E1636" s="36"/>
      <c r="F1636" s="36"/>
      <c r="G1636" s="71"/>
      <c r="H1636" s="36"/>
      <c r="I1636" s="36"/>
      <c r="J1636" s="71"/>
      <c r="K1636" s="36"/>
      <c r="L1636" s="36"/>
      <c r="M1636" s="36"/>
      <c r="N1636" s="36"/>
      <c r="O1636" s="36"/>
      <c r="P1636" s="36"/>
    </row>
    <row r="1637" ht="14.25" customHeight="1">
      <c r="A1637" s="49"/>
      <c r="C1637" s="85" t="s">
        <v>24</v>
      </c>
      <c r="D1637" s="36"/>
      <c r="E1637" s="36"/>
      <c r="F1637" s="36"/>
      <c r="G1637" s="71"/>
      <c r="H1637" s="36"/>
      <c r="I1637" s="36"/>
      <c r="J1637" s="71"/>
      <c r="K1637" s="36"/>
      <c r="L1637" s="36"/>
      <c r="M1637" s="36"/>
      <c r="N1637" s="36"/>
      <c r="O1637" s="36"/>
      <c r="P1637" s="36"/>
    </row>
    <row r="1638" ht="14.25" customHeight="1">
      <c r="A1638" s="49"/>
      <c r="C1638" s="85" t="s">
        <v>25</v>
      </c>
      <c r="D1638" s="36"/>
      <c r="E1638" s="36"/>
      <c r="F1638" s="36"/>
      <c r="G1638" s="71"/>
      <c r="H1638" s="36"/>
      <c r="I1638" s="36"/>
      <c r="J1638" s="71"/>
      <c r="K1638" s="36"/>
      <c r="L1638" s="36"/>
      <c r="M1638" s="36"/>
      <c r="N1638" s="36"/>
      <c r="O1638" s="36"/>
      <c r="P1638" s="36"/>
    </row>
    <row r="1639" ht="14.25" customHeight="1">
      <c r="A1639" s="56"/>
      <c r="B1639" s="57"/>
      <c r="C1639" s="86" t="s">
        <v>26</v>
      </c>
      <c r="D1639" s="87"/>
      <c r="E1639" s="87"/>
      <c r="F1639" s="87"/>
      <c r="G1639" s="88"/>
      <c r="H1639" s="87"/>
      <c r="I1639" s="87"/>
      <c r="J1639" s="88"/>
      <c r="K1639" s="87"/>
      <c r="L1639" s="87"/>
      <c r="M1639" s="87"/>
      <c r="N1639" s="87"/>
      <c r="O1639" s="87"/>
      <c r="P1639" s="87"/>
    </row>
    <row r="1640" ht="14.25" customHeight="1">
      <c r="A1640" s="97">
        <v>45884.0</v>
      </c>
      <c r="B1640" s="66" t="s">
        <v>41</v>
      </c>
      <c r="C1640" s="84" t="s">
        <v>20</v>
      </c>
      <c r="D1640" s="67"/>
      <c r="E1640" s="67"/>
      <c r="F1640" s="67"/>
      <c r="G1640" s="68"/>
      <c r="H1640" s="67"/>
      <c r="I1640" s="67"/>
      <c r="J1640" s="68"/>
      <c r="K1640" s="65"/>
      <c r="L1640" s="67"/>
      <c r="M1640" s="67"/>
      <c r="N1640" s="67"/>
      <c r="O1640" s="67"/>
      <c r="P1640" s="67"/>
    </row>
    <row r="1641" ht="14.25" customHeight="1">
      <c r="A1641" s="49"/>
      <c r="C1641" s="85" t="s">
        <v>21</v>
      </c>
      <c r="D1641" s="16">
        <v>1.0</v>
      </c>
      <c r="E1641" s="16">
        <v>1.0</v>
      </c>
      <c r="F1641" s="16">
        <v>2.0</v>
      </c>
      <c r="G1641" s="71"/>
      <c r="H1641" s="36"/>
      <c r="I1641" s="36"/>
      <c r="J1641" s="71"/>
      <c r="K1641" s="36"/>
      <c r="L1641" s="36"/>
      <c r="M1641" s="36"/>
      <c r="N1641" s="16">
        <v>3.0</v>
      </c>
      <c r="O1641" s="36"/>
      <c r="P1641" s="36"/>
    </row>
    <row r="1642" ht="14.25" customHeight="1">
      <c r="A1642" s="49"/>
      <c r="C1642" s="85" t="s">
        <v>22</v>
      </c>
      <c r="D1642" s="36"/>
      <c r="E1642" s="36"/>
      <c r="F1642" s="36"/>
      <c r="G1642" s="71"/>
      <c r="H1642" s="36"/>
      <c r="I1642" s="36"/>
      <c r="J1642" s="71"/>
      <c r="K1642" s="36"/>
      <c r="L1642" s="36"/>
      <c r="M1642" s="36"/>
      <c r="N1642" s="36"/>
      <c r="O1642" s="36"/>
      <c r="P1642" s="36"/>
    </row>
    <row r="1643" ht="14.25" customHeight="1">
      <c r="A1643" s="49"/>
      <c r="C1643" s="85" t="s">
        <v>23</v>
      </c>
      <c r="D1643" s="16">
        <v>1.0</v>
      </c>
      <c r="E1643" s="36"/>
      <c r="F1643" s="36"/>
      <c r="G1643" s="71"/>
      <c r="H1643" s="36"/>
      <c r="I1643" s="36"/>
      <c r="J1643" s="71"/>
      <c r="K1643" s="36"/>
      <c r="L1643" s="36"/>
      <c r="M1643" s="36"/>
      <c r="N1643" s="36"/>
      <c r="O1643" s="36"/>
      <c r="P1643" s="36"/>
    </row>
    <row r="1644" ht="14.25" customHeight="1">
      <c r="A1644" s="49"/>
      <c r="C1644" s="85" t="s">
        <v>24</v>
      </c>
      <c r="D1644" s="36"/>
      <c r="E1644" s="36"/>
      <c r="F1644" s="36"/>
      <c r="G1644" s="71"/>
      <c r="H1644" s="36"/>
      <c r="I1644" s="36"/>
      <c r="J1644" s="71"/>
      <c r="K1644" s="36"/>
      <c r="L1644" s="36"/>
      <c r="M1644" s="36"/>
      <c r="N1644" s="36"/>
      <c r="O1644" s="36"/>
      <c r="P1644" s="36"/>
    </row>
    <row r="1645" ht="14.25" customHeight="1">
      <c r="A1645" s="49"/>
      <c r="C1645" s="85" t="s">
        <v>25</v>
      </c>
      <c r="D1645" s="36"/>
      <c r="E1645" s="36"/>
      <c r="F1645" s="36"/>
      <c r="G1645" s="71"/>
      <c r="H1645" s="36"/>
      <c r="I1645" s="36"/>
      <c r="J1645" s="71"/>
      <c r="K1645" s="36"/>
      <c r="L1645" s="36"/>
      <c r="M1645" s="36"/>
      <c r="N1645" s="36"/>
      <c r="O1645" s="36"/>
      <c r="P1645" s="36"/>
    </row>
    <row r="1646" ht="14.25" customHeight="1">
      <c r="A1646" s="56"/>
      <c r="B1646" s="57"/>
      <c r="C1646" s="86" t="s">
        <v>26</v>
      </c>
      <c r="D1646" s="87"/>
      <c r="E1646" s="87"/>
      <c r="F1646" s="87"/>
      <c r="G1646" s="88"/>
      <c r="H1646" s="87"/>
      <c r="I1646" s="87"/>
      <c r="J1646" s="88"/>
      <c r="K1646" s="87"/>
      <c r="L1646" s="87"/>
      <c r="M1646" s="87"/>
      <c r="N1646" s="87"/>
      <c r="O1646" s="87"/>
      <c r="P1646" s="87"/>
    </row>
    <row r="1647" ht="14.25" customHeight="1">
      <c r="A1647" s="97">
        <v>45884.0</v>
      </c>
      <c r="B1647" s="66" t="s">
        <v>42</v>
      </c>
      <c r="C1647" s="84" t="s">
        <v>20</v>
      </c>
      <c r="D1647" s="66">
        <v>1.0</v>
      </c>
      <c r="E1647" s="66">
        <v>1.0</v>
      </c>
      <c r="F1647" s="67"/>
      <c r="G1647" s="68"/>
      <c r="H1647" s="66">
        <v>1.0</v>
      </c>
      <c r="I1647" s="67"/>
      <c r="J1647" s="68"/>
      <c r="K1647" s="65"/>
      <c r="L1647" s="67"/>
      <c r="M1647" s="67"/>
      <c r="N1647" s="67"/>
      <c r="O1647" s="67"/>
      <c r="P1647" s="67"/>
    </row>
    <row r="1648" ht="14.25" customHeight="1">
      <c r="A1648" s="49"/>
      <c r="C1648" s="85" t="s">
        <v>21</v>
      </c>
      <c r="D1648" s="36"/>
      <c r="E1648" s="36"/>
      <c r="F1648" s="36"/>
      <c r="G1648" s="71"/>
      <c r="H1648" s="36"/>
      <c r="I1648" s="36"/>
      <c r="J1648" s="71"/>
      <c r="K1648" s="36"/>
      <c r="L1648" s="36"/>
      <c r="M1648" s="36"/>
      <c r="N1648" s="36"/>
      <c r="O1648" s="36"/>
      <c r="P1648" s="36"/>
    </row>
    <row r="1649" ht="14.25" customHeight="1">
      <c r="A1649" s="49"/>
      <c r="C1649" s="85" t="s">
        <v>22</v>
      </c>
      <c r="D1649" s="36"/>
      <c r="E1649" s="36"/>
      <c r="F1649" s="36"/>
      <c r="G1649" s="71"/>
      <c r="H1649" s="36"/>
      <c r="I1649" s="36"/>
      <c r="J1649" s="71"/>
      <c r="K1649" s="36"/>
      <c r="L1649" s="36"/>
      <c r="M1649" s="36"/>
      <c r="N1649" s="36"/>
      <c r="O1649" s="36"/>
      <c r="P1649" s="36"/>
    </row>
    <row r="1650" ht="14.25" customHeight="1">
      <c r="A1650" s="49"/>
      <c r="C1650" s="85" t="s">
        <v>23</v>
      </c>
      <c r="D1650" s="36"/>
      <c r="E1650" s="36"/>
      <c r="F1650" s="36"/>
      <c r="G1650" s="71"/>
      <c r="H1650" s="36"/>
      <c r="I1650" s="36"/>
      <c r="J1650" s="71"/>
      <c r="K1650" s="36"/>
      <c r="L1650" s="36"/>
      <c r="M1650" s="36"/>
      <c r="N1650" s="36"/>
      <c r="O1650" s="36"/>
      <c r="P1650" s="36"/>
    </row>
    <row r="1651" ht="14.25" customHeight="1">
      <c r="A1651" s="49"/>
      <c r="C1651" s="85" t="s">
        <v>24</v>
      </c>
      <c r="D1651" s="36"/>
      <c r="E1651" s="36"/>
      <c r="F1651" s="36"/>
      <c r="G1651" s="71"/>
      <c r="H1651" s="36"/>
      <c r="I1651" s="36"/>
      <c r="J1651" s="71"/>
      <c r="K1651" s="36"/>
      <c r="L1651" s="36"/>
      <c r="M1651" s="36"/>
      <c r="N1651" s="36"/>
      <c r="O1651" s="36"/>
      <c r="P1651" s="36"/>
    </row>
    <row r="1652" ht="14.25" customHeight="1">
      <c r="A1652" s="49"/>
      <c r="C1652" s="85" t="s">
        <v>25</v>
      </c>
      <c r="D1652" s="36"/>
      <c r="E1652" s="36"/>
      <c r="F1652" s="36"/>
      <c r="G1652" s="71"/>
      <c r="H1652" s="36"/>
      <c r="I1652" s="36"/>
      <c r="J1652" s="71"/>
      <c r="K1652" s="36"/>
      <c r="L1652" s="36"/>
      <c r="M1652" s="36"/>
      <c r="N1652" s="36"/>
      <c r="O1652" s="36"/>
      <c r="P1652" s="36"/>
    </row>
    <row r="1653" ht="14.25" customHeight="1">
      <c r="A1653" s="56"/>
      <c r="B1653" s="57"/>
      <c r="C1653" s="86" t="s">
        <v>26</v>
      </c>
      <c r="D1653" s="87"/>
      <c r="E1653" s="87"/>
      <c r="F1653" s="87"/>
      <c r="G1653" s="88"/>
      <c r="H1653" s="87"/>
      <c r="I1653" s="87"/>
      <c r="J1653" s="88"/>
      <c r="K1653" s="87"/>
      <c r="L1653" s="87"/>
      <c r="M1653" s="87"/>
      <c r="N1653" s="87"/>
      <c r="O1653" s="87"/>
      <c r="P1653" s="87"/>
    </row>
    <row r="1654" ht="14.25" customHeight="1">
      <c r="A1654" s="97">
        <v>45884.0</v>
      </c>
      <c r="B1654" s="66" t="s">
        <v>41</v>
      </c>
      <c r="C1654" s="84" t="s">
        <v>20</v>
      </c>
      <c r="D1654" s="66">
        <v>3.0</v>
      </c>
      <c r="E1654" s="67"/>
      <c r="F1654" s="67"/>
      <c r="G1654" s="68"/>
      <c r="H1654" s="67"/>
      <c r="I1654" s="66">
        <v>1.0</v>
      </c>
      <c r="J1654" s="68"/>
      <c r="K1654" s="65"/>
      <c r="L1654" s="67"/>
      <c r="M1654" s="67"/>
      <c r="N1654" s="67"/>
      <c r="O1654" s="67"/>
      <c r="P1654" s="67"/>
    </row>
    <row r="1655" ht="14.25" customHeight="1">
      <c r="A1655" s="49"/>
      <c r="C1655" s="85" t="s">
        <v>21</v>
      </c>
      <c r="D1655" s="36"/>
      <c r="E1655" s="36"/>
      <c r="F1655" s="36"/>
      <c r="G1655" s="71"/>
      <c r="H1655" s="36"/>
      <c r="I1655" s="36"/>
      <c r="J1655" s="71"/>
      <c r="K1655" s="36"/>
      <c r="L1655" s="36"/>
      <c r="M1655" s="36"/>
      <c r="N1655" s="36"/>
      <c r="O1655" s="36"/>
      <c r="P1655" s="36"/>
    </row>
    <row r="1656" ht="14.25" customHeight="1">
      <c r="A1656" s="49"/>
      <c r="C1656" s="85" t="s">
        <v>22</v>
      </c>
      <c r="D1656" s="36"/>
      <c r="E1656" s="36"/>
      <c r="F1656" s="36"/>
      <c r="G1656" s="71"/>
      <c r="H1656" s="36"/>
      <c r="I1656" s="36"/>
      <c r="J1656" s="71"/>
      <c r="K1656" s="36"/>
      <c r="L1656" s="36"/>
      <c r="M1656" s="36"/>
      <c r="N1656" s="36"/>
      <c r="O1656" s="36"/>
      <c r="P1656" s="36"/>
    </row>
    <row r="1657" ht="14.25" customHeight="1">
      <c r="A1657" s="49"/>
      <c r="C1657" s="85" t="s">
        <v>23</v>
      </c>
      <c r="D1657" s="16">
        <v>2.0</v>
      </c>
      <c r="E1657" s="36"/>
      <c r="F1657" s="36"/>
      <c r="G1657" s="71"/>
      <c r="H1657" s="36"/>
      <c r="I1657" s="36"/>
      <c r="J1657" s="71"/>
      <c r="K1657" s="36"/>
      <c r="L1657" s="36"/>
      <c r="M1657" s="36"/>
      <c r="N1657" s="36"/>
      <c r="O1657" s="36"/>
      <c r="P1657" s="36"/>
    </row>
    <row r="1658" ht="14.25" customHeight="1">
      <c r="A1658" s="49"/>
      <c r="C1658" s="85" t="s">
        <v>24</v>
      </c>
      <c r="D1658" s="36"/>
      <c r="E1658" s="36"/>
      <c r="F1658" s="36"/>
      <c r="G1658" s="71"/>
      <c r="H1658" s="36"/>
      <c r="I1658" s="36"/>
      <c r="J1658" s="71"/>
      <c r="K1658" s="36"/>
      <c r="L1658" s="36"/>
      <c r="M1658" s="36"/>
      <c r="N1658" s="36"/>
      <c r="O1658" s="36"/>
      <c r="P1658" s="36"/>
    </row>
    <row r="1659" ht="14.25" customHeight="1">
      <c r="A1659" s="49"/>
      <c r="C1659" s="85" t="s">
        <v>25</v>
      </c>
      <c r="D1659" s="36"/>
      <c r="E1659" s="36"/>
      <c r="F1659" s="36"/>
      <c r="G1659" s="71"/>
      <c r="H1659" s="36"/>
      <c r="I1659" s="36"/>
      <c r="J1659" s="71"/>
      <c r="K1659" s="36"/>
      <c r="L1659" s="36"/>
      <c r="M1659" s="36"/>
      <c r="N1659" s="36"/>
      <c r="O1659" s="36"/>
      <c r="P1659" s="36"/>
    </row>
    <row r="1660" ht="14.25" customHeight="1">
      <c r="A1660" s="56"/>
      <c r="B1660" s="57"/>
      <c r="C1660" s="86" t="s">
        <v>26</v>
      </c>
      <c r="D1660" s="87"/>
      <c r="E1660" s="87"/>
      <c r="F1660" s="87"/>
      <c r="G1660" s="88"/>
      <c r="H1660" s="87"/>
      <c r="I1660" s="87"/>
      <c r="J1660" s="88"/>
      <c r="K1660" s="87"/>
      <c r="L1660" s="87"/>
      <c r="M1660" s="87"/>
      <c r="N1660" s="87"/>
      <c r="O1660" s="87"/>
      <c r="P1660" s="87"/>
    </row>
    <row r="1661" ht="14.25" customHeight="1">
      <c r="A1661" s="97">
        <v>45884.0</v>
      </c>
      <c r="B1661" s="66" t="s">
        <v>42</v>
      </c>
      <c r="C1661" s="84" t="s">
        <v>20</v>
      </c>
      <c r="D1661" s="66">
        <v>3.0</v>
      </c>
      <c r="E1661" s="66">
        <v>1.0</v>
      </c>
      <c r="F1661" s="67"/>
      <c r="G1661" s="68"/>
      <c r="H1661" s="66">
        <v>3.0</v>
      </c>
      <c r="I1661" s="67"/>
      <c r="J1661" s="68"/>
      <c r="K1661" s="65"/>
      <c r="L1661" s="67"/>
      <c r="M1661" s="67"/>
      <c r="N1661" s="67"/>
      <c r="O1661" s="67"/>
      <c r="P1661" s="67"/>
    </row>
    <row r="1662" ht="14.25" customHeight="1">
      <c r="A1662" s="49"/>
      <c r="C1662" s="85" t="s">
        <v>21</v>
      </c>
      <c r="D1662" s="16">
        <v>1.0</v>
      </c>
      <c r="E1662" s="36"/>
      <c r="F1662" s="36"/>
      <c r="G1662" s="71"/>
      <c r="H1662" s="36"/>
      <c r="I1662" s="36"/>
      <c r="J1662" s="71"/>
      <c r="K1662" s="36"/>
      <c r="L1662" s="36"/>
      <c r="M1662" s="36"/>
      <c r="N1662" s="36"/>
      <c r="O1662" s="36"/>
      <c r="P1662" s="36"/>
    </row>
    <row r="1663" ht="14.25" customHeight="1">
      <c r="A1663" s="49"/>
      <c r="C1663" s="85" t="s">
        <v>22</v>
      </c>
      <c r="D1663" s="36"/>
      <c r="E1663" s="36"/>
      <c r="F1663" s="36"/>
      <c r="G1663" s="71"/>
      <c r="H1663" s="36"/>
      <c r="I1663" s="36"/>
      <c r="J1663" s="71"/>
      <c r="K1663" s="36"/>
      <c r="L1663" s="36"/>
      <c r="M1663" s="36"/>
      <c r="N1663" s="36"/>
      <c r="O1663" s="36"/>
      <c r="P1663" s="36"/>
    </row>
    <row r="1664" ht="14.25" customHeight="1">
      <c r="A1664" s="49"/>
      <c r="C1664" s="85" t="s">
        <v>23</v>
      </c>
      <c r="D1664" s="36"/>
      <c r="E1664" s="36"/>
      <c r="F1664" s="36"/>
      <c r="G1664" s="71"/>
      <c r="H1664" s="36"/>
      <c r="I1664" s="36"/>
      <c r="J1664" s="71"/>
      <c r="K1664" s="36"/>
      <c r="L1664" s="36"/>
      <c r="M1664" s="36"/>
      <c r="N1664" s="36"/>
      <c r="O1664" s="36"/>
      <c r="P1664" s="36"/>
    </row>
    <row r="1665" ht="14.25" customHeight="1">
      <c r="A1665" s="49"/>
      <c r="C1665" s="85" t="s">
        <v>24</v>
      </c>
      <c r="D1665" s="36"/>
      <c r="E1665" s="36"/>
      <c r="F1665" s="36"/>
      <c r="G1665" s="71"/>
      <c r="H1665" s="36"/>
      <c r="I1665" s="36"/>
      <c r="J1665" s="71"/>
      <c r="K1665" s="36"/>
      <c r="L1665" s="36"/>
      <c r="M1665" s="36"/>
      <c r="N1665" s="36"/>
      <c r="O1665" s="36"/>
      <c r="P1665" s="36"/>
    </row>
    <row r="1666" ht="14.25" customHeight="1">
      <c r="A1666" s="49"/>
      <c r="C1666" s="85" t="s">
        <v>25</v>
      </c>
      <c r="D1666" s="36"/>
      <c r="E1666" s="36"/>
      <c r="F1666" s="36"/>
      <c r="G1666" s="71"/>
      <c r="H1666" s="36"/>
      <c r="I1666" s="36"/>
      <c r="J1666" s="71"/>
      <c r="K1666" s="36"/>
      <c r="L1666" s="36"/>
      <c r="M1666" s="36"/>
      <c r="N1666" s="36"/>
      <c r="O1666" s="36"/>
      <c r="P1666" s="36"/>
    </row>
    <row r="1667" ht="14.25" customHeight="1">
      <c r="A1667" s="56"/>
      <c r="B1667" s="57"/>
      <c r="C1667" s="86" t="s">
        <v>26</v>
      </c>
      <c r="D1667" s="87"/>
      <c r="E1667" s="87"/>
      <c r="F1667" s="87"/>
      <c r="G1667" s="88"/>
      <c r="H1667" s="87"/>
      <c r="I1667" s="87"/>
      <c r="J1667" s="88"/>
      <c r="K1667" s="87"/>
      <c r="L1667" s="87"/>
      <c r="M1667" s="87"/>
      <c r="N1667" s="87"/>
      <c r="O1667" s="87"/>
      <c r="P1667" s="87"/>
    </row>
    <row r="1668" ht="14.25" customHeight="1">
      <c r="A1668" s="97">
        <v>45883.0</v>
      </c>
      <c r="B1668" s="66" t="s">
        <v>45</v>
      </c>
      <c r="C1668" s="84" t="s">
        <v>20</v>
      </c>
      <c r="D1668" s="66">
        <v>5.0</v>
      </c>
      <c r="E1668" s="66">
        <v>2.0</v>
      </c>
      <c r="F1668" s="67"/>
      <c r="G1668" s="68"/>
      <c r="H1668" s="66">
        <v>2.0</v>
      </c>
      <c r="I1668" s="67"/>
      <c r="J1668" s="68"/>
      <c r="K1668" s="65"/>
      <c r="L1668" s="67"/>
      <c r="M1668" s="67"/>
      <c r="N1668" s="67"/>
      <c r="O1668" s="67"/>
      <c r="P1668" s="67"/>
    </row>
    <row r="1669" ht="14.25" customHeight="1">
      <c r="A1669" s="49"/>
      <c r="C1669" s="85" t="s">
        <v>21</v>
      </c>
      <c r="D1669" s="16">
        <v>1.0</v>
      </c>
      <c r="E1669" s="36"/>
      <c r="F1669" s="36"/>
      <c r="G1669" s="69">
        <v>1.0</v>
      </c>
      <c r="H1669" s="36"/>
      <c r="I1669" s="36"/>
      <c r="J1669" s="71"/>
      <c r="K1669" s="36"/>
      <c r="L1669" s="36"/>
      <c r="M1669" s="36"/>
      <c r="N1669" s="16">
        <v>1.0</v>
      </c>
      <c r="O1669" s="36"/>
      <c r="P1669" s="36"/>
    </row>
    <row r="1670" ht="14.25" customHeight="1">
      <c r="A1670" s="49"/>
      <c r="C1670" s="85" t="s">
        <v>22</v>
      </c>
      <c r="D1670" s="36"/>
      <c r="E1670" s="36"/>
      <c r="F1670" s="36"/>
      <c r="G1670" s="71"/>
      <c r="H1670" s="36"/>
      <c r="I1670" s="36"/>
      <c r="J1670" s="71"/>
      <c r="K1670" s="36"/>
      <c r="L1670" s="36"/>
      <c r="M1670" s="36"/>
      <c r="N1670" s="36"/>
      <c r="O1670" s="36"/>
      <c r="P1670" s="36"/>
    </row>
    <row r="1671" ht="14.25" customHeight="1">
      <c r="A1671" s="49"/>
      <c r="C1671" s="85" t="s">
        <v>23</v>
      </c>
      <c r="D1671" s="36"/>
      <c r="E1671" s="36"/>
      <c r="F1671" s="36"/>
      <c r="G1671" s="71"/>
      <c r="H1671" s="36"/>
      <c r="I1671" s="36"/>
      <c r="J1671" s="71"/>
      <c r="K1671" s="36"/>
      <c r="L1671" s="36"/>
      <c r="M1671" s="36"/>
      <c r="N1671" s="36"/>
      <c r="O1671" s="36"/>
      <c r="P1671" s="36"/>
    </row>
    <row r="1672" ht="14.25" customHeight="1">
      <c r="A1672" s="49"/>
      <c r="C1672" s="85" t="s">
        <v>24</v>
      </c>
      <c r="D1672" s="36"/>
      <c r="E1672" s="36"/>
      <c r="F1672" s="36"/>
      <c r="G1672" s="71"/>
      <c r="H1672" s="36"/>
      <c r="I1672" s="36"/>
      <c r="J1672" s="71"/>
      <c r="K1672" s="36"/>
      <c r="L1672" s="36"/>
      <c r="M1672" s="36"/>
      <c r="N1672" s="36"/>
      <c r="O1672" s="36"/>
      <c r="P1672" s="36"/>
    </row>
    <row r="1673" ht="14.25" customHeight="1">
      <c r="A1673" s="49"/>
      <c r="C1673" s="85" t="s">
        <v>25</v>
      </c>
      <c r="D1673" s="36"/>
      <c r="E1673" s="36"/>
      <c r="F1673" s="36"/>
      <c r="G1673" s="71"/>
      <c r="H1673" s="36"/>
      <c r="I1673" s="36"/>
      <c r="J1673" s="71"/>
      <c r="K1673" s="36"/>
      <c r="L1673" s="36"/>
      <c r="M1673" s="36"/>
      <c r="N1673" s="36"/>
      <c r="O1673" s="36"/>
      <c r="P1673" s="36"/>
    </row>
    <row r="1674" ht="14.25" customHeight="1">
      <c r="A1674" s="56"/>
      <c r="B1674" s="57"/>
      <c r="C1674" s="86" t="s">
        <v>26</v>
      </c>
      <c r="D1674" s="87"/>
      <c r="E1674" s="87"/>
      <c r="F1674" s="87"/>
      <c r="G1674" s="88"/>
      <c r="H1674" s="87"/>
      <c r="I1674" s="87"/>
      <c r="J1674" s="88"/>
      <c r="K1674" s="87"/>
      <c r="L1674" s="87"/>
      <c r="M1674" s="87"/>
      <c r="N1674" s="87"/>
      <c r="O1674" s="87"/>
      <c r="P1674" s="87"/>
    </row>
    <row r="1675" ht="14.25" customHeight="1">
      <c r="A1675" s="97">
        <v>45883.0</v>
      </c>
      <c r="B1675" s="66" t="s">
        <v>44</v>
      </c>
      <c r="C1675" s="84" t="s">
        <v>20</v>
      </c>
      <c r="D1675" s="66">
        <v>1.0</v>
      </c>
      <c r="E1675" s="67"/>
      <c r="F1675" s="67"/>
      <c r="G1675" s="68"/>
      <c r="H1675" s="67"/>
      <c r="I1675" s="67"/>
      <c r="J1675" s="68"/>
      <c r="K1675" s="65"/>
      <c r="L1675" s="67"/>
      <c r="M1675" s="67"/>
      <c r="N1675" s="67"/>
      <c r="O1675" s="67"/>
      <c r="P1675" s="67"/>
    </row>
    <row r="1676" ht="14.25" customHeight="1">
      <c r="A1676" s="49"/>
      <c r="C1676" s="85" t="s">
        <v>21</v>
      </c>
      <c r="D1676" s="36"/>
      <c r="E1676" s="36"/>
      <c r="F1676" s="36"/>
      <c r="G1676" s="71"/>
      <c r="H1676" s="36"/>
      <c r="I1676" s="36"/>
      <c r="J1676" s="71"/>
      <c r="K1676" s="36"/>
      <c r="L1676" s="36"/>
      <c r="M1676" s="36"/>
      <c r="N1676" s="36"/>
      <c r="O1676" s="36"/>
      <c r="P1676" s="36"/>
    </row>
    <row r="1677" ht="14.25" customHeight="1">
      <c r="A1677" s="49"/>
      <c r="C1677" s="85" t="s">
        <v>22</v>
      </c>
      <c r="D1677" s="36"/>
      <c r="E1677" s="36"/>
      <c r="F1677" s="36"/>
      <c r="G1677" s="71"/>
      <c r="H1677" s="36"/>
      <c r="I1677" s="36"/>
      <c r="J1677" s="71"/>
      <c r="K1677" s="36"/>
      <c r="L1677" s="36"/>
      <c r="M1677" s="36"/>
      <c r="N1677" s="36"/>
      <c r="O1677" s="36"/>
      <c r="P1677" s="36"/>
    </row>
    <row r="1678" ht="14.25" customHeight="1">
      <c r="A1678" s="49"/>
      <c r="C1678" s="85" t="s">
        <v>23</v>
      </c>
      <c r="D1678" s="36"/>
      <c r="E1678" s="36"/>
      <c r="F1678" s="36"/>
      <c r="G1678" s="71"/>
      <c r="H1678" s="36"/>
      <c r="I1678" s="36"/>
      <c r="J1678" s="71"/>
      <c r="K1678" s="36"/>
      <c r="L1678" s="36"/>
      <c r="M1678" s="36"/>
      <c r="N1678" s="36"/>
      <c r="O1678" s="36"/>
      <c r="P1678" s="36"/>
    </row>
    <row r="1679" ht="14.25" customHeight="1">
      <c r="A1679" s="49"/>
      <c r="C1679" s="85" t="s">
        <v>24</v>
      </c>
      <c r="D1679" s="36"/>
      <c r="E1679" s="36"/>
      <c r="F1679" s="36"/>
      <c r="G1679" s="71"/>
      <c r="H1679" s="36"/>
      <c r="I1679" s="36"/>
      <c r="J1679" s="71"/>
      <c r="K1679" s="36"/>
      <c r="L1679" s="36"/>
      <c r="M1679" s="36"/>
      <c r="N1679" s="36"/>
      <c r="O1679" s="36"/>
      <c r="P1679" s="36"/>
    </row>
    <row r="1680" ht="14.25" customHeight="1">
      <c r="A1680" s="49"/>
      <c r="C1680" s="85" t="s">
        <v>25</v>
      </c>
      <c r="D1680" s="36"/>
      <c r="E1680" s="36"/>
      <c r="F1680" s="36"/>
      <c r="G1680" s="71"/>
      <c r="H1680" s="36"/>
      <c r="I1680" s="36"/>
      <c r="J1680" s="71"/>
      <c r="K1680" s="36"/>
      <c r="L1680" s="36"/>
      <c r="M1680" s="36"/>
      <c r="N1680" s="36"/>
      <c r="O1680" s="36"/>
      <c r="P1680" s="36"/>
    </row>
    <row r="1681" ht="14.25" customHeight="1">
      <c r="A1681" s="56"/>
      <c r="B1681" s="57"/>
      <c r="C1681" s="86" t="s">
        <v>26</v>
      </c>
      <c r="D1681" s="87"/>
      <c r="E1681" s="87"/>
      <c r="F1681" s="87"/>
      <c r="G1681" s="88"/>
      <c r="H1681" s="87"/>
      <c r="I1681" s="87"/>
      <c r="J1681" s="88"/>
      <c r="K1681" s="87"/>
      <c r="L1681" s="87"/>
      <c r="M1681" s="87"/>
      <c r="N1681" s="87"/>
      <c r="O1681" s="87"/>
      <c r="P1681" s="87"/>
    </row>
    <row r="1682" ht="14.25" customHeight="1">
      <c r="A1682" s="97">
        <v>45887.0</v>
      </c>
      <c r="B1682" s="66" t="s">
        <v>45</v>
      </c>
      <c r="C1682" s="84" t="s">
        <v>20</v>
      </c>
      <c r="D1682" s="66">
        <v>4.0</v>
      </c>
      <c r="E1682" s="67"/>
      <c r="F1682" s="67"/>
      <c r="G1682" s="68"/>
      <c r="H1682" s="67"/>
      <c r="I1682" s="67"/>
      <c r="J1682" s="68"/>
      <c r="K1682" s="65"/>
      <c r="L1682" s="67"/>
      <c r="M1682" s="67"/>
      <c r="N1682" s="67"/>
      <c r="O1682" s="67"/>
      <c r="P1682" s="67"/>
    </row>
    <row r="1683" ht="14.25" customHeight="1">
      <c r="A1683" s="49"/>
      <c r="C1683" s="85" t="s">
        <v>21</v>
      </c>
      <c r="D1683" s="16">
        <v>3.0</v>
      </c>
      <c r="E1683" s="16">
        <v>1.0</v>
      </c>
      <c r="F1683" s="16">
        <v>1.0</v>
      </c>
      <c r="G1683" s="71"/>
      <c r="H1683" s="36"/>
      <c r="I1683" s="36"/>
      <c r="J1683" s="71"/>
      <c r="K1683" s="36"/>
      <c r="L1683" s="36"/>
      <c r="M1683" s="36"/>
      <c r="N1683" s="16">
        <v>2.0</v>
      </c>
      <c r="O1683" s="36"/>
      <c r="P1683" s="36"/>
    </row>
    <row r="1684" ht="14.25" customHeight="1">
      <c r="A1684" s="49"/>
      <c r="C1684" s="85" t="s">
        <v>22</v>
      </c>
      <c r="D1684" s="36"/>
      <c r="E1684" s="36"/>
      <c r="F1684" s="36"/>
      <c r="G1684" s="71"/>
      <c r="H1684" s="36"/>
      <c r="I1684" s="36"/>
      <c r="J1684" s="71"/>
      <c r="K1684" s="36"/>
      <c r="L1684" s="36"/>
      <c r="M1684" s="36"/>
      <c r="N1684" s="36"/>
      <c r="O1684" s="36"/>
      <c r="P1684" s="36"/>
    </row>
    <row r="1685" ht="14.25" customHeight="1">
      <c r="A1685" s="49"/>
      <c r="C1685" s="85" t="s">
        <v>23</v>
      </c>
      <c r="D1685" s="36"/>
      <c r="E1685" s="36"/>
      <c r="F1685" s="36"/>
      <c r="G1685" s="71"/>
      <c r="H1685" s="36"/>
      <c r="I1685" s="36"/>
      <c r="J1685" s="71"/>
      <c r="K1685" s="36"/>
      <c r="L1685" s="36"/>
      <c r="M1685" s="36"/>
      <c r="N1685" s="36"/>
      <c r="O1685" s="36"/>
      <c r="P1685" s="36"/>
    </row>
    <row r="1686" ht="14.25" customHeight="1">
      <c r="A1686" s="49"/>
      <c r="C1686" s="85" t="s">
        <v>24</v>
      </c>
      <c r="D1686" s="36"/>
      <c r="E1686" s="36"/>
      <c r="F1686" s="36"/>
      <c r="G1686" s="71"/>
      <c r="H1686" s="36"/>
      <c r="I1686" s="36"/>
      <c r="J1686" s="71"/>
      <c r="K1686" s="36"/>
      <c r="L1686" s="36"/>
      <c r="M1686" s="36"/>
      <c r="N1686" s="36"/>
      <c r="O1686" s="36"/>
      <c r="P1686" s="36"/>
    </row>
    <row r="1687" ht="14.25" customHeight="1">
      <c r="A1687" s="49"/>
      <c r="C1687" s="85" t="s">
        <v>25</v>
      </c>
      <c r="D1687" s="36"/>
      <c r="E1687" s="36"/>
      <c r="F1687" s="36"/>
      <c r="G1687" s="71"/>
      <c r="H1687" s="36"/>
      <c r="I1687" s="36"/>
      <c r="J1687" s="71"/>
      <c r="K1687" s="36"/>
      <c r="L1687" s="36"/>
      <c r="M1687" s="36"/>
      <c r="N1687" s="36"/>
      <c r="O1687" s="36"/>
      <c r="P1687" s="36"/>
    </row>
    <row r="1688" ht="14.25" customHeight="1">
      <c r="A1688" s="56"/>
      <c r="B1688" s="57"/>
      <c r="C1688" s="86" t="s">
        <v>26</v>
      </c>
      <c r="D1688" s="87"/>
      <c r="E1688" s="87"/>
      <c r="F1688" s="87"/>
      <c r="G1688" s="88"/>
      <c r="H1688" s="87"/>
      <c r="I1688" s="87"/>
      <c r="J1688" s="88"/>
      <c r="K1688" s="87"/>
      <c r="L1688" s="87"/>
      <c r="M1688" s="87"/>
      <c r="N1688" s="87"/>
      <c r="O1688" s="87"/>
      <c r="P1688" s="87"/>
    </row>
    <row r="1689" ht="14.25" customHeight="1">
      <c r="A1689" s="97">
        <v>45887.0</v>
      </c>
      <c r="B1689" s="66" t="s">
        <v>45</v>
      </c>
      <c r="C1689" s="84" t="s">
        <v>20</v>
      </c>
      <c r="D1689" s="66">
        <v>2.0</v>
      </c>
      <c r="E1689" s="67"/>
      <c r="F1689" s="67"/>
      <c r="G1689" s="68"/>
      <c r="H1689" s="67"/>
      <c r="I1689" s="67"/>
      <c r="J1689" s="68"/>
      <c r="K1689" s="65"/>
      <c r="L1689" s="67"/>
      <c r="M1689" s="67"/>
      <c r="N1689" s="67"/>
      <c r="O1689" s="67"/>
      <c r="P1689" s="67"/>
    </row>
    <row r="1690" ht="14.25" customHeight="1">
      <c r="A1690" s="49"/>
      <c r="C1690" s="85" t="s">
        <v>21</v>
      </c>
      <c r="D1690" s="16">
        <v>3.0</v>
      </c>
      <c r="E1690" s="36"/>
      <c r="F1690" s="16">
        <v>3.0</v>
      </c>
      <c r="G1690" s="71"/>
      <c r="H1690" s="36"/>
      <c r="I1690" s="36"/>
      <c r="J1690" s="71"/>
      <c r="K1690" s="36"/>
      <c r="L1690" s="36"/>
      <c r="M1690" s="36"/>
      <c r="N1690" s="36"/>
      <c r="O1690" s="36"/>
      <c r="P1690" s="36"/>
    </row>
    <row r="1691" ht="14.25" customHeight="1">
      <c r="A1691" s="49"/>
      <c r="C1691" s="85" t="s">
        <v>22</v>
      </c>
      <c r="D1691" s="36"/>
      <c r="E1691" s="36"/>
      <c r="F1691" s="36"/>
      <c r="G1691" s="71"/>
      <c r="H1691" s="36"/>
      <c r="I1691" s="36"/>
      <c r="J1691" s="71"/>
      <c r="K1691" s="36"/>
      <c r="L1691" s="36"/>
      <c r="M1691" s="36"/>
      <c r="N1691" s="36"/>
      <c r="O1691" s="36"/>
      <c r="P1691" s="36"/>
    </row>
    <row r="1692" ht="14.25" customHeight="1">
      <c r="A1692" s="49"/>
      <c r="C1692" s="85" t="s">
        <v>23</v>
      </c>
      <c r="D1692" s="36"/>
      <c r="E1692" s="36"/>
      <c r="F1692" s="36"/>
      <c r="G1692" s="71"/>
      <c r="H1692" s="36"/>
      <c r="I1692" s="36"/>
      <c r="J1692" s="71"/>
      <c r="K1692" s="36"/>
      <c r="L1692" s="36"/>
      <c r="M1692" s="36"/>
      <c r="N1692" s="36"/>
      <c r="O1692" s="36"/>
      <c r="P1692" s="36"/>
    </row>
    <row r="1693" ht="14.25" customHeight="1">
      <c r="A1693" s="49"/>
      <c r="C1693" s="85" t="s">
        <v>24</v>
      </c>
      <c r="D1693" s="36"/>
      <c r="E1693" s="36"/>
      <c r="F1693" s="36"/>
      <c r="G1693" s="71"/>
      <c r="H1693" s="36"/>
      <c r="I1693" s="36"/>
      <c r="J1693" s="71"/>
      <c r="K1693" s="36"/>
      <c r="L1693" s="36"/>
      <c r="M1693" s="36"/>
      <c r="N1693" s="36"/>
      <c r="O1693" s="36"/>
      <c r="P1693" s="36"/>
    </row>
    <row r="1694" ht="14.25" customHeight="1">
      <c r="A1694" s="49"/>
      <c r="C1694" s="85" t="s">
        <v>25</v>
      </c>
      <c r="D1694" s="36"/>
      <c r="E1694" s="36"/>
      <c r="F1694" s="36"/>
      <c r="G1694" s="71"/>
      <c r="H1694" s="36"/>
      <c r="I1694" s="36"/>
      <c r="J1694" s="71"/>
      <c r="K1694" s="36"/>
      <c r="L1694" s="36"/>
      <c r="M1694" s="36"/>
      <c r="N1694" s="36"/>
      <c r="O1694" s="36"/>
      <c r="P1694" s="36"/>
    </row>
    <row r="1695" ht="14.25" customHeight="1">
      <c r="A1695" s="56"/>
      <c r="B1695" s="57"/>
      <c r="C1695" s="86" t="s">
        <v>26</v>
      </c>
      <c r="D1695" s="87"/>
      <c r="E1695" s="87"/>
      <c r="F1695" s="87"/>
      <c r="G1695" s="88"/>
      <c r="H1695" s="87"/>
      <c r="I1695" s="87"/>
      <c r="J1695" s="88"/>
      <c r="K1695" s="87"/>
      <c r="L1695" s="87"/>
      <c r="M1695" s="87"/>
      <c r="N1695" s="87"/>
      <c r="O1695" s="87"/>
      <c r="P1695" s="87"/>
    </row>
    <row r="1696" ht="14.25" customHeight="1">
      <c r="A1696" s="97">
        <v>45888.0</v>
      </c>
      <c r="B1696" s="66" t="s">
        <v>42</v>
      </c>
      <c r="C1696" s="84" t="s">
        <v>20</v>
      </c>
      <c r="D1696" s="66">
        <v>2.0</v>
      </c>
      <c r="E1696" s="66">
        <v>2.0</v>
      </c>
      <c r="F1696" s="66">
        <v>1.0</v>
      </c>
      <c r="G1696" s="68"/>
      <c r="H1696" s="66">
        <v>4.0</v>
      </c>
      <c r="I1696" s="67"/>
      <c r="J1696" s="68"/>
      <c r="K1696" s="65"/>
      <c r="L1696" s="67"/>
      <c r="M1696" s="67"/>
      <c r="N1696" s="67"/>
      <c r="O1696" s="67"/>
      <c r="P1696" s="66">
        <v>2.0</v>
      </c>
    </row>
    <row r="1697" ht="14.25" customHeight="1">
      <c r="A1697" s="49"/>
      <c r="C1697" s="85" t="s">
        <v>21</v>
      </c>
      <c r="D1697" s="36"/>
      <c r="E1697" s="36"/>
      <c r="F1697" s="36"/>
      <c r="G1697" s="71"/>
      <c r="H1697" s="16">
        <v>1.0</v>
      </c>
      <c r="I1697" s="36"/>
      <c r="J1697" s="71"/>
      <c r="K1697" s="36"/>
      <c r="L1697" s="36"/>
      <c r="M1697" s="36"/>
      <c r="N1697" s="36"/>
      <c r="O1697" s="36"/>
      <c r="P1697" s="36"/>
    </row>
    <row r="1698" ht="14.25" customHeight="1">
      <c r="A1698" s="49"/>
      <c r="C1698" s="85" t="s">
        <v>22</v>
      </c>
      <c r="D1698" s="36"/>
      <c r="E1698" s="36"/>
      <c r="F1698" s="36"/>
      <c r="G1698" s="71"/>
      <c r="H1698" s="36"/>
      <c r="I1698" s="36"/>
      <c r="J1698" s="71"/>
      <c r="K1698" s="36"/>
      <c r="L1698" s="36"/>
      <c r="M1698" s="36"/>
      <c r="N1698" s="36"/>
      <c r="O1698" s="36"/>
      <c r="P1698" s="36"/>
    </row>
    <row r="1699" ht="14.25" customHeight="1">
      <c r="A1699" s="49"/>
      <c r="C1699" s="85" t="s">
        <v>23</v>
      </c>
      <c r="D1699" s="16">
        <v>1.0</v>
      </c>
      <c r="E1699" s="36"/>
      <c r="F1699" s="36"/>
      <c r="G1699" s="71"/>
      <c r="H1699" s="36"/>
      <c r="I1699" s="36"/>
      <c r="J1699" s="71"/>
      <c r="K1699" s="36"/>
      <c r="L1699" s="36"/>
      <c r="M1699" s="36"/>
      <c r="N1699" s="36"/>
      <c r="O1699" s="36"/>
      <c r="P1699" s="36"/>
    </row>
    <row r="1700" ht="14.25" customHeight="1">
      <c r="A1700" s="49"/>
      <c r="C1700" s="85" t="s">
        <v>24</v>
      </c>
      <c r="D1700" s="36"/>
      <c r="E1700" s="36"/>
      <c r="F1700" s="36"/>
      <c r="G1700" s="71"/>
      <c r="H1700" s="36"/>
      <c r="I1700" s="36"/>
      <c r="J1700" s="71"/>
      <c r="K1700" s="36"/>
      <c r="L1700" s="36"/>
      <c r="M1700" s="36"/>
      <c r="N1700" s="36"/>
      <c r="O1700" s="36"/>
      <c r="P1700" s="36"/>
    </row>
    <row r="1701" ht="14.25" customHeight="1">
      <c r="A1701" s="49"/>
      <c r="C1701" s="85" t="s">
        <v>25</v>
      </c>
      <c r="D1701" s="36"/>
      <c r="E1701" s="36"/>
      <c r="F1701" s="36"/>
      <c r="G1701" s="71"/>
      <c r="H1701" s="36"/>
      <c r="I1701" s="36"/>
      <c r="J1701" s="71"/>
      <c r="K1701" s="36"/>
      <c r="L1701" s="36"/>
      <c r="M1701" s="36"/>
      <c r="N1701" s="36"/>
      <c r="O1701" s="36"/>
      <c r="P1701" s="36"/>
    </row>
    <row r="1702" ht="14.25" customHeight="1">
      <c r="A1702" s="56"/>
      <c r="B1702" s="57"/>
      <c r="C1702" s="86" t="s">
        <v>26</v>
      </c>
      <c r="D1702" s="87"/>
      <c r="E1702" s="87"/>
      <c r="F1702" s="87"/>
      <c r="G1702" s="88"/>
      <c r="H1702" s="87"/>
      <c r="I1702" s="87"/>
      <c r="J1702" s="88"/>
      <c r="K1702" s="87"/>
      <c r="L1702" s="87"/>
      <c r="M1702" s="87"/>
      <c r="N1702" s="87"/>
      <c r="O1702" s="87"/>
      <c r="P1702" s="87"/>
    </row>
    <row r="1703" ht="14.25" customHeight="1">
      <c r="A1703" s="97">
        <v>45888.0</v>
      </c>
      <c r="B1703" s="66" t="s">
        <v>64</v>
      </c>
      <c r="C1703" s="84" t="s">
        <v>20</v>
      </c>
      <c r="D1703" s="66">
        <v>9.0</v>
      </c>
      <c r="E1703" s="66">
        <v>1.0</v>
      </c>
      <c r="F1703" s="66">
        <v>2.0</v>
      </c>
      <c r="G1703" s="68"/>
      <c r="H1703" s="66">
        <v>6.0</v>
      </c>
      <c r="I1703" s="67"/>
      <c r="J1703" s="68"/>
      <c r="K1703" s="65"/>
      <c r="L1703" s="67"/>
      <c r="M1703" s="67"/>
      <c r="N1703" s="67"/>
      <c r="O1703" s="67"/>
      <c r="P1703" s="67"/>
    </row>
    <row r="1704" ht="14.25" customHeight="1">
      <c r="A1704" s="49"/>
      <c r="C1704" s="85" t="s">
        <v>21</v>
      </c>
      <c r="D1704" s="36"/>
      <c r="E1704" s="36"/>
      <c r="F1704" s="36"/>
      <c r="G1704" s="71"/>
      <c r="H1704" s="36"/>
      <c r="I1704" s="36"/>
      <c r="J1704" s="71"/>
      <c r="K1704" s="36"/>
      <c r="L1704" s="36"/>
      <c r="M1704" s="36"/>
      <c r="N1704" s="36"/>
      <c r="O1704" s="36"/>
      <c r="P1704" s="36"/>
    </row>
    <row r="1705" ht="14.25" customHeight="1">
      <c r="A1705" s="49"/>
      <c r="C1705" s="85" t="s">
        <v>22</v>
      </c>
      <c r="D1705" s="36"/>
      <c r="E1705" s="36"/>
      <c r="F1705" s="36"/>
      <c r="G1705" s="71"/>
      <c r="H1705" s="36"/>
      <c r="I1705" s="36"/>
      <c r="J1705" s="71"/>
      <c r="K1705" s="36"/>
      <c r="L1705" s="36"/>
      <c r="M1705" s="36"/>
      <c r="N1705" s="36"/>
      <c r="O1705" s="36"/>
      <c r="P1705" s="36"/>
    </row>
    <row r="1706" ht="14.25" customHeight="1">
      <c r="A1706" s="49"/>
      <c r="C1706" s="85" t="s">
        <v>23</v>
      </c>
      <c r="D1706" s="16">
        <v>2.0</v>
      </c>
      <c r="E1706" s="36"/>
      <c r="F1706" s="36"/>
      <c r="G1706" s="71"/>
      <c r="H1706" s="36"/>
      <c r="I1706" s="36"/>
      <c r="J1706" s="71"/>
      <c r="K1706" s="36"/>
      <c r="L1706" s="36"/>
      <c r="M1706" s="36"/>
      <c r="N1706" s="36"/>
      <c r="O1706" s="36"/>
      <c r="P1706" s="36"/>
    </row>
    <row r="1707" ht="14.25" customHeight="1">
      <c r="A1707" s="49"/>
      <c r="C1707" s="85" t="s">
        <v>24</v>
      </c>
      <c r="D1707" s="36"/>
      <c r="E1707" s="36"/>
      <c r="F1707" s="36"/>
      <c r="G1707" s="71"/>
      <c r="H1707" s="36"/>
      <c r="I1707" s="36"/>
      <c r="J1707" s="71"/>
      <c r="K1707" s="36"/>
      <c r="L1707" s="36"/>
      <c r="M1707" s="36"/>
      <c r="N1707" s="36"/>
      <c r="O1707" s="36"/>
      <c r="P1707" s="36"/>
    </row>
    <row r="1708" ht="14.25" customHeight="1">
      <c r="A1708" s="49"/>
      <c r="C1708" s="85" t="s">
        <v>25</v>
      </c>
      <c r="D1708" s="36"/>
      <c r="E1708" s="36"/>
      <c r="F1708" s="36"/>
      <c r="G1708" s="71"/>
      <c r="H1708" s="36"/>
      <c r="I1708" s="36"/>
      <c r="J1708" s="71"/>
      <c r="K1708" s="36"/>
      <c r="L1708" s="36"/>
      <c r="M1708" s="36"/>
      <c r="N1708" s="36"/>
      <c r="O1708" s="36"/>
      <c r="P1708" s="36"/>
    </row>
    <row r="1709" ht="14.25" customHeight="1">
      <c r="A1709" s="56"/>
      <c r="B1709" s="57"/>
      <c r="C1709" s="86" t="s">
        <v>26</v>
      </c>
      <c r="D1709" s="87"/>
      <c r="E1709" s="87"/>
      <c r="F1709" s="87"/>
      <c r="G1709" s="88"/>
      <c r="H1709" s="87"/>
      <c r="I1709" s="87"/>
      <c r="J1709" s="88"/>
      <c r="K1709" s="87"/>
      <c r="L1709" s="87"/>
      <c r="M1709" s="87"/>
      <c r="N1709" s="87"/>
      <c r="O1709" s="87"/>
      <c r="P1709" s="87"/>
    </row>
    <row r="1710" ht="14.25" customHeight="1">
      <c r="A1710" s="97">
        <v>45888.0</v>
      </c>
      <c r="B1710" s="66" t="s">
        <v>43</v>
      </c>
      <c r="C1710" s="84" t="s">
        <v>20</v>
      </c>
      <c r="D1710" s="66">
        <v>6.0</v>
      </c>
      <c r="E1710" s="66">
        <v>2.0</v>
      </c>
      <c r="F1710" s="67"/>
      <c r="G1710" s="68"/>
      <c r="H1710" s="66">
        <v>1.0</v>
      </c>
      <c r="I1710" s="67"/>
      <c r="J1710" s="68"/>
      <c r="K1710" s="65"/>
      <c r="L1710" s="67"/>
      <c r="M1710" s="67"/>
      <c r="N1710" s="67"/>
      <c r="O1710" s="67"/>
      <c r="P1710" s="67"/>
    </row>
    <row r="1711" ht="14.25" customHeight="1">
      <c r="A1711" s="49"/>
      <c r="C1711" s="85" t="s">
        <v>21</v>
      </c>
      <c r="D1711" s="36"/>
      <c r="E1711" s="36"/>
      <c r="F1711" s="36"/>
      <c r="G1711" s="71"/>
      <c r="H1711" s="36"/>
      <c r="I1711" s="36"/>
      <c r="J1711" s="71"/>
      <c r="K1711" s="36"/>
      <c r="L1711" s="36"/>
      <c r="M1711" s="36"/>
      <c r="N1711" s="36"/>
      <c r="O1711" s="36"/>
      <c r="P1711" s="36"/>
    </row>
    <row r="1712" ht="14.25" customHeight="1">
      <c r="A1712" s="49"/>
      <c r="C1712" s="85" t="s">
        <v>22</v>
      </c>
      <c r="D1712" s="36"/>
      <c r="E1712" s="36"/>
      <c r="F1712" s="36"/>
      <c r="G1712" s="71"/>
      <c r="H1712" s="36"/>
      <c r="I1712" s="36"/>
      <c r="J1712" s="71"/>
      <c r="K1712" s="36"/>
      <c r="L1712" s="36"/>
      <c r="M1712" s="36"/>
      <c r="N1712" s="36"/>
      <c r="O1712" s="36"/>
      <c r="P1712" s="36"/>
    </row>
    <row r="1713" ht="14.25" customHeight="1">
      <c r="A1713" s="49"/>
      <c r="C1713" s="85" t="s">
        <v>23</v>
      </c>
      <c r="D1713" s="36"/>
      <c r="E1713" s="36"/>
      <c r="F1713" s="36"/>
      <c r="G1713" s="71"/>
      <c r="H1713" s="36"/>
      <c r="I1713" s="36"/>
      <c r="J1713" s="71"/>
      <c r="K1713" s="36"/>
      <c r="L1713" s="36"/>
      <c r="M1713" s="36"/>
      <c r="N1713" s="36"/>
      <c r="O1713" s="36"/>
      <c r="P1713" s="36"/>
    </row>
    <row r="1714" ht="14.25" customHeight="1">
      <c r="A1714" s="49"/>
      <c r="C1714" s="85" t="s">
        <v>24</v>
      </c>
      <c r="D1714" s="36"/>
      <c r="E1714" s="36"/>
      <c r="F1714" s="36"/>
      <c r="G1714" s="71"/>
      <c r="H1714" s="36"/>
      <c r="I1714" s="36"/>
      <c r="J1714" s="71"/>
      <c r="K1714" s="36"/>
      <c r="L1714" s="36"/>
      <c r="M1714" s="36"/>
      <c r="N1714" s="36"/>
      <c r="O1714" s="36"/>
      <c r="P1714" s="36"/>
    </row>
    <row r="1715" ht="14.25" customHeight="1">
      <c r="A1715" s="49"/>
      <c r="C1715" s="85" t="s">
        <v>25</v>
      </c>
      <c r="D1715" s="36"/>
      <c r="E1715" s="36"/>
      <c r="F1715" s="36"/>
      <c r="G1715" s="71"/>
      <c r="H1715" s="36"/>
      <c r="I1715" s="36"/>
      <c r="J1715" s="71"/>
      <c r="K1715" s="36"/>
      <c r="L1715" s="36"/>
      <c r="M1715" s="36"/>
      <c r="N1715" s="36"/>
      <c r="O1715" s="36"/>
      <c r="P1715" s="36"/>
    </row>
    <row r="1716" ht="14.25" customHeight="1">
      <c r="A1716" s="56"/>
      <c r="B1716" s="57"/>
      <c r="C1716" s="86" t="s">
        <v>26</v>
      </c>
      <c r="D1716" s="87"/>
      <c r="E1716" s="87"/>
      <c r="F1716" s="87"/>
      <c r="G1716" s="88"/>
      <c r="H1716" s="87"/>
      <c r="I1716" s="87"/>
      <c r="J1716" s="88"/>
      <c r="K1716" s="87"/>
      <c r="L1716" s="87"/>
      <c r="M1716" s="87"/>
      <c r="N1716" s="87"/>
      <c r="O1716" s="87"/>
      <c r="P1716" s="87"/>
    </row>
    <row r="1717" ht="14.25" customHeight="1">
      <c r="A1717" s="97">
        <v>45888.0</v>
      </c>
      <c r="B1717" s="66" t="s">
        <v>42</v>
      </c>
      <c r="C1717" s="84" t="s">
        <v>20</v>
      </c>
      <c r="D1717" s="66">
        <v>4.0</v>
      </c>
      <c r="E1717" s="66">
        <v>2.0</v>
      </c>
      <c r="F1717" s="67"/>
      <c r="G1717" s="64">
        <v>1.0</v>
      </c>
      <c r="H1717" s="67"/>
      <c r="I1717" s="67"/>
      <c r="J1717" s="68"/>
      <c r="K1717" s="65"/>
      <c r="L1717" s="67"/>
      <c r="M1717" s="67"/>
      <c r="N1717" s="66">
        <v>1.0</v>
      </c>
      <c r="O1717" s="67"/>
      <c r="P1717" s="67"/>
    </row>
    <row r="1718" ht="14.25" customHeight="1">
      <c r="A1718" s="49"/>
      <c r="C1718" s="85" t="s">
        <v>21</v>
      </c>
      <c r="D1718" s="36"/>
      <c r="E1718" s="36"/>
      <c r="F1718" s="36"/>
      <c r="G1718" s="71"/>
      <c r="H1718" s="36"/>
      <c r="I1718" s="36"/>
      <c r="J1718" s="71"/>
      <c r="K1718" s="36"/>
      <c r="L1718" s="36"/>
      <c r="M1718" s="36"/>
      <c r="N1718" s="36"/>
      <c r="O1718" s="36"/>
      <c r="P1718" s="36"/>
    </row>
    <row r="1719" ht="14.25" customHeight="1">
      <c r="A1719" s="49"/>
      <c r="C1719" s="85" t="s">
        <v>22</v>
      </c>
      <c r="D1719" s="36"/>
      <c r="E1719" s="36"/>
      <c r="F1719" s="36"/>
      <c r="G1719" s="71"/>
      <c r="H1719" s="36"/>
      <c r="I1719" s="36"/>
      <c r="J1719" s="71"/>
      <c r="K1719" s="36"/>
      <c r="L1719" s="36"/>
      <c r="M1719" s="36"/>
      <c r="N1719" s="36"/>
      <c r="O1719" s="36"/>
      <c r="P1719" s="36"/>
    </row>
    <row r="1720" ht="14.25" customHeight="1">
      <c r="A1720" s="49"/>
      <c r="C1720" s="85" t="s">
        <v>23</v>
      </c>
      <c r="D1720" s="36"/>
      <c r="E1720" s="36"/>
      <c r="F1720" s="36"/>
      <c r="G1720" s="71"/>
      <c r="H1720" s="36"/>
      <c r="I1720" s="36"/>
      <c r="J1720" s="71"/>
      <c r="K1720" s="36"/>
      <c r="L1720" s="36"/>
      <c r="M1720" s="36"/>
      <c r="N1720" s="36"/>
      <c r="O1720" s="36"/>
      <c r="P1720" s="36"/>
    </row>
    <row r="1721" ht="14.25" customHeight="1">
      <c r="A1721" s="49"/>
      <c r="C1721" s="85" t="s">
        <v>24</v>
      </c>
      <c r="D1721" s="36"/>
      <c r="E1721" s="36"/>
      <c r="F1721" s="36"/>
      <c r="G1721" s="71"/>
      <c r="H1721" s="36"/>
      <c r="I1721" s="36"/>
      <c r="J1721" s="71"/>
      <c r="K1721" s="36"/>
      <c r="L1721" s="36"/>
      <c r="M1721" s="36"/>
      <c r="N1721" s="36"/>
      <c r="O1721" s="36"/>
      <c r="P1721" s="36"/>
    </row>
    <row r="1722" ht="14.25" customHeight="1">
      <c r="A1722" s="49"/>
      <c r="C1722" s="85" t="s">
        <v>25</v>
      </c>
      <c r="D1722" s="36"/>
      <c r="E1722" s="36"/>
      <c r="F1722" s="36"/>
      <c r="G1722" s="71"/>
      <c r="H1722" s="36"/>
      <c r="I1722" s="36"/>
      <c r="J1722" s="71"/>
      <c r="K1722" s="36"/>
      <c r="L1722" s="36"/>
      <c r="M1722" s="36"/>
      <c r="N1722" s="36"/>
      <c r="O1722" s="36"/>
      <c r="P1722" s="36"/>
    </row>
    <row r="1723" ht="14.25" customHeight="1">
      <c r="A1723" s="56"/>
      <c r="B1723" s="57"/>
      <c r="C1723" s="86" t="s">
        <v>26</v>
      </c>
      <c r="D1723" s="87"/>
      <c r="E1723" s="87"/>
      <c r="F1723" s="87"/>
      <c r="G1723" s="88"/>
      <c r="H1723" s="87"/>
      <c r="I1723" s="87"/>
      <c r="J1723" s="88"/>
      <c r="K1723" s="87"/>
      <c r="L1723" s="87"/>
      <c r="M1723" s="87"/>
      <c r="N1723" s="87"/>
      <c r="O1723" s="87"/>
      <c r="P1723" s="87"/>
    </row>
    <row r="1724" ht="14.25" customHeight="1">
      <c r="A1724" s="97">
        <v>45890.0</v>
      </c>
      <c r="B1724" s="66" t="s">
        <v>45</v>
      </c>
      <c r="C1724" s="84" t="s">
        <v>20</v>
      </c>
      <c r="D1724" s="67"/>
      <c r="E1724" s="66">
        <v>1.0</v>
      </c>
      <c r="F1724" s="67"/>
      <c r="G1724" s="68"/>
      <c r="H1724" s="67"/>
      <c r="I1724" s="67"/>
      <c r="J1724" s="68"/>
      <c r="K1724" s="65"/>
      <c r="L1724" s="67"/>
      <c r="M1724" s="67"/>
      <c r="N1724" s="67"/>
      <c r="O1724" s="67"/>
      <c r="P1724" s="66">
        <v>1.0</v>
      </c>
    </row>
    <row r="1725" ht="14.25" customHeight="1">
      <c r="A1725" s="49"/>
      <c r="C1725" s="85" t="s">
        <v>21</v>
      </c>
      <c r="D1725" s="36"/>
      <c r="E1725" s="36"/>
      <c r="F1725" s="36"/>
      <c r="G1725" s="71"/>
      <c r="H1725" s="36"/>
      <c r="I1725" s="36"/>
      <c r="J1725" s="71"/>
      <c r="K1725" s="36"/>
      <c r="L1725" s="36"/>
      <c r="M1725" s="36"/>
      <c r="N1725" s="36"/>
      <c r="O1725" s="36"/>
      <c r="P1725" s="36"/>
    </row>
    <row r="1726" ht="14.25" customHeight="1">
      <c r="A1726" s="49"/>
      <c r="C1726" s="85" t="s">
        <v>22</v>
      </c>
      <c r="D1726" s="36"/>
      <c r="E1726" s="36"/>
      <c r="F1726" s="36"/>
      <c r="G1726" s="71"/>
      <c r="H1726" s="36"/>
      <c r="I1726" s="36"/>
      <c r="J1726" s="71"/>
      <c r="K1726" s="36"/>
      <c r="L1726" s="36"/>
      <c r="M1726" s="36"/>
      <c r="N1726" s="36"/>
      <c r="O1726" s="36"/>
      <c r="P1726" s="36"/>
    </row>
    <row r="1727" ht="14.25" customHeight="1">
      <c r="A1727" s="49"/>
      <c r="C1727" s="85" t="s">
        <v>23</v>
      </c>
      <c r="D1727" s="36"/>
      <c r="E1727" s="36"/>
      <c r="F1727" s="36"/>
      <c r="G1727" s="71"/>
      <c r="H1727" s="36"/>
      <c r="I1727" s="36"/>
      <c r="J1727" s="71"/>
      <c r="K1727" s="36"/>
      <c r="L1727" s="36"/>
      <c r="M1727" s="36"/>
      <c r="N1727" s="36"/>
      <c r="O1727" s="36"/>
      <c r="P1727" s="36"/>
    </row>
    <row r="1728" ht="14.25" customHeight="1">
      <c r="A1728" s="49"/>
      <c r="C1728" s="85" t="s">
        <v>24</v>
      </c>
      <c r="D1728" s="16">
        <v>3.0</v>
      </c>
      <c r="E1728" s="36"/>
      <c r="F1728" s="36"/>
      <c r="G1728" s="71"/>
      <c r="H1728" s="36"/>
      <c r="I1728" s="36"/>
      <c r="J1728" s="71"/>
      <c r="K1728" s="36"/>
      <c r="L1728" s="36"/>
      <c r="M1728" s="36"/>
      <c r="N1728" s="36"/>
      <c r="O1728" s="36"/>
      <c r="P1728" s="36"/>
    </row>
    <row r="1729" ht="14.25" customHeight="1">
      <c r="A1729" s="49"/>
      <c r="C1729" s="85" t="s">
        <v>25</v>
      </c>
      <c r="D1729" s="36"/>
      <c r="E1729" s="36"/>
      <c r="F1729" s="36"/>
      <c r="G1729" s="71"/>
      <c r="H1729" s="36"/>
      <c r="I1729" s="36"/>
      <c r="J1729" s="71"/>
      <c r="K1729" s="36"/>
      <c r="L1729" s="36"/>
      <c r="M1729" s="36"/>
      <c r="N1729" s="36"/>
      <c r="O1729" s="36"/>
      <c r="P1729" s="36"/>
    </row>
    <row r="1730" ht="14.25" customHeight="1">
      <c r="A1730" s="56"/>
      <c r="B1730" s="57"/>
      <c r="C1730" s="86" t="s">
        <v>26</v>
      </c>
      <c r="D1730" s="87"/>
      <c r="E1730" s="87"/>
      <c r="F1730" s="87"/>
      <c r="G1730" s="88"/>
      <c r="H1730" s="87"/>
      <c r="I1730" s="87"/>
      <c r="J1730" s="88"/>
      <c r="K1730" s="87"/>
      <c r="L1730" s="87"/>
      <c r="M1730" s="87"/>
      <c r="N1730" s="87"/>
      <c r="O1730" s="87"/>
      <c r="P1730" s="87"/>
    </row>
    <row r="1731" ht="14.25" customHeight="1">
      <c r="A1731" s="97">
        <v>45894.0</v>
      </c>
      <c r="B1731" s="66" t="s">
        <v>43</v>
      </c>
      <c r="C1731" s="84" t="s">
        <v>20</v>
      </c>
      <c r="D1731" s="66">
        <v>12.0</v>
      </c>
      <c r="E1731" s="66">
        <v>7.0</v>
      </c>
      <c r="F1731" s="66">
        <v>3.0</v>
      </c>
      <c r="G1731" s="68"/>
      <c r="H1731" s="66">
        <v>6.0</v>
      </c>
      <c r="I1731" s="67"/>
      <c r="J1731" s="68"/>
      <c r="K1731" s="65"/>
      <c r="L1731" s="67"/>
      <c r="M1731" s="67"/>
      <c r="N1731" s="67"/>
      <c r="O1731" s="67"/>
      <c r="P1731" s="67"/>
    </row>
    <row r="1732" ht="14.25" customHeight="1">
      <c r="A1732" s="49"/>
      <c r="C1732" s="85" t="s">
        <v>21</v>
      </c>
      <c r="D1732" s="36"/>
      <c r="E1732" s="36"/>
      <c r="F1732" s="36"/>
      <c r="G1732" s="71"/>
      <c r="H1732" s="36"/>
      <c r="I1732" s="36"/>
      <c r="J1732" s="71"/>
      <c r="K1732" s="36"/>
      <c r="L1732" s="36"/>
      <c r="M1732" s="36"/>
      <c r="N1732" s="36"/>
      <c r="O1732" s="36"/>
      <c r="P1732" s="36"/>
    </row>
    <row r="1733" ht="14.25" customHeight="1">
      <c r="A1733" s="49"/>
      <c r="C1733" s="85" t="s">
        <v>22</v>
      </c>
      <c r="D1733" s="36"/>
      <c r="E1733" s="36"/>
      <c r="F1733" s="36"/>
      <c r="G1733" s="71"/>
      <c r="H1733" s="36"/>
      <c r="I1733" s="36"/>
      <c r="J1733" s="71"/>
      <c r="K1733" s="36"/>
      <c r="L1733" s="36"/>
      <c r="M1733" s="36"/>
      <c r="N1733" s="36"/>
      <c r="O1733" s="36"/>
      <c r="P1733" s="36"/>
    </row>
    <row r="1734" ht="14.25" customHeight="1">
      <c r="A1734" s="49"/>
      <c r="C1734" s="85" t="s">
        <v>23</v>
      </c>
      <c r="D1734" s="36"/>
      <c r="E1734" s="36"/>
      <c r="F1734" s="36"/>
      <c r="G1734" s="71"/>
      <c r="H1734" s="16">
        <v>1.0</v>
      </c>
      <c r="I1734" s="36"/>
      <c r="J1734" s="71"/>
      <c r="K1734" s="36"/>
      <c r="L1734" s="36"/>
      <c r="M1734" s="36"/>
      <c r="N1734" s="36"/>
      <c r="O1734" s="36"/>
      <c r="P1734" s="36"/>
    </row>
    <row r="1735" ht="14.25" customHeight="1">
      <c r="A1735" s="49"/>
      <c r="C1735" s="85" t="s">
        <v>24</v>
      </c>
      <c r="D1735" s="36"/>
      <c r="E1735" s="36"/>
      <c r="F1735" s="36"/>
      <c r="G1735" s="71"/>
      <c r="H1735" s="36"/>
      <c r="I1735" s="36"/>
      <c r="J1735" s="71"/>
      <c r="K1735" s="36"/>
      <c r="L1735" s="36"/>
      <c r="M1735" s="36"/>
      <c r="N1735" s="36"/>
      <c r="O1735" s="36"/>
      <c r="P1735" s="36"/>
    </row>
    <row r="1736" ht="14.25" customHeight="1">
      <c r="A1736" s="49"/>
      <c r="C1736" s="85" t="s">
        <v>25</v>
      </c>
      <c r="D1736" s="36"/>
      <c r="E1736" s="36"/>
      <c r="F1736" s="36"/>
      <c r="G1736" s="71"/>
      <c r="H1736" s="36"/>
      <c r="I1736" s="36"/>
      <c r="J1736" s="71"/>
      <c r="K1736" s="36"/>
      <c r="L1736" s="36"/>
      <c r="M1736" s="36"/>
      <c r="N1736" s="36"/>
      <c r="O1736" s="36"/>
      <c r="P1736" s="36"/>
    </row>
    <row r="1737" ht="14.25" customHeight="1">
      <c r="A1737" s="56"/>
      <c r="B1737" s="57"/>
      <c r="C1737" s="86" t="s">
        <v>26</v>
      </c>
      <c r="D1737" s="87"/>
      <c r="E1737" s="87"/>
      <c r="F1737" s="87"/>
      <c r="G1737" s="88"/>
      <c r="H1737" s="87"/>
      <c r="I1737" s="87"/>
      <c r="J1737" s="88"/>
      <c r="K1737" s="87"/>
      <c r="L1737" s="87"/>
      <c r="M1737" s="87"/>
      <c r="N1737" s="87"/>
      <c r="O1737" s="87"/>
      <c r="P1737" s="87"/>
    </row>
    <row r="1738" ht="14.25" customHeight="1">
      <c r="A1738" s="97">
        <v>45894.0</v>
      </c>
      <c r="B1738" s="66" t="s">
        <v>42</v>
      </c>
      <c r="C1738" s="84" t="s">
        <v>20</v>
      </c>
      <c r="D1738" s="66">
        <v>13.0</v>
      </c>
      <c r="E1738" s="66">
        <v>1.0</v>
      </c>
      <c r="F1738" s="67"/>
      <c r="G1738" s="68"/>
      <c r="H1738" s="66">
        <v>5.0</v>
      </c>
      <c r="I1738" s="67"/>
      <c r="J1738" s="68"/>
      <c r="K1738" s="65"/>
      <c r="L1738" s="67"/>
      <c r="M1738" s="67"/>
      <c r="N1738" s="67"/>
      <c r="O1738" s="67"/>
      <c r="P1738" s="67"/>
    </row>
    <row r="1739" ht="14.25" customHeight="1">
      <c r="A1739" s="49"/>
      <c r="C1739" s="85" t="s">
        <v>21</v>
      </c>
      <c r="D1739" s="16">
        <v>1.0</v>
      </c>
      <c r="E1739" s="36"/>
      <c r="F1739" s="36"/>
      <c r="G1739" s="71"/>
      <c r="H1739" s="36"/>
      <c r="I1739" s="36"/>
      <c r="J1739" s="71"/>
      <c r="K1739" s="36"/>
      <c r="L1739" s="36"/>
      <c r="M1739" s="36"/>
      <c r="N1739" s="36"/>
      <c r="O1739" s="36"/>
      <c r="P1739" s="36"/>
    </row>
    <row r="1740" ht="14.25" customHeight="1">
      <c r="A1740" s="49"/>
      <c r="C1740" s="85" t="s">
        <v>22</v>
      </c>
      <c r="D1740" s="36"/>
      <c r="E1740" s="36"/>
      <c r="F1740" s="36"/>
      <c r="G1740" s="71"/>
      <c r="H1740" s="36"/>
      <c r="I1740" s="36"/>
      <c r="J1740" s="71"/>
      <c r="K1740" s="36"/>
      <c r="L1740" s="36"/>
      <c r="M1740" s="36"/>
      <c r="N1740" s="36"/>
      <c r="O1740" s="36"/>
      <c r="P1740" s="36"/>
    </row>
    <row r="1741" ht="14.25" customHeight="1">
      <c r="A1741" s="49"/>
      <c r="C1741" s="85" t="s">
        <v>23</v>
      </c>
      <c r="D1741" s="16">
        <v>3.0</v>
      </c>
      <c r="E1741" s="36"/>
      <c r="F1741" s="36"/>
      <c r="G1741" s="71"/>
      <c r="H1741" s="36"/>
      <c r="I1741" s="36"/>
      <c r="J1741" s="71"/>
      <c r="K1741" s="36"/>
      <c r="L1741" s="36"/>
      <c r="M1741" s="36"/>
      <c r="N1741" s="36"/>
      <c r="O1741" s="36"/>
      <c r="P1741" s="36"/>
    </row>
    <row r="1742" ht="14.25" customHeight="1">
      <c r="A1742" s="49"/>
      <c r="C1742" s="85" t="s">
        <v>24</v>
      </c>
      <c r="D1742" s="36"/>
      <c r="E1742" s="36"/>
      <c r="F1742" s="36"/>
      <c r="G1742" s="71"/>
      <c r="H1742" s="36"/>
      <c r="I1742" s="36"/>
      <c r="J1742" s="71"/>
      <c r="K1742" s="36"/>
      <c r="L1742" s="36"/>
      <c r="M1742" s="36"/>
      <c r="N1742" s="36"/>
      <c r="O1742" s="36"/>
      <c r="P1742" s="36"/>
    </row>
    <row r="1743" ht="14.25" customHeight="1">
      <c r="A1743" s="49"/>
      <c r="C1743" s="85" t="s">
        <v>25</v>
      </c>
      <c r="D1743" s="36"/>
      <c r="E1743" s="36"/>
      <c r="F1743" s="36"/>
      <c r="G1743" s="71"/>
      <c r="H1743" s="36"/>
      <c r="I1743" s="36"/>
      <c r="J1743" s="71"/>
      <c r="K1743" s="36"/>
      <c r="L1743" s="36"/>
      <c r="M1743" s="36"/>
      <c r="N1743" s="36"/>
      <c r="O1743" s="36"/>
      <c r="P1743" s="36"/>
    </row>
    <row r="1744" ht="14.25" customHeight="1">
      <c r="A1744" s="56"/>
      <c r="B1744" s="57"/>
      <c r="C1744" s="86" t="s">
        <v>26</v>
      </c>
      <c r="D1744" s="87"/>
      <c r="E1744" s="87"/>
      <c r="F1744" s="87"/>
      <c r="G1744" s="88"/>
      <c r="H1744" s="87"/>
      <c r="I1744" s="87"/>
      <c r="J1744" s="88"/>
      <c r="K1744" s="87"/>
      <c r="L1744" s="87"/>
      <c r="M1744" s="87"/>
      <c r="N1744" s="87"/>
      <c r="O1744" s="87"/>
      <c r="P1744" s="87"/>
    </row>
    <row r="1745" ht="14.25" customHeight="1">
      <c r="A1745" s="97">
        <v>45895.0</v>
      </c>
      <c r="B1745" s="66" t="s">
        <v>42</v>
      </c>
      <c r="C1745" s="84" t="s">
        <v>20</v>
      </c>
      <c r="D1745" s="66">
        <v>2.0</v>
      </c>
      <c r="E1745" s="67"/>
      <c r="F1745" s="67"/>
      <c r="G1745" s="68"/>
      <c r="H1745" s="66">
        <v>1.0</v>
      </c>
      <c r="I1745" s="66">
        <v>1.0</v>
      </c>
      <c r="J1745" s="68"/>
      <c r="K1745" s="65"/>
      <c r="L1745" s="67"/>
      <c r="M1745" s="67"/>
      <c r="N1745" s="67"/>
      <c r="O1745" s="67"/>
      <c r="P1745" s="67"/>
    </row>
    <row r="1746" ht="14.25" customHeight="1">
      <c r="A1746" s="49"/>
      <c r="C1746" s="85" t="s">
        <v>21</v>
      </c>
      <c r="D1746" s="36"/>
      <c r="E1746" s="36"/>
      <c r="F1746" s="36"/>
      <c r="G1746" s="71"/>
      <c r="H1746" s="36"/>
      <c r="I1746" s="16">
        <v>2.0</v>
      </c>
      <c r="J1746" s="71"/>
      <c r="K1746" s="36"/>
      <c r="L1746" s="36"/>
      <c r="M1746" s="36"/>
      <c r="N1746" s="36"/>
      <c r="O1746" s="36"/>
      <c r="P1746" s="36"/>
    </row>
    <row r="1747" ht="14.25" customHeight="1">
      <c r="A1747" s="49"/>
      <c r="C1747" s="85" t="s">
        <v>22</v>
      </c>
      <c r="D1747" s="36"/>
      <c r="E1747" s="36"/>
      <c r="F1747" s="36"/>
      <c r="G1747" s="71"/>
      <c r="H1747" s="36"/>
      <c r="I1747" s="36"/>
      <c r="J1747" s="71"/>
      <c r="K1747" s="36"/>
      <c r="L1747" s="36"/>
      <c r="M1747" s="36"/>
      <c r="N1747" s="36"/>
      <c r="O1747" s="36"/>
      <c r="P1747" s="36"/>
    </row>
    <row r="1748" ht="14.25" customHeight="1">
      <c r="A1748" s="49"/>
      <c r="C1748" s="85" t="s">
        <v>23</v>
      </c>
      <c r="D1748" s="16">
        <v>1.0</v>
      </c>
      <c r="E1748" s="36"/>
      <c r="F1748" s="36"/>
      <c r="G1748" s="71"/>
      <c r="H1748" s="36"/>
      <c r="I1748" s="36"/>
      <c r="J1748" s="71"/>
      <c r="K1748" s="36"/>
      <c r="L1748" s="36"/>
      <c r="M1748" s="36"/>
      <c r="N1748" s="36"/>
      <c r="O1748" s="36"/>
      <c r="P1748" s="36"/>
    </row>
    <row r="1749" ht="14.25" customHeight="1">
      <c r="A1749" s="49"/>
      <c r="C1749" s="85" t="s">
        <v>24</v>
      </c>
      <c r="D1749" s="16">
        <v>1.0</v>
      </c>
      <c r="E1749" s="36"/>
      <c r="F1749" s="36"/>
      <c r="G1749" s="71"/>
      <c r="H1749" s="36"/>
      <c r="I1749" s="36"/>
      <c r="J1749" s="71"/>
      <c r="K1749" s="36"/>
      <c r="L1749" s="36"/>
      <c r="M1749" s="36"/>
      <c r="N1749" s="36"/>
      <c r="O1749" s="36"/>
      <c r="P1749" s="36"/>
    </row>
    <row r="1750" ht="14.25" customHeight="1">
      <c r="A1750" s="49"/>
      <c r="C1750" s="85" t="s">
        <v>25</v>
      </c>
      <c r="D1750" s="36"/>
      <c r="E1750" s="36"/>
      <c r="F1750" s="36"/>
      <c r="G1750" s="71"/>
      <c r="H1750" s="36"/>
      <c r="I1750" s="36"/>
      <c r="J1750" s="71"/>
      <c r="K1750" s="36"/>
      <c r="L1750" s="36"/>
      <c r="M1750" s="36"/>
      <c r="N1750" s="36"/>
      <c r="O1750" s="36"/>
      <c r="P1750" s="36"/>
    </row>
    <row r="1751" ht="14.25" customHeight="1">
      <c r="A1751" s="56"/>
      <c r="B1751" s="57"/>
      <c r="C1751" s="86" t="s">
        <v>26</v>
      </c>
      <c r="D1751" s="87"/>
      <c r="E1751" s="87"/>
      <c r="F1751" s="87"/>
      <c r="G1751" s="88"/>
      <c r="H1751" s="87"/>
      <c r="I1751" s="87"/>
      <c r="J1751" s="88"/>
      <c r="K1751" s="87"/>
      <c r="L1751" s="87"/>
      <c r="M1751" s="87"/>
      <c r="N1751" s="87"/>
      <c r="O1751" s="87"/>
      <c r="P1751" s="87"/>
    </row>
    <row r="1752" ht="14.25" customHeight="1">
      <c r="A1752" s="99"/>
      <c r="B1752" s="67"/>
      <c r="C1752" s="84" t="s">
        <v>20</v>
      </c>
      <c r="D1752" s="67"/>
      <c r="E1752" s="67"/>
      <c r="F1752" s="67"/>
      <c r="G1752" s="68"/>
      <c r="H1752" s="67"/>
      <c r="I1752" s="67"/>
      <c r="J1752" s="68"/>
      <c r="K1752" s="65"/>
      <c r="L1752" s="67"/>
      <c r="M1752" s="67"/>
      <c r="N1752" s="67"/>
      <c r="O1752" s="67"/>
      <c r="P1752" s="67"/>
    </row>
    <row r="1753" ht="14.25" customHeight="1">
      <c r="A1753" s="49"/>
      <c r="C1753" s="85" t="s">
        <v>21</v>
      </c>
      <c r="D1753" s="36"/>
      <c r="E1753" s="36"/>
      <c r="F1753" s="36"/>
      <c r="G1753" s="71"/>
      <c r="H1753" s="36"/>
      <c r="I1753" s="36"/>
      <c r="J1753" s="71"/>
      <c r="K1753" s="36"/>
      <c r="L1753" s="36"/>
      <c r="M1753" s="36"/>
      <c r="N1753" s="36"/>
      <c r="O1753" s="36"/>
      <c r="P1753" s="36"/>
    </row>
    <row r="1754" ht="14.25" customHeight="1">
      <c r="A1754" s="49"/>
      <c r="C1754" s="85" t="s">
        <v>22</v>
      </c>
      <c r="D1754" s="36"/>
      <c r="E1754" s="36"/>
      <c r="F1754" s="36"/>
      <c r="G1754" s="71"/>
      <c r="H1754" s="36"/>
      <c r="I1754" s="36"/>
      <c r="J1754" s="71"/>
      <c r="K1754" s="36"/>
      <c r="L1754" s="36"/>
      <c r="M1754" s="36"/>
      <c r="N1754" s="36"/>
      <c r="O1754" s="36"/>
      <c r="P1754" s="36"/>
    </row>
    <row r="1755" ht="14.25" customHeight="1">
      <c r="A1755" s="49"/>
      <c r="C1755" s="85" t="s">
        <v>23</v>
      </c>
      <c r="D1755" s="36"/>
      <c r="E1755" s="36"/>
      <c r="F1755" s="36"/>
      <c r="G1755" s="71"/>
      <c r="H1755" s="36"/>
      <c r="I1755" s="36"/>
      <c r="J1755" s="71"/>
      <c r="K1755" s="36"/>
      <c r="L1755" s="36"/>
      <c r="M1755" s="36"/>
      <c r="N1755" s="36"/>
      <c r="O1755" s="36"/>
      <c r="P1755" s="36"/>
    </row>
    <row r="1756" ht="14.25" customHeight="1">
      <c r="A1756" s="49"/>
      <c r="C1756" s="85" t="s">
        <v>24</v>
      </c>
      <c r="D1756" s="36"/>
      <c r="E1756" s="36"/>
      <c r="F1756" s="36"/>
      <c r="G1756" s="71"/>
      <c r="H1756" s="36"/>
      <c r="I1756" s="36"/>
      <c r="J1756" s="71"/>
      <c r="K1756" s="36"/>
      <c r="L1756" s="36"/>
      <c r="M1756" s="36"/>
      <c r="N1756" s="36"/>
      <c r="O1756" s="36"/>
      <c r="P1756" s="36"/>
    </row>
    <row r="1757" ht="14.25" customHeight="1">
      <c r="A1757" s="49"/>
      <c r="C1757" s="85" t="s">
        <v>25</v>
      </c>
      <c r="D1757" s="36"/>
      <c r="E1757" s="36"/>
      <c r="F1757" s="36"/>
      <c r="G1757" s="71"/>
      <c r="H1757" s="36"/>
      <c r="I1757" s="36"/>
      <c r="J1757" s="71"/>
      <c r="K1757" s="36"/>
      <c r="L1757" s="36"/>
      <c r="M1757" s="36"/>
      <c r="N1757" s="36"/>
      <c r="O1757" s="36"/>
      <c r="P1757" s="36"/>
    </row>
    <row r="1758" ht="14.25" customHeight="1">
      <c r="A1758" s="56"/>
      <c r="B1758" s="57"/>
      <c r="C1758" s="86" t="s">
        <v>26</v>
      </c>
      <c r="D1758" s="87"/>
      <c r="E1758" s="87"/>
      <c r="F1758" s="87"/>
      <c r="G1758" s="88"/>
      <c r="H1758" s="87"/>
      <c r="I1758" s="87"/>
      <c r="J1758" s="88"/>
      <c r="K1758" s="87"/>
      <c r="L1758" s="87"/>
      <c r="M1758" s="87"/>
      <c r="N1758" s="87"/>
      <c r="O1758" s="87"/>
      <c r="P1758" s="87"/>
    </row>
    <row r="1759" ht="14.25" customHeight="1">
      <c r="A1759" s="99"/>
      <c r="B1759" s="67"/>
      <c r="C1759" s="84" t="s">
        <v>20</v>
      </c>
      <c r="D1759" s="67"/>
      <c r="E1759" s="67"/>
      <c r="F1759" s="67"/>
      <c r="G1759" s="68"/>
      <c r="H1759" s="67"/>
      <c r="I1759" s="67"/>
      <c r="J1759" s="68"/>
      <c r="K1759" s="65"/>
      <c r="L1759" s="67"/>
      <c r="M1759" s="67"/>
      <c r="N1759" s="67"/>
      <c r="O1759" s="67"/>
      <c r="P1759" s="67"/>
    </row>
    <row r="1760" ht="14.25" customHeight="1">
      <c r="A1760" s="49"/>
      <c r="C1760" s="85" t="s">
        <v>21</v>
      </c>
      <c r="D1760" s="36"/>
      <c r="E1760" s="36"/>
      <c r="F1760" s="36"/>
      <c r="G1760" s="71"/>
      <c r="H1760" s="36"/>
      <c r="I1760" s="36"/>
      <c r="J1760" s="71"/>
      <c r="K1760" s="36"/>
      <c r="L1760" s="36"/>
      <c r="M1760" s="36"/>
      <c r="N1760" s="36"/>
      <c r="O1760" s="36"/>
      <c r="P1760" s="36"/>
    </row>
    <row r="1761" ht="14.25" customHeight="1">
      <c r="A1761" s="49"/>
      <c r="C1761" s="85" t="s">
        <v>22</v>
      </c>
      <c r="D1761" s="36"/>
      <c r="E1761" s="36"/>
      <c r="F1761" s="36"/>
      <c r="G1761" s="71"/>
      <c r="H1761" s="36"/>
      <c r="I1761" s="36"/>
      <c r="J1761" s="71"/>
      <c r="K1761" s="36"/>
      <c r="L1761" s="36"/>
      <c r="M1761" s="36"/>
      <c r="N1761" s="36"/>
      <c r="O1761" s="36"/>
      <c r="P1761" s="36"/>
    </row>
    <row r="1762" ht="14.25" customHeight="1">
      <c r="A1762" s="49"/>
      <c r="C1762" s="85" t="s">
        <v>23</v>
      </c>
      <c r="D1762" s="36"/>
      <c r="E1762" s="36"/>
      <c r="F1762" s="36"/>
      <c r="G1762" s="71"/>
      <c r="H1762" s="36"/>
      <c r="I1762" s="36"/>
      <c r="J1762" s="71"/>
      <c r="K1762" s="36"/>
      <c r="L1762" s="36"/>
      <c r="M1762" s="36"/>
      <c r="N1762" s="36"/>
      <c r="O1762" s="36"/>
      <c r="P1762" s="36"/>
    </row>
    <row r="1763" ht="14.25" customHeight="1">
      <c r="A1763" s="49"/>
      <c r="C1763" s="85" t="s">
        <v>24</v>
      </c>
      <c r="D1763" s="36"/>
      <c r="E1763" s="36"/>
      <c r="F1763" s="36"/>
      <c r="G1763" s="71"/>
      <c r="H1763" s="36"/>
      <c r="I1763" s="36"/>
      <c r="J1763" s="71"/>
      <c r="K1763" s="36"/>
      <c r="L1763" s="36"/>
      <c r="M1763" s="36"/>
      <c r="N1763" s="36"/>
      <c r="O1763" s="36"/>
      <c r="P1763" s="36"/>
    </row>
    <row r="1764" ht="14.25" customHeight="1">
      <c r="A1764" s="49"/>
      <c r="C1764" s="85" t="s">
        <v>25</v>
      </c>
      <c r="D1764" s="36"/>
      <c r="E1764" s="36"/>
      <c r="F1764" s="36"/>
      <c r="G1764" s="71"/>
      <c r="H1764" s="36"/>
      <c r="I1764" s="36"/>
      <c r="J1764" s="71"/>
      <c r="K1764" s="36"/>
      <c r="L1764" s="36"/>
      <c r="M1764" s="36"/>
      <c r="N1764" s="36"/>
      <c r="O1764" s="36"/>
      <c r="P1764" s="36"/>
    </row>
    <row r="1765" ht="14.25" customHeight="1">
      <c r="A1765" s="56"/>
      <c r="B1765" s="57"/>
      <c r="C1765" s="86" t="s">
        <v>26</v>
      </c>
      <c r="D1765" s="87"/>
      <c r="E1765" s="87"/>
      <c r="F1765" s="87"/>
      <c r="G1765" s="88"/>
      <c r="H1765" s="87"/>
      <c r="I1765" s="87"/>
      <c r="J1765" s="88"/>
      <c r="K1765" s="87"/>
      <c r="L1765" s="87"/>
      <c r="M1765" s="87"/>
      <c r="N1765" s="87"/>
      <c r="O1765" s="87"/>
      <c r="P1765" s="87"/>
    </row>
    <row r="1766" ht="14.25" customHeight="1">
      <c r="A1766" s="99"/>
      <c r="B1766" s="67"/>
      <c r="C1766" s="84" t="s">
        <v>20</v>
      </c>
      <c r="D1766" s="67"/>
      <c r="E1766" s="67"/>
      <c r="F1766" s="67"/>
      <c r="G1766" s="68"/>
      <c r="H1766" s="67"/>
      <c r="I1766" s="67"/>
      <c r="J1766" s="68"/>
      <c r="K1766" s="65"/>
      <c r="L1766" s="67"/>
      <c r="M1766" s="67"/>
      <c r="N1766" s="67"/>
      <c r="O1766" s="67"/>
      <c r="P1766" s="67"/>
    </row>
    <row r="1767" ht="14.25" customHeight="1">
      <c r="A1767" s="49"/>
      <c r="C1767" s="85" t="s">
        <v>21</v>
      </c>
      <c r="D1767" s="36"/>
      <c r="E1767" s="36"/>
      <c r="F1767" s="36"/>
      <c r="G1767" s="71"/>
      <c r="H1767" s="36"/>
      <c r="I1767" s="36"/>
      <c r="J1767" s="71"/>
      <c r="K1767" s="36"/>
      <c r="L1767" s="36"/>
      <c r="M1767" s="36"/>
      <c r="N1767" s="36"/>
      <c r="O1767" s="36"/>
      <c r="P1767" s="36"/>
    </row>
    <row r="1768" ht="14.25" customHeight="1">
      <c r="A1768" s="49"/>
      <c r="C1768" s="85" t="s">
        <v>22</v>
      </c>
      <c r="D1768" s="36"/>
      <c r="E1768" s="36"/>
      <c r="F1768" s="36"/>
      <c r="G1768" s="71"/>
      <c r="H1768" s="36"/>
      <c r="I1768" s="36"/>
      <c r="J1768" s="71"/>
      <c r="K1768" s="36"/>
      <c r="L1768" s="36"/>
      <c r="M1768" s="36"/>
      <c r="N1768" s="36"/>
      <c r="O1768" s="36"/>
      <c r="P1768" s="36"/>
    </row>
    <row r="1769" ht="14.25" customHeight="1">
      <c r="A1769" s="49"/>
      <c r="C1769" s="85" t="s">
        <v>23</v>
      </c>
      <c r="D1769" s="36"/>
      <c r="E1769" s="36"/>
      <c r="F1769" s="36"/>
      <c r="G1769" s="71"/>
      <c r="H1769" s="36"/>
      <c r="I1769" s="36"/>
      <c r="J1769" s="71"/>
      <c r="K1769" s="36"/>
      <c r="L1769" s="36"/>
      <c r="M1769" s="36"/>
      <c r="N1769" s="36"/>
      <c r="O1769" s="36"/>
      <c r="P1769" s="36"/>
    </row>
    <row r="1770" ht="14.25" customHeight="1">
      <c r="A1770" s="49"/>
      <c r="C1770" s="85" t="s">
        <v>24</v>
      </c>
      <c r="D1770" s="36"/>
      <c r="E1770" s="36"/>
      <c r="F1770" s="36"/>
      <c r="G1770" s="71"/>
      <c r="H1770" s="36"/>
      <c r="I1770" s="36"/>
      <c r="J1770" s="71"/>
      <c r="K1770" s="36"/>
      <c r="L1770" s="36"/>
      <c r="M1770" s="36"/>
      <c r="N1770" s="36"/>
      <c r="O1770" s="36"/>
      <c r="P1770" s="36"/>
    </row>
    <row r="1771" ht="14.25" customHeight="1">
      <c r="A1771" s="49"/>
      <c r="C1771" s="85" t="s">
        <v>25</v>
      </c>
      <c r="D1771" s="36"/>
      <c r="E1771" s="36"/>
      <c r="F1771" s="36"/>
      <c r="G1771" s="71"/>
      <c r="H1771" s="36"/>
      <c r="I1771" s="36"/>
      <c r="J1771" s="71"/>
      <c r="K1771" s="36"/>
      <c r="L1771" s="36"/>
      <c r="M1771" s="36"/>
      <c r="N1771" s="36"/>
      <c r="O1771" s="36"/>
      <c r="P1771" s="36"/>
    </row>
    <row r="1772" ht="14.25" customHeight="1">
      <c r="A1772" s="56"/>
      <c r="B1772" s="57"/>
      <c r="C1772" s="86" t="s">
        <v>26</v>
      </c>
      <c r="D1772" s="87"/>
      <c r="E1772" s="87"/>
      <c r="F1772" s="87"/>
      <c r="G1772" s="88"/>
      <c r="H1772" s="87"/>
      <c r="I1772" s="87"/>
      <c r="J1772" s="88"/>
      <c r="K1772" s="87"/>
      <c r="L1772" s="87"/>
      <c r="M1772" s="87"/>
      <c r="N1772" s="87"/>
      <c r="O1772" s="87"/>
      <c r="P1772" s="87"/>
    </row>
    <row r="1773" ht="14.25" customHeight="1">
      <c r="A1773" s="99"/>
      <c r="B1773" s="67"/>
      <c r="C1773" s="84" t="s">
        <v>20</v>
      </c>
      <c r="D1773" s="67"/>
      <c r="E1773" s="67"/>
      <c r="F1773" s="67"/>
      <c r="G1773" s="68"/>
      <c r="H1773" s="67"/>
      <c r="I1773" s="67"/>
      <c r="J1773" s="68"/>
      <c r="K1773" s="65"/>
      <c r="L1773" s="67"/>
      <c r="M1773" s="67"/>
      <c r="N1773" s="67"/>
      <c r="O1773" s="67"/>
      <c r="P1773" s="67"/>
    </row>
    <row r="1774" ht="14.25" customHeight="1">
      <c r="A1774" s="49"/>
      <c r="C1774" s="85" t="s">
        <v>21</v>
      </c>
      <c r="D1774" s="36"/>
      <c r="E1774" s="36"/>
      <c r="F1774" s="36"/>
      <c r="G1774" s="71"/>
      <c r="H1774" s="36"/>
      <c r="I1774" s="36"/>
      <c r="J1774" s="71"/>
      <c r="K1774" s="36"/>
      <c r="L1774" s="36"/>
      <c r="M1774" s="36"/>
      <c r="N1774" s="36"/>
      <c r="O1774" s="36"/>
      <c r="P1774" s="36"/>
    </row>
    <row r="1775" ht="14.25" customHeight="1">
      <c r="A1775" s="49"/>
      <c r="C1775" s="85" t="s">
        <v>22</v>
      </c>
      <c r="D1775" s="36"/>
      <c r="E1775" s="36"/>
      <c r="F1775" s="36"/>
      <c r="G1775" s="71"/>
      <c r="H1775" s="36"/>
      <c r="I1775" s="36"/>
      <c r="J1775" s="71"/>
      <c r="K1775" s="36"/>
      <c r="L1775" s="36"/>
      <c r="M1775" s="36"/>
      <c r="N1775" s="36"/>
      <c r="O1775" s="36"/>
      <c r="P1775" s="36"/>
    </row>
    <row r="1776" ht="14.25" customHeight="1">
      <c r="A1776" s="49"/>
      <c r="C1776" s="85" t="s">
        <v>23</v>
      </c>
      <c r="D1776" s="36"/>
      <c r="E1776" s="36"/>
      <c r="F1776" s="36"/>
      <c r="G1776" s="71"/>
      <c r="H1776" s="36"/>
      <c r="I1776" s="36"/>
      <c r="J1776" s="71"/>
      <c r="K1776" s="36"/>
      <c r="L1776" s="36"/>
      <c r="M1776" s="36"/>
      <c r="N1776" s="36"/>
      <c r="O1776" s="36"/>
      <c r="P1776" s="36"/>
    </row>
    <row r="1777" ht="14.25" customHeight="1">
      <c r="A1777" s="49"/>
      <c r="C1777" s="85" t="s">
        <v>24</v>
      </c>
      <c r="D1777" s="36"/>
      <c r="E1777" s="36"/>
      <c r="F1777" s="36"/>
      <c r="G1777" s="71"/>
      <c r="H1777" s="36"/>
      <c r="I1777" s="36"/>
      <c r="J1777" s="71"/>
      <c r="K1777" s="36"/>
      <c r="L1777" s="36"/>
      <c r="M1777" s="36"/>
      <c r="N1777" s="36"/>
      <c r="O1777" s="36"/>
      <c r="P1777" s="36"/>
    </row>
    <row r="1778" ht="14.25" customHeight="1">
      <c r="A1778" s="49"/>
      <c r="C1778" s="85" t="s">
        <v>25</v>
      </c>
      <c r="D1778" s="36"/>
      <c r="E1778" s="36"/>
      <c r="F1778" s="36"/>
      <c r="G1778" s="71"/>
      <c r="H1778" s="36"/>
      <c r="I1778" s="36"/>
      <c r="J1778" s="71"/>
      <c r="K1778" s="36"/>
      <c r="L1778" s="36"/>
      <c r="M1778" s="36"/>
      <c r="N1778" s="36"/>
      <c r="O1778" s="36"/>
      <c r="P1778" s="36"/>
    </row>
    <row r="1779" ht="14.25" customHeight="1">
      <c r="A1779" s="56"/>
      <c r="B1779" s="57"/>
      <c r="C1779" s="86" t="s">
        <v>26</v>
      </c>
      <c r="D1779" s="87"/>
      <c r="E1779" s="87"/>
      <c r="F1779" s="87"/>
      <c r="G1779" s="88"/>
      <c r="H1779" s="87"/>
      <c r="I1779" s="87"/>
      <c r="J1779" s="88"/>
      <c r="K1779" s="87"/>
      <c r="L1779" s="87"/>
      <c r="M1779" s="87"/>
      <c r="N1779" s="87"/>
      <c r="O1779" s="87"/>
      <c r="P1779" s="87"/>
    </row>
    <row r="1780" ht="14.25" customHeight="1">
      <c r="A1780" s="100"/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</row>
    <row r="1781" ht="14.25" customHeight="1">
      <c r="A1781" s="100"/>
      <c r="B1781" s="36"/>
      <c r="C1781" s="3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</row>
    <row r="1782" ht="14.25" customHeight="1">
      <c r="A1782" s="100"/>
      <c r="B1782" s="36"/>
      <c r="C1782" s="36"/>
      <c r="D1782" s="36"/>
      <c r="E1782" s="36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</row>
    <row r="1783" ht="14.25" customHeight="1">
      <c r="A1783" s="100"/>
      <c r="B1783" s="36"/>
      <c r="C1783" s="36"/>
      <c r="D1783" s="36"/>
      <c r="E1783" s="36"/>
      <c r="F1783" s="36"/>
      <c r="G1783" s="36"/>
      <c r="H1783" s="36"/>
      <c r="I1783" s="36"/>
      <c r="J1783" s="36"/>
      <c r="K1783" s="36"/>
      <c r="L1783" s="36"/>
      <c r="M1783" s="36"/>
      <c r="N1783" s="36"/>
      <c r="O1783" s="36"/>
      <c r="P1783" s="36"/>
    </row>
    <row r="1784" ht="14.25" customHeight="1">
      <c r="A1784" s="100"/>
      <c r="B1784" s="36"/>
      <c r="C1784" s="36"/>
      <c r="D1784" s="36"/>
      <c r="E1784" s="36"/>
      <c r="F1784" s="36"/>
      <c r="G1784" s="36"/>
      <c r="H1784" s="36"/>
      <c r="I1784" s="36"/>
      <c r="J1784" s="36"/>
      <c r="K1784" s="36"/>
      <c r="L1784" s="36"/>
      <c r="M1784" s="36"/>
      <c r="N1784" s="36"/>
      <c r="O1784" s="36"/>
      <c r="P1784" s="36"/>
    </row>
    <row r="1785" ht="14.25" customHeight="1">
      <c r="A1785" s="100"/>
      <c r="B1785" s="36"/>
      <c r="C1785" s="3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</row>
    <row r="1786" ht="14.25" customHeight="1">
      <c r="A1786" s="100"/>
      <c r="B1786" s="36"/>
      <c r="C1786" s="36"/>
      <c r="D1786" s="36"/>
      <c r="E1786" s="36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</row>
    <row r="1787" ht="14.25" customHeight="1">
      <c r="A1787" s="100"/>
      <c r="B1787" s="36"/>
      <c r="C1787" s="36"/>
      <c r="D1787" s="36"/>
      <c r="E1787" s="36"/>
      <c r="F1787" s="36"/>
      <c r="G1787" s="36"/>
      <c r="H1787" s="36"/>
      <c r="I1787" s="36"/>
      <c r="J1787" s="36"/>
      <c r="K1787" s="36"/>
      <c r="L1787" s="36"/>
      <c r="M1787" s="36"/>
      <c r="N1787" s="36"/>
      <c r="O1787" s="36"/>
      <c r="P1787" s="36"/>
    </row>
    <row r="1788" ht="14.25" customHeight="1">
      <c r="A1788" s="100"/>
      <c r="B1788" s="36"/>
      <c r="C1788" s="36"/>
      <c r="D1788" s="36"/>
      <c r="E1788" s="36"/>
      <c r="F1788" s="36"/>
      <c r="G1788" s="36"/>
      <c r="H1788" s="36"/>
      <c r="I1788" s="36"/>
      <c r="J1788" s="36"/>
      <c r="K1788" s="36"/>
      <c r="L1788" s="36"/>
      <c r="M1788" s="36"/>
      <c r="N1788" s="36"/>
      <c r="O1788" s="36"/>
      <c r="P1788" s="36"/>
    </row>
    <row r="1789" ht="14.25" customHeight="1">
      <c r="A1789" s="100"/>
      <c r="B1789" s="36"/>
      <c r="C1789" s="3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</row>
    <row r="1790" ht="14.25" customHeight="1">
      <c r="A1790" s="100"/>
      <c r="B1790" s="36"/>
      <c r="C1790" s="36"/>
      <c r="D1790" s="36"/>
      <c r="E1790" s="36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</row>
    <row r="1791" ht="14.25" customHeight="1">
      <c r="A1791" s="100"/>
      <c r="B1791" s="36"/>
      <c r="C1791" s="36"/>
      <c r="D1791" s="36"/>
      <c r="E1791" s="36"/>
      <c r="F1791" s="36"/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</row>
    <row r="1792" ht="14.25" customHeight="1">
      <c r="A1792" s="100"/>
      <c r="B1792" s="36"/>
      <c r="C1792" s="36"/>
      <c r="D1792" s="36"/>
      <c r="E1792" s="36"/>
      <c r="F1792" s="36"/>
      <c r="G1792" s="36"/>
      <c r="H1792" s="36"/>
      <c r="I1792" s="36"/>
      <c r="J1792" s="36"/>
      <c r="K1792" s="36"/>
      <c r="L1792" s="36"/>
      <c r="M1792" s="36"/>
      <c r="N1792" s="36"/>
      <c r="O1792" s="36"/>
      <c r="P1792" s="36"/>
    </row>
    <row r="1793" ht="14.25" customHeight="1">
      <c r="A1793" s="100"/>
      <c r="B1793" s="36"/>
      <c r="C1793" s="3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</row>
    <row r="1794" ht="14.25" customHeight="1">
      <c r="A1794" s="100"/>
      <c r="B1794" s="36"/>
      <c r="C1794" s="36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</row>
    <row r="1795" ht="14.25" customHeight="1">
      <c r="A1795" s="100"/>
      <c r="B1795" s="36"/>
      <c r="C1795" s="36"/>
      <c r="D1795" s="36"/>
      <c r="E1795" s="36"/>
      <c r="F1795" s="36"/>
      <c r="G1795" s="36"/>
      <c r="H1795" s="36"/>
      <c r="I1795" s="36"/>
      <c r="J1795" s="36"/>
      <c r="K1795" s="36"/>
      <c r="L1795" s="36"/>
      <c r="M1795" s="36"/>
      <c r="N1795" s="36"/>
      <c r="O1795" s="36"/>
      <c r="P1795" s="36"/>
    </row>
    <row r="1796" ht="14.25" customHeight="1">
      <c r="A1796" s="100"/>
      <c r="B1796" s="36"/>
      <c r="C1796" s="36"/>
      <c r="D1796" s="36"/>
      <c r="E1796" s="36"/>
      <c r="F1796" s="36"/>
      <c r="G1796" s="36"/>
      <c r="H1796" s="36"/>
      <c r="I1796" s="36"/>
      <c r="J1796" s="36"/>
      <c r="K1796" s="36"/>
      <c r="L1796" s="36"/>
      <c r="M1796" s="36"/>
      <c r="N1796" s="36"/>
      <c r="O1796" s="36"/>
      <c r="P1796" s="36"/>
    </row>
    <row r="1797" ht="14.25" customHeight="1">
      <c r="A1797" s="100"/>
      <c r="B1797" s="36"/>
      <c r="C1797" s="3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</row>
    <row r="1798" ht="14.25" customHeight="1">
      <c r="A1798" s="100"/>
      <c r="B1798" s="36"/>
      <c r="C1798" s="36"/>
      <c r="D1798" s="36"/>
      <c r="E1798" s="36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</row>
    <row r="1799" ht="14.25" customHeight="1">
      <c r="A1799" s="100"/>
      <c r="B1799" s="36"/>
      <c r="C1799" s="36"/>
      <c r="D1799" s="36"/>
      <c r="E1799" s="36"/>
      <c r="F1799" s="36"/>
      <c r="G1799" s="36"/>
      <c r="H1799" s="36"/>
      <c r="I1799" s="36"/>
      <c r="J1799" s="36"/>
      <c r="K1799" s="36"/>
      <c r="L1799" s="36"/>
      <c r="M1799" s="36"/>
      <c r="N1799" s="36"/>
      <c r="O1799" s="36"/>
      <c r="P1799" s="36"/>
    </row>
    <row r="1800" ht="14.25" customHeight="1">
      <c r="A1800" s="100"/>
      <c r="B1800" s="36"/>
      <c r="C1800" s="36"/>
      <c r="D1800" s="36"/>
      <c r="E1800" s="36"/>
      <c r="F1800" s="36"/>
      <c r="G1800" s="36"/>
      <c r="H1800" s="36"/>
      <c r="I1800" s="36"/>
      <c r="J1800" s="36"/>
      <c r="K1800" s="36"/>
      <c r="L1800" s="36"/>
      <c r="M1800" s="36"/>
      <c r="N1800" s="36"/>
      <c r="O1800" s="36"/>
      <c r="P1800" s="36"/>
    </row>
    <row r="1801" ht="14.25" customHeight="1">
      <c r="A1801" s="100"/>
      <c r="B1801" s="36"/>
      <c r="C1801" s="3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</row>
    <row r="1802" ht="14.25" customHeight="1">
      <c r="A1802" s="100"/>
      <c r="B1802" s="36"/>
      <c r="C1802" s="36"/>
      <c r="D1802" s="36"/>
      <c r="E1802" s="36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</row>
    <row r="1803" ht="14.25" customHeight="1">
      <c r="A1803" s="100"/>
      <c r="B1803" s="36"/>
      <c r="C1803" s="36"/>
      <c r="D1803" s="36"/>
      <c r="E1803" s="36"/>
      <c r="F1803" s="36"/>
      <c r="G1803" s="36"/>
      <c r="H1803" s="36"/>
      <c r="I1803" s="36"/>
      <c r="J1803" s="36"/>
      <c r="K1803" s="36"/>
      <c r="L1803" s="36"/>
      <c r="M1803" s="36"/>
      <c r="N1803" s="36"/>
      <c r="O1803" s="36"/>
      <c r="P1803" s="36"/>
    </row>
    <row r="1804" ht="14.25" customHeight="1">
      <c r="A1804" s="100"/>
      <c r="B1804" s="36"/>
      <c r="C1804" s="36"/>
      <c r="D1804" s="36"/>
      <c r="E1804" s="36"/>
      <c r="F1804" s="36"/>
      <c r="G1804" s="36"/>
      <c r="H1804" s="36"/>
      <c r="I1804" s="36"/>
      <c r="J1804" s="36"/>
      <c r="K1804" s="36"/>
      <c r="L1804" s="36"/>
      <c r="M1804" s="36"/>
      <c r="N1804" s="36"/>
      <c r="O1804" s="36"/>
      <c r="P1804" s="36"/>
    </row>
    <row r="1805" ht="14.25" customHeight="1">
      <c r="A1805" s="100"/>
      <c r="B1805" s="36"/>
      <c r="C1805" s="3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</row>
    <row r="1806" ht="14.25" customHeight="1">
      <c r="A1806" s="100"/>
      <c r="B1806" s="36"/>
      <c r="C1806" s="36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</row>
    <row r="1807" ht="14.25" customHeight="1">
      <c r="A1807" s="100"/>
      <c r="B1807" s="36"/>
      <c r="C1807" s="36"/>
      <c r="D1807" s="36"/>
      <c r="E1807" s="36"/>
      <c r="F1807" s="36"/>
      <c r="G1807" s="36"/>
      <c r="H1807" s="36"/>
      <c r="I1807" s="36"/>
      <c r="J1807" s="36"/>
      <c r="K1807" s="36"/>
      <c r="L1807" s="36"/>
      <c r="M1807" s="36"/>
      <c r="N1807" s="36"/>
      <c r="O1807" s="36"/>
      <c r="P1807" s="36"/>
    </row>
    <row r="1808" ht="14.25" customHeight="1">
      <c r="A1808" s="100"/>
      <c r="B1808" s="36"/>
      <c r="C1808" s="36"/>
      <c r="D1808" s="36"/>
      <c r="E1808" s="36"/>
      <c r="F1808" s="36"/>
      <c r="G1808" s="36"/>
      <c r="H1808" s="36"/>
      <c r="I1808" s="36"/>
      <c r="J1808" s="36"/>
      <c r="K1808" s="36"/>
      <c r="L1808" s="36"/>
      <c r="M1808" s="36"/>
      <c r="N1808" s="36"/>
      <c r="O1808" s="36"/>
      <c r="P1808" s="36"/>
    </row>
    <row r="1809" ht="14.25" customHeight="1">
      <c r="A1809" s="100"/>
      <c r="B1809" s="36"/>
      <c r="C1809" s="3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</row>
    <row r="1810" ht="14.25" customHeight="1">
      <c r="A1810" s="100"/>
      <c r="B1810" s="36"/>
      <c r="C1810" s="36"/>
      <c r="D1810" s="36"/>
      <c r="E1810" s="36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</row>
    <row r="1811" ht="14.25" customHeight="1">
      <c r="A1811" s="100"/>
      <c r="B1811" s="36"/>
      <c r="C1811" s="36"/>
      <c r="D1811" s="36"/>
      <c r="E1811" s="36"/>
      <c r="F1811" s="36"/>
      <c r="G1811" s="36"/>
      <c r="H1811" s="36"/>
      <c r="I1811" s="36"/>
      <c r="J1811" s="36"/>
      <c r="K1811" s="36"/>
      <c r="L1811" s="36"/>
      <c r="M1811" s="36"/>
      <c r="N1811" s="36"/>
      <c r="O1811" s="36"/>
      <c r="P1811" s="36"/>
    </row>
    <row r="1812" ht="14.25" customHeight="1">
      <c r="A1812" s="100"/>
      <c r="B1812" s="36"/>
      <c r="C1812" s="36"/>
      <c r="D1812" s="36"/>
      <c r="E1812" s="36"/>
      <c r="F1812" s="36"/>
      <c r="G1812" s="36"/>
      <c r="H1812" s="36"/>
      <c r="I1812" s="36"/>
      <c r="J1812" s="36"/>
      <c r="K1812" s="36"/>
      <c r="L1812" s="36"/>
      <c r="M1812" s="36"/>
      <c r="N1812" s="36"/>
      <c r="O1812" s="36"/>
      <c r="P1812" s="36"/>
    </row>
    <row r="1813" ht="14.25" customHeight="1">
      <c r="A1813" s="100"/>
      <c r="B1813" s="36"/>
      <c r="C1813" s="3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</row>
    <row r="1814" ht="14.25" customHeight="1">
      <c r="A1814" s="100"/>
      <c r="B1814" s="36"/>
      <c r="C1814" s="36"/>
      <c r="D1814" s="36"/>
      <c r="E1814" s="36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</row>
    <row r="1815" ht="14.25" customHeight="1">
      <c r="A1815" s="100"/>
      <c r="B1815" s="36"/>
      <c r="C1815" s="36"/>
      <c r="D1815" s="36"/>
      <c r="E1815" s="36"/>
      <c r="F1815" s="36"/>
      <c r="G1815" s="36"/>
      <c r="H1815" s="36"/>
      <c r="I1815" s="36"/>
      <c r="J1815" s="36"/>
      <c r="K1815" s="36"/>
      <c r="L1815" s="36"/>
      <c r="M1815" s="36"/>
      <c r="N1815" s="36"/>
      <c r="O1815" s="36"/>
      <c r="P1815" s="36"/>
    </row>
    <row r="1816" ht="14.25" customHeight="1">
      <c r="A1816" s="100"/>
      <c r="B1816" s="36"/>
      <c r="C1816" s="36"/>
      <c r="D1816" s="36"/>
      <c r="E1816" s="36"/>
      <c r="F1816" s="36"/>
      <c r="G1816" s="36"/>
      <c r="H1816" s="36"/>
      <c r="I1816" s="36"/>
      <c r="J1816" s="36"/>
      <c r="K1816" s="36"/>
      <c r="L1816" s="36"/>
      <c r="M1816" s="36"/>
      <c r="N1816" s="36"/>
      <c r="O1816" s="36"/>
      <c r="P1816" s="36"/>
    </row>
    <row r="1817" ht="14.25" customHeight="1">
      <c r="A1817" s="100"/>
      <c r="B1817" s="36"/>
      <c r="C1817" s="3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</row>
    <row r="1818" ht="14.25" customHeight="1">
      <c r="A1818" s="100"/>
      <c r="B1818" s="36"/>
      <c r="C1818" s="36"/>
      <c r="D1818" s="36"/>
      <c r="E1818" s="36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</row>
    <row r="1819" ht="14.25" customHeight="1">
      <c r="A1819" s="100"/>
      <c r="B1819" s="36"/>
      <c r="C1819" s="36"/>
      <c r="D1819" s="36"/>
      <c r="E1819" s="36"/>
      <c r="F1819" s="36"/>
      <c r="G1819" s="36"/>
      <c r="H1819" s="36"/>
      <c r="I1819" s="36"/>
      <c r="J1819" s="36"/>
      <c r="K1819" s="36"/>
      <c r="L1819" s="36"/>
      <c r="M1819" s="36"/>
      <c r="N1819" s="36"/>
      <c r="O1819" s="36"/>
      <c r="P1819" s="36"/>
    </row>
    <row r="1820" ht="14.25" customHeight="1">
      <c r="A1820" s="100"/>
      <c r="B1820" s="36"/>
      <c r="C1820" s="36"/>
      <c r="D1820" s="36"/>
      <c r="E1820" s="36"/>
      <c r="F1820" s="36"/>
      <c r="G1820" s="36"/>
      <c r="H1820" s="36"/>
      <c r="I1820" s="36"/>
      <c r="J1820" s="36"/>
      <c r="K1820" s="36"/>
      <c r="L1820" s="36"/>
      <c r="M1820" s="36"/>
      <c r="N1820" s="36"/>
      <c r="O1820" s="36"/>
      <c r="P1820" s="36"/>
    </row>
    <row r="1821" ht="14.25" customHeight="1">
      <c r="A1821" s="100"/>
      <c r="B1821" s="36"/>
      <c r="C1821" s="3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</row>
    <row r="1822" ht="14.25" customHeight="1">
      <c r="A1822" s="100"/>
      <c r="B1822" s="36"/>
      <c r="C1822" s="36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</row>
    <row r="1823" ht="14.25" customHeight="1">
      <c r="A1823" s="100"/>
      <c r="B1823" s="36"/>
      <c r="C1823" s="36"/>
      <c r="D1823" s="36"/>
      <c r="E1823" s="36"/>
      <c r="F1823" s="36"/>
      <c r="G1823" s="36"/>
      <c r="H1823" s="36"/>
      <c r="I1823" s="36"/>
      <c r="J1823" s="36"/>
      <c r="K1823" s="36"/>
      <c r="L1823" s="36"/>
      <c r="M1823" s="36"/>
      <c r="N1823" s="36"/>
      <c r="O1823" s="36"/>
      <c r="P1823" s="36"/>
    </row>
    <row r="1824" ht="14.25" customHeight="1">
      <c r="A1824" s="100"/>
      <c r="B1824" s="36"/>
      <c r="C1824" s="36"/>
      <c r="D1824" s="36"/>
      <c r="E1824" s="36"/>
      <c r="F1824" s="36"/>
      <c r="G1824" s="36"/>
      <c r="H1824" s="36"/>
      <c r="I1824" s="36"/>
      <c r="J1824" s="36"/>
      <c r="K1824" s="36"/>
      <c r="L1824" s="36"/>
      <c r="M1824" s="36"/>
      <c r="N1824" s="36"/>
      <c r="O1824" s="36"/>
      <c r="P1824" s="36"/>
    </row>
    <row r="1825" ht="14.25" customHeight="1">
      <c r="A1825" s="100"/>
      <c r="B1825" s="36"/>
      <c r="C1825" s="3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</row>
    <row r="1826" ht="14.25" customHeight="1">
      <c r="A1826" s="100"/>
      <c r="B1826" s="36"/>
      <c r="C1826" s="36"/>
      <c r="D1826" s="36"/>
      <c r="E1826" s="36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</row>
    <row r="1827" ht="14.25" customHeight="1">
      <c r="A1827" s="100"/>
      <c r="B1827" s="36"/>
      <c r="C1827" s="36"/>
      <c r="D1827" s="36"/>
      <c r="E1827" s="36"/>
      <c r="F1827" s="36"/>
      <c r="G1827" s="36"/>
      <c r="H1827" s="36"/>
      <c r="I1827" s="36"/>
      <c r="J1827" s="36"/>
      <c r="K1827" s="36"/>
      <c r="L1827" s="36"/>
      <c r="M1827" s="36"/>
      <c r="N1827" s="36"/>
      <c r="O1827" s="36"/>
      <c r="P1827" s="36"/>
    </row>
    <row r="1828" ht="14.25" customHeight="1">
      <c r="A1828" s="100"/>
      <c r="B1828" s="36"/>
      <c r="C1828" s="36"/>
      <c r="D1828" s="36"/>
      <c r="E1828" s="36"/>
      <c r="F1828" s="36"/>
      <c r="G1828" s="36"/>
      <c r="H1828" s="36"/>
      <c r="I1828" s="36"/>
      <c r="J1828" s="36"/>
      <c r="K1828" s="36"/>
      <c r="L1828" s="36"/>
      <c r="M1828" s="36"/>
      <c r="N1828" s="36"/>
      <c r="O1828" s="36"/>
      <c r="P1828" s="36"/>
    </row>
    <row r="1829" ht="14.25" customHeight="1">
      <c r="A1829" s="100"/>
      <c r="B1829" s="36"/>
      <c r="C1829" s="3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</row>
    <row r="1830" ht="14.25" customHeight="1">
      <c r="A1830" s="100"/>
      <c r="B1830" s="36"/>
      <c r="C1830" s="36"/>
      <c r="D1830" s="36"/>
      <c r="E1830" s="36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</row>
    <row r="1831" ht="14.25" customHeight="1">
      <c r="A1831" s="100"/>
      <c r="B1831" s="36"/>
      <c r="C1831" s="36"/>
      <c r="D1831" s="36"/>
      <c r="E1831" s="36"/>
      <c r="F1831" s="36"/>
      <c r="G1831" s="36"/>
      <c r="H1831" s="36"/>
      <c r="I1831" s="36"/>
      <c r="J1831" s="36"/>
      <c r="K1831" s="36"/>
      <c r="L1831" s="36"/>
      <c r="M1831" s="36"/>
      <c r="N1831" s="36"/>
      <c r="O1831" s="36"/>
      <c r="P1831" s="36"/>
    </row>
    <row r="1832" ht="14.25" customHeight="1">
      <c r="A1832" s="100"/>
      <c r="B1832" s="36"/>
      <c r="C1832" s="36"/>
      <c r="D1832" s="36"/>
      <c r="E1832" s="36"/>
      <c r="F1832" s="36"/>
      <c r="G1832" s="36"/>
      <c r="H1832" s="36"/>
      <c r="I1832" s="36"/>
      <c r="J1832" s="36"/>
      <c r="K1832" s="36"/>
      <c r="L1832" s="36"/>
      <c r="M1832" s="36"/>
      <c r="N1832" s="36"/>
      <c r="O1832" s="36"/>
      <c r="P1832" s="36"/>
    </row>
    <row r="1833" ht="14.25" customHeight="1">
      <c r="A1833" s="100"/>
      <c r="B1833" s="36"/>
      <c r="C1833" s="3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</row>
    <row r="1834" ht="14.25" customHeight="1">
      <c r="A1834" s="100"/>
      <c r="B1834" s="36"/>
      <c r="C1834" s="36"/>
      <c r="D1834" s="36"/>
      <c r="E1834" s="36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</row>
    <row r="1835" ht="14.25" customHeight="1">
      <c r="A1835" s="100"/>
      <c r="B1835" s="36"/>
      <c r="C1835" s="36"/>
      <c r="D1835" s="36"/>
      <c r="E1835" s="36"/>
      <c r="F1835" s="36"/>
      <c r="G1835" s="36"/>
      <c r="H1835" s="36"/>
      <c r="I1835" s="36"/>
      <c r="J1835" s="36"/>
      <c r="K1835" s="36"/>
      <c r="L1835" s="36"/>
      <c r="M1835" s="36"/>
      <c r="N1835" s="36"/>
      <c r="O1835" s="36"/>
      <c r="P1835" s="36"/>
    </row>
    <row r="1836" ht="14.25" customHeight="1">
      <c r="A1836" s="100"/>
      <c r="B1836" s="36"/>
      <c r="C1836" s="36"/>
      <c r="D1836" s="36"/>
      <c r="E1836" s="36"/>
      <c r="F1836" s="36"/>
      <c r="G1836" s="36"/>
      <c r="H1836" s="36"/>
      <c r="I1836" s="36"/>
      <c r="J1836" s="36"/>
      <c r="K1836" s="36"/>
      <c r="L1836" s="36"/>
      <c r="M1836" s="36"/>
      <c r="N1836" s="36"/>
      <c r="O1836" s="36"/>
      <c r="P1836" s="36"/>
    </row>
    <row r="1837" ht="14.25" customHeight="1">
      <c r="A1837" s="100"/>
      <c r="B1837" s="36"/>
      <c r="C1837" s="3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</row>
    <row r="1838" ht="14.25" customHeight="1">
      <c r="A1838" s="100"/>
      <c r="B1838" s="36"/>
      <c r="C1838" s="36"/>
      <c r="D1838" s="36"/>
      <c r="E1838" s="36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</row>
    <row r="1839" ht="14.25" customHeight="1">
      <c r="A1839" s="100"/>
      <c r="B1839" s="36"/>
      <c r="C1839" s="36"/>
      <c r="D1839" s="36"/>
      <c r="E1839" s="36"/>
      <c r="F1839" s="36"/>
      <c r="G1839" s="36"/>
      <c r="H1839" s="36"/>
      <c r="I1839" s="36"/>
      <c r="J1839" s="36"/>
      <c r="K1839" s="36"/>
      <c r="L1839" s="36"/>
      <c r="M1839" s="36"/>
      <c r="N1839" s="36"/>
      <c r="O1839" s="36"/>
      <c r="P1839" s="36"/>
    </row>
    <row r="1840" ht="14.25" customHeight="1">
      <c r="A1840" s="100"/>
      <c r="B1840" s="36"/>
      <c r="C1840" s="36"/>
      <c r="D1840" s="36"/>
      <c r="E1840" s="36"/>
      <c r="F1840" s="36"/>
      <c r="G1840" s="36"/>
      <c r="H1840" s="36"/>
      <c r="I1840" s="36"/>
      <c r="J1840" s="36"/>
      <c r="K1840" s="36"/>
      <c r="L1840" s="36"/>
      <c r="M1840" s="36"/>
      <c r="N1840" s="36"/>
      <c r="O1840" s="36"/>
      <c r="P1840" s="36"/>
    </row>
    <row r="1841" ht="14.25" customHeight="1">
      <c r="A1841" s="100"/>
      <c r="B1841" s="36"/>
      <c r="C1841" s="3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</row>
    <row r="1842" ht="14.25" customHeight="1">
      <c r="A1842" s="100"/>
      <c r="B1842" s="36"/>
      <c r="C1842" s="36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</row>
    <row r="1843" ht="14.25" customHeight="1">
      <c r="A1843" s="100"/>
      <c r="B1843" s="36"/>
      <c r="C1843" s="36"/>
      <c r="D1843" s="36"/>
      <c r="E1843" s="36"/>
      <c r="F1843" s="36"/>
      <c r="G1843" s="36"/>
      <c r="H1843" s="36"/>
      <c r="I1843" s="36"/>
      <c r="J1843" s="36"/>
      <c r="K1843" s="36"/>
      <c r="L1843" s="36"/>
      <c r="M1843" s="36"/>
      <c r="N1843" s="36"/>
      <c r="O1843" s="36"/>
      <c r="P1843" s="36"/>
    </row>
    <row r="1844" ht="14.25" customHeight="1">
      <c r="A1844" s="100"/>
      <c r="B1844" s="36"/>
      <c r="C1844" s="36"/>
      <c r="D1844" s="36"/>
      <c r="E1844" s="36"/>
      <c r="F1844" s="36"/>
      <c r="G1844" s="36"/>
      <c r="H1844" s="36"/>
      <c r="I1844" s="36"/>
      <c r="J1844" s="36"/>
      <c r="K1844" s="36"/>
      <c r="L1844" s="36"/>
      <c r="M1844" s="36"/>
      <c r="N1844" s="36"/>
      <c r="O1844" s="36"/>
      <c r="P1844" s="36"/>
    </row>
    <row r="1845" ht="14.25" customHeight="1">
      <c r="A1845" s="100"/>
      <c r="B1845" s="36"/>
      <c r="C1845" s="3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</row>
    <row r="1846" ht="14.25" customHeight="1">
      <c r="A1846" s="100"/>
      <c r="B1846" s="36"/>
      <c r="C1846" s="36"/>
      <c r="D1846" s="36"/>
      <c r="E1846" s="36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</row>
    <row r="1847" ht="14.25" customHeight="1">
      <c r="A1847" s="100"/>
      <c r="B1847" s="36"/>
      <c r="C1847" s="36"/>
      <c r="D1847" s="36"/>
      <c r="E1847" s="36"/>
      <c r="F1847" s="36"/>
      <c r="G1847" s="36"/>
      <c r="H1847" s="36"/>
      <c r="I1847" s="36"/>
      <c r="J1847" s="36"/>
      <c r="K1847" s="36"/>
      <c r="L1847" s="36"/>
      <c r="M1847" s="36"/>
      <c r="N1847" s="36"/>
      <c r="O1847" s="36"/>
      <c r="P1847" s="36"/>
    </row>
    <row r="1848" ht="14.25" customHeight="1">
      <c r="A1848" s="100"/>
      <c r="B1848" s="36"/>
      <c r="C1848" s="36"/>
      <c r="D1848" s="36"/>
      <c r="E1848" s="36"/>
      <c r="F1848" s="36"/>
      <c r="G1848" s="36"/>
      <c r="H1848" s="36"/>
      <c r="I1848" s="36"/>
      <c r="J1848" s="36"/>
      <c r="K1848" s="36"/>
      <c r="L1848" s="36"/>
      <c r="M1848" s="36"/>
      <c r="N1848" s="36"/>
      <c r="O1848" s="36"/>
      <c r="P1848" s="36"/>
    </row>
    <row r="1849" ht="14.25" customHeight="1">
      <c r="A1849" s="100"/>
      <c r="B1849" s="36"/>
      <c r="C1849" s="3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</row>
    <row r="1850" ht="14.25" customHeight="1">
      <c r="A1850" s="100"/>
      <c r="B1850" s="36"/>
      <c r="C1850" s="36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</row>
    <row r="1851" ht="14.25" customHeight="1">
      <c r="A1851" s="100"/>
      <c r="B1851" s="36"/>
      <c r="C1851" s="36"/>
      <c r="D1851" s="36"/>
      <c r="E1851" s="36"/>
      <c r="F1851" s="36"/>
      <c r="G1851" s="36"/>
      <c r="H1851" s="36"/>
      <c r="I1851" s="36"/>
      <c r="J1851" s="36"/>
      <c r="K1851" s="36"/>
      <c r="L1851" s="36"/>
      <c r="M1851" s="36"/>
      <c r="N1851" s="36"/>
      <c r="O1851" s="36"/>
      <c r="P1851" s="36"/>
    </row>
    <row r="1852" ht="14.25" customHeight="1">
      <c r="A1852" s="100"/>
      <c r="B1852" s="36"/>
      <c r="C1852" s="36"/>
      <c r="D1852" s="36"/>
      <c r="E1852" s="36"/>
      <c r="F1852" s="36"/>
      <c r="G1852" s="36"/>
      <c r="H1852" s="36"/>
      <c r="I1852" s="36"/>
      <c r="J1852" s="36"/>
      <c r="K1852" s="36"/>
      <c r="L1852" s="36"/>
      <c r="M1852" s="36"/>
      <c r="N1852" s="36"/>
      <c r="O1852" s="36"/>
      <c r="P1852" s="36"/>
    </row>
    <row r="1853" ht="14.25" customHeight="1">
      <c r="A1853" s="100"/>
      <c r="B1853" s="36"/>
      <c r="C1853" s="3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</row>
    <row r="1854" ht="14.25" customHeight="1">
      <c r="A1854" s="100"/>
      <c r="B1854" s="36"/>
      <c r="C1854" s="36"/>
      <c r="D1854" s="36"/>
      <c r="E1854" s="36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</row>
    <row r="1855" ht="14.25" customHeight="1">
      <c r="A1855" s="100"/>
      <c r="B1855" s="36"/>
      <c r="C1855" s="36"/>
      <c r="D1855" s="36"/>
      <c r="E1855" s="36"/>
      <c r="F1855" s="36"/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</row>
    <row r="1856" ht="14.25" customHeight="1">
      <c r="A1856" s="100"/>
      <c r="B1856" s="36"/>
      <c r="C1856" s="36"/>
      <c r="D1856" s="36"/>
      <c r="E1856" s="36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</row>
    <row r="1857" ht="14.25" customHeight="1">
      <c r="A1857" s="100"/>
      <c r="B1857" s="36"/>
      <c r="C1857" s="3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</row>
    <row r="1858" ht="14.25" customHeight="1">
      <c r="A1858" s="100"/>
      <c r="B1858" s="36"/>
      <c r="C1858" s="36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</row>
    <row r="1859" ht="14.25" customHeight="1">
      <c r="A1859" s="100"/>
      <c r="B1859" s="36"/>
      <c r="C1859" s="36"/>
      <c r="D1859" s="36"/>
      <c r="E1859" s="36"/>
      <c r="F1859" s="36"/>
      <c r="G1859" s="36"/>
      <c r="H1859" s="36"/>
      <c r="I1859" s="36"/>
      <c r="J1859" s="36"/>
      <c r="K1859" s="36"/>
      <c r="L1859" s="36"/>
      <c r="M1859" s="36"/>
      <c r="N1859" s="36"/>
      <c r="O1859" s="36"/>
      <c r="P1859" s="36"/>
    </row>
    <row r="1860" ht="14.25" customHeight="1">
      <c r="A1860" s="100"/>
      <c r="B1860" s="36"/>
      <c r="C1860" s="36"/>
      <c r="D1860" s="36"/>
      <c r="E1860" s="36"/>
      <c r="F1860" s="36"/>
      <c r="G1860" s="36"/>
      <c r="H1860" s="36"/>
      <c r="I1860" s="36"/>
      <c r="J1860" s="36"/>
      <c r="K1860" s="36"/>
      <c r="L1860" s="36"/>
      <c r="M1860" s="36"/>
      <c r="N1860" s="36"/>
      <c r="O1860" s="36"/>
      <c r="P1860" s="36"/>
    </row>
    <row r="1861" ht="14.25" customHeight="1">
      <c r="A1861" s="100"/>
      <c r="B1861" s="36"/>
      <c r="C1861" s="3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</row>
    <row r="1862" ht="14.25" customHeight="1">
      <c r="A1862" s="100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</row>
    <row r="1863" ht="14.25" customHeight="1">
      <c r="A1863" s="100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  <c r="L1863" s="36"/>
      <c r="M1863" s="36"/>
      <c r="N1863" s="36"/>
      <c r="O1863" s="36"/>
      <c r="P1863" s="36"/>
    </row>
    <row r="1864" ht="14.25" customHeight="1">
      <c r="A1864" s="100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  <c r="L1864" s="36"/>
      <c r="M1864" s="36"/>
      <c r="N1864" s="36"/>
      <c r="O1864" s="36"/>
      <c r="P1864" s="36"/>
    </row>
    <row r="1865" ht="14.25" customHeight="1">
      <c r="A1865" s="100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</row>
    <row r="1866" ht="14.25" customHeight="1">
      <c r="A1866" s="100"/>
      <c r="B1866" s="36"/>
      <c r="C1866" s="36"/>
      <c r="D1866" s="36"/>
      <c r="E1866" s="36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</row>
    <row r="1867" ht="14.25" customHeight="1">
      <c r="A1867" s="100"/>
      <c r="B1867" s="36"/>
      <c r="C1867" s="36"/>
      <c r="D1867" s="36"/>
      <c r="E1867" s="36"/>
      <c r="F1867" s="36"/>
      <c r="G1867" s="36"/>
      <c r="H1867" s="36"/>
      <c r="I1867" s="36"/>
      <c r="J1867" s="36"/>
      <c r="K1867" s="36"/>
      <c r="L1867" s="36"/>
      <c r="M1867" s="36"/>
      <c r="N1867" s="36"/>
      <c r="O1867" s="36"/>
      <c r="P1867" s="36"/>
    </row>
    <row r="1868" ht="14.25" customHeight="1">
      <c r="A1868" s="100"/>
      <c r="B1868" s="36"/>
      <c r="C1868" s="36"/>
      <c r="D1868" s="36"/>
      <c r="E1868" s="36"/>
      <c r="F1868" s="36"/>
      <c r="G1868" s="36"/>
      <c r="H1868" s="36"/>
      <c r="I1868" s="36"/>
      <c r="J1868" s="36"/>
      <c r="K1868" s="36"/>
      <c r="L1868" s="36"/>
      <c r="M1868" s="36"/>
      <c r="N1868" s="36"/>
      <c r="O1868" s="36"/>
      <c r="P1868" s="36"/>
    </row>
    <row r="1869" ht="14.25" customHeight="1">
      <c r="A1869" s="100"/>
      <c r="B1869" s="36"/>
      <c r="C1869" s="3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</row>
    <row r="1870" ht="14.25" customHeight="1">
      <c r="A1870" s="100"/>
      <c r="B1870" s="36"/>
      <c r="C1870" s="36"/>
      <c r="D1870" s="36"/>
      <c r="E1870" s="36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</row>
    <row r="1871" ht="14.25" customHeight="1">
      <c r="A1871" s="100"/>
      <c r="B1871" s="36"/>
      <c r="C1871" s="36"/>
      <c r="D1871" s="36"/>
      <c r="E1871" s="36"/>
      <c r="F1871" s="36"/>
      <c r="G1871" s="36"/>
      <c r="H1871" s="36"/>
      <c r="I1871" s="36"/>
      <c r="J1871" s="36"/>
      <c r="K1871" s="36"/>
      <c r="L1871" s="36"/>
      <c r="M1871" s="36"/>
      <c r="N1871" s="36"/>
      <c r="O1871" s="36"/>
      <c r="P1871" s="36"/>
    </row>
    <row r="1872" ht="14.25" customHeight="1">
      <c r="A1872" s="100"/>
      <c r="B1872" s="36"/>
      <c r="C1872" s="36"/>
      <c r="D1872" s="36"/>
      <c r="E1872" s="36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6"/>
    </row>
    <row r="1873" ht="14.25" customHeight="1">
      <c r="A1873" s="100"/>
      <c r="B1873" s="36"/>
      <c r="C1873" s="3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</row>
    <row r="1874" ht="14.25" customHeight="1">
      <c r="A1874" s="100"/>
      <c r="B1874" s="36"/>
      <c r="C1874" s="36"/>
      <c r="D1874" s="36"/>
      <c r="E1874" s="36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</row>
    <row r="1875" ht="14.25" customHeight="1">
      <c r="A1875" s="100"/>
      <c r="B1875" s="36"/>
      <c r="C1875" s="36"/>
      <c r="D1875" s="36"/>
      <c r="E1875" s="36"/>
      <c r="F1875" s="36"/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</row>
    <row r="1876" ht="14.25" customHeight="1">
      <c r="A1876" s="100"/>
      <c r="B1876" s="36"/>
      <c r="C1876" s="36"/>
      <c r="D1876" s="36"/>
      <c r="E1876" s="36"/>
      <c r="F1876" s="36"/>
      <c r="G1876" s="36"/>
      <c r="H1876" s="36"/>
      <c r="I1876" s="36"/>
      <c r="J1876" s="36"/>
      <c r="K1876" s="36"/>
      <c r="L1876" s="36"/>
      <c r="M1876" s="36"/>
      <c r="N1876" s="36"/>
      <c r="O1876" s="36"/>
      <c r="P1876" s="36"/>
    </row>
    <row r="1877" ht="14.25" customHeight="1">
      <c r="A1877" s="100"/>
      <c r="B1877" s="36"/>
      <c r="C1877" s="3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</row>
    <row r="1878" ht="14.25" customHeight="1">
      <c r="A1878" s="100"/>
      <c r="B1878" s="36"/>
      <c r="C1878" s="36"/>
      <c r="D1878" s="36"/>
      <c r="E1878" s="36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</row>
    <row r="1879" ht="14.25" customHeight="1">
      <c r="A1879" s="100"/>
      <c r="B1879" s="36"/>
      <c r="C1879" s="36"/>
      <c r="D1879" s="36"/>
      <c r="E1879" s="36"/>
      <c r="F1879" s="36"/>
      <c r="G1879" s="36"/>
      <c r="H1879" s="36"/>
      <c r="I1879" s="36"/>
      <c r="J1879" s="36"/>
      <c r="K1879" s="36"/>
      <c r="L1879" s="36"/>
      <c r="M1879" s="36"/>
      <c r="N1879" s="36"/>
      <c r="O1879" s="36"/>
      <c r="P1879" s="36"/>
    </row>
    <row r="1880" ht="14.25" customHeight="1">
      <c r="A1880" s="100"/>
      <c r="B1880" s="36"/>
      <c r="C1880" s="36"/>
      <c r="D1880" s="36"/>
      <c r="E1880" s="36"/>
      <c r="F1880" s="36"/>
      <c r="G1880" s="36"/>
      <c r="H1880" s="36"/>
      <c r="I1880" s="36"/>
      <c r="J1880" s="36"/>
      <c r="K1880" s="36"/>
      <c r="L1880" s="36"/>
      <c r="M1880" s="36"/>
      <c r="N1880" s="36"/>
      <c r="O1880" s="36"/>
      <c r="P1880" s="36"/>
    </row>
    <row r="1881" ht="14.25" customHeight="1">
      <c r="A1881" s="100"/>
      <c r="B1881" s="36"/>
      <c r="C1881" s="3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</row>
    <row r="1882" ht="14.25" customHeight="1">
      <c r="A1882" s="100"/>
      <c r="B1882" s="36"/>
      <c r="C1882" s="36"/>
      <c r="D1882" s="36"/>
      <c r="E1882" s="36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</row>
    <row r="1883" ht="14.25" customHeight="1">
      <c r="A1883" s="100"/>
      <c r="B1883" s="36"/>
      <c r="C1883" s="36"/>
      <c r="D1883" s="36"/>
      <c r="E1883" s="36"/>
      <c r="F1883" s="36"/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</row>
    <row r="1884" ht="14.25" customHeight="1">
      <c r="A1884" s="100"/>
      <c r="B1884" s="36"/>
      <c r="C1884" s="36"/>
      <c r="D1884" s="36"/>
      <c r="E1884" s="36"/>
      <c r="F1884" s="36"/>
      <c r="G1884" s="36"/>
      <c r="H1884" s="36"/>
      <c r="I1884" s="36"/>
      <c r="J1884" s="36"/>
      <c r="K1884" s="36"/>
      <c r="L1884" s="36"/>
      <c r="M1884" s="36"/>
      <c r="N1884" s="36"/>
      <c r="O1884" s="36"/>
      <c r="P1884" s="36"/>
    </row>
    <row r="1885" ht="14.25" customHeight="1">
      <c r="A1885" s="100"/>
      <c r="B1885" s="36"/>
      <c r="C1885" s="3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</row>
    <row r="1886" ht="14.25" customHeight="1">
      <c r="A1886" s="100"/>
      <c r="B1886" s="36"/>
      <c r="C1886" s="36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</row>
    <row r="1887" ht="14.25" customHeight="1">
      <c r="A1887" s="100"/>
      <c r="B1887" s="36"/>
      <c r="C1887" s="36"/>
      <c r="D1887" s="36"/>
      <c r="E1887" s="36"/>
      <c r="F1887" s="36"/>
      <c r="G1887" s="36"/>
      <c r="H1887" s="36"/>
      <c r="I1887" s="36"/>
      <c r="J1887" s="36"/>
      <c r="K1887" s="36"/>
      <c r="L1887" s="36"/>
      <c r="M1887" s="36"/>
      <c r="N1887" s="36"/>
      <c r="O1887" s="36"/>
      <c r="P1887" s="36"/>
    </row>
    <row r="1888" ht="14.25" customHeight="1">
      <c r="A1888" s="100"/>
      <c r="B1888" s="36"/>
      <c r="C1888" s="36"/>
      <c r="D1888" s="36"/>
      <c r="E1888" s="36"/>
      <c r="F1888" s="36"/>
      <c r="G1888" s="36"/>
      <c r="H1888" s="36"/>
      <c r="I1888" s="36"/>
      <c r="J1888" s="36"/>
      <c r="K1888" s="36"/>
      <c r="L1888" s="36"/>
      <c r="M1888" s="36"/>
      <c r="N1888" s="36"/>
      <c r="O1888" s="36"/>
      <c r="P1888" s="36"/>
    </row>
    <row r="1889" ht="14.25" customHeight="1">
      <c r="A1889" s="100"/>
      <c r="B1889" s="36"/>
      <c r="C1889" s="3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</row>
    <row r="1890" ht="14.25" customHeight="1">
      <c r="A1890" s="100"/>
      <c r="B1890" s="36"/>
      <c r="C1890" s="36"/>
      <c r="D1890" s="36"/>
      <c r="E1890" s="36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</row>
    <row r="1891" ht="14.25" customHeight="1">
      <c r="A1891" s="100"/>
      <c r="B1891" s="36"/>
      <c r="C1891" s="36"/>
      <c r="D1891" s="36"/>
      <c r="E1891" s="36"/>
      <c r="F1891" s="36"/>
      <c r="G1891" s="36"/>
      <c r="H1891" s="36"/>
      <c r="I1891" s="36"/>
      <c r="J1891" s="36"/>
      <c r="K1891" s="36"/>
      <c r="L1891" s="36"/>
      <c r="M1891" s="36"/>
      <c r="N1891" s="36"/>
      <c r="O1891" s="36"/>
      <c r="P1891" s="36"/>
    </row>
    <row r="1892" ht="14.25" customHeight="1">
      <c r="A1892" s="100"/>
      <c r="B1892" s="36"/>
      <c r="C1892" s="36"/>
      <c r="D1892" s="36"/>
      <c r="E1892" s="36"/>
      <c r="F1892" s="36"/>
      <c r="G1892" s="36"/>
      <c r="H1892" s="36"/>
      <c r="I1892" s="36"/>
      <c r="J1892" s="36"/>
      <c r="K1892" s="36"/>
      <c r="L1892" s="36"/>
      <c r="M1892" s="36"/>
      <c r="N1892" s="36"/>
      <c r="O1892" s="36"/>
      <c r="P1892" s="36"/>
    </row>
    <row r="1893" ht="14.25" customHeight="1">
      <c r="A1893" s="100"/>
      <c r="B1893" s="36"/>
      <c r="C1893" s="3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</row>
    <row r="1894" ht="14.25" customHeight="1">
      <c r="A1894" s="100"/>
      <c r="B1894" s="36"/>
      <c r="C1894" s="36"/>
      <c r="D1894" s="36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</row>
    <row r="1895" ht="14.25" customHeight="1">
      <c r="A1895" s="100"/>
      <c r="B1895" s="36"/>
      <c r="C1895" s="36"/>
      <c r="D1895" s="36"/>
      <c r="E1895" s="36"/>
      <c r="F1895" s="36"/>
      <c r="G1895" s="36"/>
      <c r="H1895" s="36"/>
      <c r="I1895" s="36"/>
      <c r="J1895" s="36"/>
      <c r="K1895" s="36"/>
      <c r="L1895" s="36"/>
      <c r="M1895" s="36"/>
      <c r="N1895" s="36"/>
      <c r="O1895" s="36"/>
      <c r="P1895" s="36"/>
    </row>
    <row r="1896" ht="14.25" customHeight="1">
      <c r="A1896" s="100"/>
      <c r="B1896" s="36"/>
      <c r="C1896" s="36"/>
      <c r="D1896" s="36"/>
      <c r="E1896" s="36"/>
      <c r="F1896" s="36"/>
      <c r="G1896" s="36"/>
      <c r="H1896" s="36"/>
      <c r="I1896" s="36"/>
      <c r="J1896" s="36"/>
      <c r="K1896" s="36"/>
      <c r="L1896" s="36"/>
      <c r="M1896" s="36"/>
      <c r="N1896" s="36"/>
      <c r="O1896" s="36"/>
      <c r="P1896" s="36"/>
    </row>
    <row r="1897" ht="14.25" customHeight="1">
      <c r="A1897" s="100"/>
      <c r="B1897" s="36"/>
      <c r="C1897" s="3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</row>
    <row r="1898" ht="14.25" customHeight="1">
      <c r="A1898" s="100"/>
      <c r="B1898" s="36"/>
      <c r="C1898" s="36"/>
      <c r="D1898" s="36"/>
      <c r="E1898" s="36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</row>
    <row r="1899" ht="14.25" customHeight="1">
      <c r="A1899" s="100"/>
      <c r="B1899" s="36"/>
      <c r="C1899" s="36"/>
      <c r="D1899" s="36"/>
      <c r="E1899" s="36"/>
      <c r="F1899" s="36"/>
      <c r="G1899" s="36"/>
      <c r="H1899" s="36"/>
      <c r="I1899" s="36"/>
      <c r="J1899" s="36"/>
      <c r="K1899" s="36"/>
      <c r="L1899" s="36"/>
      <c r="M1899" s="36"/>
      <c r="N1899" s="36"/>
      <c r="O1899" s="36"/>
      <c r="P1899" s="36"/>
    </row>
    <row r="1900" ht="14.25" customHeight="1">
      <c r="A1900" s="100"/>
      <c r="B1900" s="36"/>
      <c r="C1900" s="36"/>
      <c r="D1900" s="36"/>
      <c r="E1900" s="36"/>
      <c r="F1900" s="36"/>
      <c r="G1900" s="36"/>
      <c r="H1900" s="36"/>
      <c r="I1900" s="36"/>
      <c r="J1900" s="36"/>
      <c r="K1900" s="36"/>
      <c r="L1900" s="36"/>
      <c r="M1900" s="36"/>
      <c r="N1900" s="36"/>
      <c r="O1900" s="36"/>
      <c r="P1900" s="36"/>
    </row>
    <row r="1901" ht="14.25" customHeight="1">
      <c r="A1901" s="100"/>
      <c r="B1901" s="36"/>
      <c r="C1901" s="3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</row>
    <row r="1902" ht="14.25" customHeight="1">
      <c r="A1902" s="100"/>
      <c r="B1902" s="36"/>
      <c r="C1902" s="36"/>
      <c r="D1902" s="36"/>
      <c r="E1902" s="36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</row>
    <row r="1903" ht="14.25" customHeight="1">
      <c r="A1903" s="100"/>
      <c r="B1903" s="36"/>
      <c r="C1903" s="36"/>
      <c r="D1903" s="36"/>
      <c r="E1903" s="36"/>
      <c r="F1903" s="36"/>
      <c r="G1903" s="36"/>
      <c r="H1903" s="36"/>
      <c r="I1903" s="36"/>
      <c r="J1903" s="36"/>
      <c r="K1903" s="36"/>
      <c r="L1903" s="36"/>
      <c r="M1903" s="36"/>
      <c r="N1903" s="36"/>
      <c r="O1903" s="36"/>
      <c r="P1903" s="36"/>
    </row>
    <row r="1904" ht="14.25" customHeight="1">
      <c r="A1904" s="100"/>
      <c r="B1904" s="36"/>
      <c r="C1904" s="36"/>
      <c r="D1904" s="36"/>
      <c r="E1904" s="36"/>
      <c r="F1904" s="36"/>
      <c r="G1904" s="36"/>
      <c r="H1904" s="36"/>
      <c r="I1904" s="36"/>
      <c r="J1904" s="36"/>
      <c r="K1904" s="36"/>
      <c r="L1904" s="36"/>
      <c r="M1904" s="36"/>
      <c r="N1904" s="36"/>
      <c r="O1904" s="36"/>
      <c r="P1904" s="36"/>
    </row>
    <row r="1905" ht="14.25" customHeight="1">
      <c r="A1905" s="100"/>
      <c r="B1905" s="36"/>
      <c r="C1905" s="3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</row>
    <row r="1906" ht="14.25" customHeight="1">
      <c r="A1906" s="100"/>
      <c r="B1906" s="36"/>
      <c r="C1906" s="36"/>
      <c r="D1906" s="36"/>
      <c r="E1906" s="36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</row>
    <row r="1907" ht="14.25" customHeight="1">
      <c r="A1907" s="100"/>
      <c r="B1907" s="36"/>
      <c r="C1907" s="36"/>
      <c r="D1907" s="36"/>
      <c r="E1907" s="36"/>
      <c r="F1907" s="36"/>
      <c r="G1907" s="36"/>
      <c r="H1907" s="36"/>
      <c r="I1907" s="36"/>
      <c r="J1907" s="36"/>
      <c r="K1907" s="36"/>
      <c r="L1907" s="36"/>
      <c r="M1907" s="36"/>
      <c r="N1907" s="36"/>
      <c r="O1907" s="36"/>
      <c r="P1907" s="36"/>
    </row>
    <row r="1908" ht="14.25" customHeight="1">
      <c r="A1908" s="100"/>
      <c r="B1908" s="36"/>
      <c r="C1908" s="36"/>
      <c r="D1908" s="36"/>
      <c r="E1908" s="36"/>
      <c r="F1908" s="36"/>
      <c r="G1908" s="36"/>
      <c r="H1908" s="36"/>
      <c r="I1908" s="36"/>
      <c r="J1908" s="36"/>
      <c r="K1908" s="36"/>
      <c r="L1908" s="36"/>
      <c r="M1908" s="36"/>
      <c r="N1908" s="36"/>
      <c r="O1908" s="36"/>
      <c r="P1908" s="36"/>
    </row>
    <row r="1909" ht="14.25" customHeight="1">
      <c r="A1909" s="100"/>
      <c r="B1909" s="36"/>
      <c r="C1909" s="3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</row>
    <row r="1910" ht="14.25" customHeight="1">
      <c r="A1910" s="100"/>
      <c r="B1910" s="36"/>
      <c r="C1910" s="36"/>
      <c r="D1910" s="36"/>
      <c r="E1910" s="36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</row>
    <row r="1911" ht="14.25" customHeight="1">
      <c r="A1911" s="100"/>
      <c r="B1911" s="36"/>
      <c r="C1911" s="36"/>
      <c r="D1911" s="36"/>
      <c r="E1911" s="36"/>
      <c r="F1911" s="36"/>
      <c r="G1911" s="36"/>
      <c r="H1911" s="36"/>
      <c r="I1911" s="36"/>
      <c r="J1911" s="36"/>
      <c r="K1911" s="36"/>
      <c r="L1911" s="36"/>
      <c r="M1911" s="36"/>
      <c r="N1911" s="36"/>
      <c r="O1911" s="36"/>
      <c r="P1911" s="36"/>
    </row>
    <row r="1912" ht="14.25" customHeight="1">
      <c r="A1912" s="100"/>
      <c r="B1912" s="36"/>
      <c r="C1912" s="36"/>
      <c r="D1912" s="36"/>
      <c r="E1912" s="36"/>
      <c r="F1912" s="36"/>
      <c r="G1912" s="36"/>
      <c r="H1912" s="36"/>
      <c r="I1912" s="36"/>
      <c r="J1912" s="36"/>
      <c r="K1912" s="36"/>
      <c r="L1912" s="36"/>
      <c r="M1912" s="36"/>
      <c r="N1912" s="36"/>
      <c r="O1912" s="36"/>
      <c r="P1912" s="36"/>
    </row>
    <row r="1913" ht="14.25" customHeight="1">
      <c r="A1913" s="100"/>
      <c r="B1913" s="36"/>
      <c r="C1913" s="3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</row>
    <row r="1914" ht="14.25" customHeight="1">
      <c r="A1914" s="100"/>
      <c r="B1914" s="36"/>
      <c r="C1914" s="36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</row>
    <row r="1915" ht="14.25" customHeight="1">
      <c r="A1915" s="100"/>
      <c r="B1915" s="36"/>
      <c r="C1915" s="36"/>
      <c r="D1915" s="36"/>
      <c r="E1915" s="36"/>
      <c r="F1915" s="36"/>
      <c r="G1915" s="36"/>
      <c r="H1915" s="36"/>
      <c r="I1915" s="36"/>
      <c r="J1915" s="36"/>
      <c r="K1915" s="36"/>
      <c r="L1915" s="36"/>
      <c r="M1915" s="36"/>
      <c r="N1915" s="36"/>
      <c r="O1915" s="36"/>
      <c r="P1915" s="36"/>
    </row>
    <row r="1916" ht="14.25" customHeight="1">
      <c r="A1916" s="100"/>
      <c r="B1916" s="36"/>
      <c r="C1916" s="36"/>
      <c r="D1916" s="36"/>
      <c r="E1916" s="36"/>
      <c r="F1916" s="36"/>
      <c r="G1916" s="36"/>
      <c r="H1916" s="36"/>
      <c r="I1916" s="36"/>
      <c r="J1916" s="36"/>
      <c r="K1916" s="36"/>
      <c r="L1916" s="36"/>
      <c r="M1916" s="36"/>
      <c r="N1916" s="36"/>
      <c r="O1916" s="36"/>
      <c r="P1916" s="36"/>
    </row>
    <row r="1917" ht="14.25" customHeight="1">
      <c r="A1917" s="100"/>
      <c r="B1917" s="36"/>
      <c r="C1917" s="3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</row>
    <row r="1918" ht="14.25" customHeight="1">
      <c r="A1918" s="100"/>
      <c r="B1918" s="36"/>
      <c r="C1918" s="36"/>
      <c r="D1918" s="36"/>
      <c r="E1918" s="36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</row>
    <row r="1919" ht="14.25" customHeight="1">
      <c r="A1919" s="100"/>
      <c r="B1919" s="36"/>
      <c r="C1919" s="36"/>
      <c r="D1919" s="36"/>
      <c r="E1919" s="36"/>
      <c r="F1919" s="36"/>
      <c r="G1919" s="36"/>
      <c r="H1919" s="36"/>
      <c r="I1919" s="36"/>
      <c r="J1919" s="36"/>
      <c r="K1919" s="36"/>
      <c r="L1919" s="36"/>
      <c r="M1919" s="36"/>
      <c r="N1919" s="36"/>
      <c r="O1919" s="36"/>
      <c r="P1919" s="36"/>
    </row>
    <row r="1920" ht="14.25" customHeight="1">
      <c r="A1920" s="100"/>
      <c r="B1920" s="36"/>
      <c r="C1920" s="36"/>
      <c r="D1920" s="36"/>
      <c r="E1920" s="36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6"/>
    </row>
    <row r="1921" ht="14.25" customHeight="1">
      <c r="A1921" s="100"/>
      <c r="B1921" s="36"/>
      <c r="C1921" s="3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</row>
    <row r="1922" ht="14.25" customHeight="1">
      <c r="A1922" s="100"/>
      <c r="B1922" s="36"/>
      <c r="C1922" s="36"/>
      <c r="D1922" s="36"/>
      <c r="E1922" s="36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</row>
    <row r="1923" ht="14.25" customHeight="1">
      <c r="A1923" s="100"/>
      <c r="B1923" s="36"/>
      <c r="C1923" s="36"/>
      <c r="D1923" s="36"/>
      <c r="E1923" s="36"/>
      <c r="F1923" s="36"/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</row>
    <row r="1924" ht="14.25" customHeight="1">
      <c r="A1924" s="100"/>
      <c r="B1924" s="36"/>
      <c r="C1924" s="36"/>
      <c r="D1924" s="36"/>
      <c r="E1924" s="36"/>
      <c r="F1924" s="36"/>
      <c r="G1924" s="36"/>
      <c r="H1924" s="36"/>
      <c r="I1924" s="36"/>
      <c r="J1924" s="36"/>
      <c r="K1924" s="36"/>
      <c r="L1924" s="36"/>
      <c r="M1924" s="36"/>
      <c r="N1924" s="36"/>
      <c r="O1924" s="36"/>
      <c r="P1924" s="36"/>
    </row>
    <row r="1925" ht="14.25" customHeight="1">
      <c r="A1925" s="100"/>
      <c r="B1925" s="36"/>
      <c r="C1925" s="3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</row>
    <row r="1926" ht="14.25" customHeight="1">
      <c r="A1926" s="100"/>
      <c r="B1926" s="36"/>
      <c r="C1926" s="36"/>
      <c r="D1926" s="36"/>
      <c r="E1926" s="36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</row>
    <row r="1927" ht="14.25" customHeight="1">
      <c r="A1927" s="100"/>
      <c r="B1927" s="36"/>
      <c r="C1927" s="36"/>
      <c r="D1927" s="36"/>
      <c r="E1927" s="36"/>
      <c r="F1927" s="36"/>
      <c r="G1927" s="36"/>
      <c r="H1927" s="36"/>
      <c r="I1927" s="36"/>
      <c r="J1927" s="36"/>
      <c r="K1927" s="36"/>
      <c r="L1927" s="36"/>
      <c r="M1927" s="36"/>
      <c r="N1927" s="36"/>
      <c r="O1927" s="36"/>
      <c r="P1927" s="36"/>
    </row>
    <row r="1928" ht="14.25" customHeight="1">
      <c r="A1928" s="100"/>
      <c r="B1928" s="36"/>
      <c r="C1928" s="36"/>
      <c r="D1928" s="36"/>
      <c r="E1928" s="36"/>
      <c r="F1928" s="36"/>
      <c r="G1928" s="36"/>
      <c r="H1928" s="36"/>
      <c r="I1928" s="36"/>
      <c r="J1928" s="36"/>
      <c r="K1928" s="36"/>
      <c r="L1928" s="36"/>
      <c r="M1928" s="36"/>
      <c r="N1928" s="36"/>
      <c r="O1928" s="36"/>
      <c r="P1928" s="36"/>
    </row>
    <row r="1929" ht="14.25" customHeight="1">
      <c r="A1929" s="100"/>
      <c r="B1929" s="36"/>
      <c r="C1929" s="3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</row>
    <row r="1930" ht="14.25" customHeight="1">
      <c r="A1930" s="100"/>
      <c r="B1930" s="36"/>
      <c r="C1930" s="36"/>
      <c r="D1930" s="36"/>
      <c r="E1930" s="36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</row>
    <row r="1931" ht="14.25" customHeight="1">
      <c r="A1931" s="100"/>
      <c r="B1931" s="36"/>
      <c r="C1931" s="36"/>
      <c r="D1931" s="36"/>
      <c r="E1931" s="36"/>
      <c r="F1931" s="36"/>
      <c r="G1931" s="36"/>
      <c r="H1931" s="36"/>
      <c r="I1931" s="36"/>
      <c r="J1931" s="36"/>
      <c r="K1931" s="36"/>
      <c r="L1931" s="36"/>
      <c r="M1931" s="36"/>
      <c r="N1931" s="36"/>
      <c r="O1931" s="36"/>
      <c r="P1931" s="36"/>
    </row>
    <row r="1932" ht="14.25" customHeight="1">
      <c r="A1932" s="100"/>
      <c r="B1932" s="36"/>
      <c r="C1932" s="36"/>
      <c r="D1932" s="36"/>
      <c r="E1932" s="36"/>
      <c r="F1932" s="36"/>
      <c r="G1932" s="36"/>
      <c r="H1932" s="36"/>
      <c r="I1932" s="36"/>
      <c r="J1932" s="36"/>
      <c r="K1932" s="36"/>
      <c r="L1932" s="36"/>
      <c r="M1932" s="36"/>
      <c r="N1932" s="36"/>
      <c r="O1932" s="36"/>
      <c r="P1932" s="36"/>
    </row>
    <row r="1933" ht="14.25" customHeight="1">
      <c r="A1933" s="100"/>
      <c r="B1933" s="36"/>
      <c r="C1933" s="3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</row>
    <row r="1934" ht="14.25" customHeight="1">
      <c r="A1934" s="100"/>
      <c r="B1934" s="36"/>
      <c r="C1934" s="36"/>
      <c r="D1934" s="36"/>
      <c r="E1934" s="36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</row>
    <row r="1935" ht="14.25" customHeight="1">
      <c r="A1935" s="100"/>
      <c r="B1935" s="36"/>
      <c r="C1935" s="36"/>
      <c r="D1935" s="36"/>
      <c r="E1935" s="36"/>
      <c r="F1935" s="36"/>
      <c r="G1935" s="36"/>
      <c r="H1935" s="36"/>
      <c r="I1935" s="36"/>
      <c r="J1935" s="36"/>
      <c r="K1935" s="36"/>
      <c r="L1935" s="36"/>
      <c r="M1935" s="36"/>
      <c r="N1935" s="36"/>
      <c r="O1935" s="36"/>
      <c r="P1935" s="36"/>
    </row>
    <row r="1936" ht="14.25" customHeight="1">
      <c r="A1936" s="100"/>
      <c r="B1936" s="36"/>
      <c r="C1936" s="36"/>
      <c r="D1936" s="36"/>
      <c r="E1936" s="36"/>
      <c r="F1936" s="36"/>
      <c r="G1936" s="36"/>
      <c r="H1936" s="36"/>
      <c r="I1936" s="36"/>
      <c r="J1936" s="36"/>
      <c r="K1936" s="36"/>
      <c r="L1936" s="36"/>
      <c r="M1936" s="36"/>
      <c r="N1936" s="36"/>
      <c r="O1936" s="36"/>
      <c r="P1936" s="36"/>
    </row>
    <row r="1937" ht="14.25" customHeight="1">
      <c r="A1937" s="100"/>
      <c r="B1937" s="36"/>
      <c r="C1937" s="3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</row>
    <row r="1938" ht="14.25" customHeight="1">
      <c r="A1938" s="100"/>
      <c r="B1938" s="36"/>
      <c r="C1938" s="36"/>
      <c r="D1938" s="36"/>
      <c r="E1938" s="36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</row>
    <row r="1939" ht="14.25" customHeight="1">
      <c r="A1939" s="100"/>
      <c r="B1939" s="36"/>
      <c r="C1939" s="36"/>
      <c r="D1939" s="36"/>
      <c r="E1939" s="36"/>
      <c r="F1939" s="36"/>
      <c r="G1939" s="36"/>
      <c r="H1939" s="36"/>
      <c r="I1939" s="36"/>
      <c r="J1939" s="36"/>
      <c r="K1939" s="36"/>
      <c r="L1939" s="36"/>
      <c r="M1939" s="36"/>
      <c r="N1939" s="36"/>
      <c r="O1939" s="36"/>
      <c r="P1939" s="36"/>
    </row>
    <row r="1940" ht="14.25" customHeight="1">
      <c r="A1940" s="100"/>
      <c r="B1940" s="36"/>
      <c r="C1940" s="36"/>
      <c r="D1940" s="36"/>
      <c r="E1940" s="36"/>
      <c r="F1940" s="36"/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</row>
    <row r="1941" ht="14.25" customHeight="1">
      <c r="A1941" s="100"/>
      <c r="B1941" s="36"/>
      <c r="C1941" s="3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</row>
    <row r="1942" ht="14.25" customHeight="1">
      <c r="A1942" s="100"/>
      <c r="B1942" s="36"/>
      <c r="C1942" s="36"/>
      <c r="D1942" s="36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</row>
    <row r="1943" ht="14.25" customHeight="1">
      <c r="A1943" s="100"/>
      <c r="B1943" s="36"/>
      <c r="C1943" s="36"/>
      <c r="D1943" s="36"/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  <c r="O1943" s="36"/>
      <c r="P1943" s="36"/>
    </row>
    <row r="1944" ht="14.25" customHeight="1">
      <c r="A1944" s="100"/>
      <c r="B1944" s="36"/>
      <c r="C1944" s="36"/>
      <c r="D1944" s="36"/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  <c r="O1944" s="36"/>
      <c r="P1944" s="36"/>
    </row>
    <row r="1945" ht="14.25" customHeight="1">
      <c r="A1945" s="100"/>
      <c r="B1945" s="36"/>
      <c r="C1945" s="3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</row>
    <row r="1946" ht="14.25" customHeight="1">
      <c r="A1946" s="100"/>
      <c r="B1946" s="36"/>
      <c r="C1946" s="36"/>
      <c r="D1946" s="36"/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</row>
    <row r="1947" ht="14.25" customHeight="1">
      <c r="A1947" s="100"/>
      <c r="B1947" s="36"/>
      <c r="C1947" s="36"/>
      <c r="D1947" s="36"/>
      <c r="E1947" s="36"/>
      <c r="F1947" s="36"/>
      <c r="G1947" s="36"/>
      <c r="H1947" s="36"/>
      <c r="I1947" s="36"/>
      <c r="J1947" s="36"/>
      <c r="K1947" s="36"/>
      <c r="L1947" s="36"/>
      <c r="M1947" s="36"/>
      <c r="N1947" s="36"/>
      <c r="O1947" s="36"/>
      <c r="P1947" s="36"/>
    </row>
    <row r="1948" ht="14.25" customHeight="1">
      <c r="A1948" s="100"/>
      <c r="B1948" s="36"/>
      <c r="C1948" s="36"/>
      <c r="D1948" s="36"/>
      <c r="E1948" s="36"/>
      <c r="F1948" s="36"/>
      <c r="G1948" s="36"/>
      <c r="H1948" s="36"/>
      <c r="I1948" s="36"/>
      <c r="J1948" s="36"/>
      <c r="K1948" s="36"/>
      <c r="L1948" s="36"/>
      <c r="M1948" s="36"/>
      <c r="N1948" s="36"/>
      <c r="O1948" s="36"/>
      <c r="P1948" s="36"/>
    </row>
    <row r="1949" ht="14.25" customHeight="1">
      <c r="A1949" s="100"/>
      <c r="B1949" s="36"/>
      <c r="C1949" s="3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</row>
    <row r="1950" ht="14.25" customHeight="1">
      <c r="A1950" s="100"/>
      <c r="B1950" s="36"/>
      <c r="C1950" s="36"/>
      <c r="D1950" s="36"/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</row>
    <row r="1951" ht="14.25" customHeight="1">
      <c r="A1951" s="100"/>
      <c r="B1951" s="36"/>
      <c r="C1951" s="36"/>
      <c r="D1951" s="36"/>
      <c r="E1951" s="36"/>
      <c r="F1951" s="36"/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</row>
    <row r="1952" ht="14.25" customHeight="1">
      <c r="A1952" s="100"/>
      <c r="B1952" s="36"/>
      <c r="C1952" s="36"/>
      <c r="D1952" s="36"/>
      <c r="E1952" s="36"/>
      <c r="F1952" s="36"/>
      <c r="G1952" s="36"/>
      <c r="H1952" s="36"/>
      <c r="I1952" s="36"/>
      <c r="J1952" s="36"/>
      <c r="K1952" s="36"/>
      <c r="L1952" s="36"/>
      <c r="M1952" s="36"/>
      <c r="N1952" s="36"/>
      <c r="O1952" s="36"/>
      <c r="P1952" s="36"/>
    </row>
    <row r="1953" ht="14.25" customHeight="1">
      <c r="A1953" s="100"/>
      <c r="B1953" s="36"/>
      <c r="C1953" s="3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</row>
    <row r="1954" ht="14.25" customHeight="1">
      <c r="A1954" s="100"/>
      <c r="B1954" s="36"/>
      <c r="C1954" s="36"/>
      <c r="D1954" s="36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</row>
    <row r="1955" ht="14.25" customHeight="1">
      <c r="A1955" s="100"/>
      <c r="B1955" s="36"/>
      <c r="C1955" s="36"/>
      <c r="D1955" s="36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  <c r="P1955" s="36"/>
    </row>
    <row r="1956" ht="14.25" customHeight="1">
      <c r="A1956" s="100"/>
      <c r="B1956" s="36"/>
      <c r="C1956" s="36"/>
      <c r="D1956" s="36"/>
      <c r="E1956" s="36"/>
      <c r="F1956" s="36"/>
      <c r="G1956" s="36"/>
      <c r="H1956" s="36"/>
      <c r="I1956" s="36"/>
      <c r="J1956" s="36"/>
      <c r="K1956" s="36"/>
      <c r="L1956" s="36"/>
      <c r="M1956" s="36"/>
      <c r="N1956" s="36"/>
      <c r="O1956" s="36"/>
      <c r="P1956" s="36"/>
    </row>
    <row r="1957" ht="14.25" customHeight="1">
      <c r="A1957" s="100"/>
      <c r="B1957" s="36"/>
      <c r="C1957" s="3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</row>
    <row r="1958" ht="14.25" customHeight="1">
      <c r="A1958" s="100"/>
      <c r="B1958" s="36"/>
      <c r="C1958" s="36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</row>
    <row r="1959" ht="14.25" customHeight="1">
      <c r="A1959" s="100"/>
      <c r="B1959" s="36"/>
      <c r="C1959" s="36"/>
      <c r="D1959" s="36"/>
      <c r="E1959" s="36"/>
      <c r="F1959" s="36"/>
      <c r="G1959" s="36"/>
      <c r="H1959" s="36"/>
      <c r="I1959" s="36"/>
      <c r="J1959" s="36"/>
      <c r="K1959" s="36"/>
      <c r="L1959" s="36"/>
      <c r="M1959" s="36"/>
      <c r="N1959" s="36"/>
      <c r="O1959" s="36"/>
      <c r="P1959" s="36"/>
    </row>
    <row r="1960" ht="14.25" customHeight="1">
      <c r="A1960" s="100"/>
      <c r="B1960" s="36"/>
      <c r="C1960" s="36"/>
      <c r="D1960" s="36"/>
      <c r="E1960" s="36"/>
      <c r="F1960" s="36"/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</row>
    <row r="1961" ht="14.25" customHeight="1">
      <c r="A1961" s="100"/>
      <c r="B1961" s="36"/>
      <c r="C1961" s="3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</row>
    <row r="1962" ht="14.25" customHeight="1">
      <c r="A1962" s="100"/>
      <c r="B1962" s="36"/>
      <c r="C1962" s="36"/>
      <c r="D1962" s="36"/>
      <c r="E1962" s="36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</row>
    <row r="1963" ht="14.25" customHeight="1">
      <c r="A1963" s="100"/>
      <c r="B1963" s="36"/>
      <c r="C1963" s="36"/>
      <c r="D1963" s="36"/>
      <c r="E1963" s="36"/>
      <c r="F1963" s="36"/>
      <c r="G1963" s="36"/>
      <c r="H1963" s="36"/>
      <c r="I1963" s="36"/>
      <c r="J1963" s="36"/>
      <c r="K1963" s="36"/>
      <c r="L1963" s="36"/>
      <c r="M1963" s="36"/>
      <c r="N1963" s="36"/>
      <c r="O1963" s="36"/>
      <c r="P1963" s="36"/>
    </row>
    <row r="1964" ht="14.25" customHeight="1">
      <c r="A1964" s="100"/>
      <c r="B1964" s="36"/>
      <c r="C1964" s="36"/>
      <c r="D1964" s="36"/>
      <c r="E1964" s="36"/>
      <c r="F1964" s="36"/>
      <c r="G1964" s="36"/>
      <c r="H1964" s="36"/>
      <c r="I1964" s="36"/>
      <c r="J1964" s="36"/>
      <c r="K1964" s="36"/>
      <c r="L1964" s="36"/>
      <c r="M1964" s="36"/>
      <c r="N1964" s="36"/>
      <c r="O1964" s="36"/>
      <c r="P1964" s="36"/>
    </row>
    <row r="1965" ht="14.25" customHeight="1">
      <c r="A1965" s="100"/>
      <c r="B1965" s="36"/>
      <c r="C1965" s="3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</row>
    <row r="1966" ht="14.25" customHeight="1">
      <c r="A1966" s="100"/>
      <c r="B1966" s="36"/>
      <c r="C1966" s="36"/>
      <c r="D1966" s="36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</row>
    <row r="1967" ht="14.25" customHeight="1">
      <c r="A1967" s="100"/>
      <c r="B1967" s="36"/>
      <c r="C1967" s="36"/>
      <c r="D1967" s="36"/>
      <c r="E1967" s="36"/>
      <c r="F1967" s="36"/>
      <c r="G1967" s="36"/>
      <c r="H1967" s="36"/>
      <c r="I1967" s="36"/>
      <c r="J1967" s="36"/>
      <c r="K1967" s="36"/>
      <c r="L1967" s="36"/>
      <c r="M1967" s="36"/>
      <c r="N1967" s="36"/>
      <c r="O1967" s="36"/>
      <c r="P1967" s="36"/>
    </row>
    <row r="1968" ht="14.25" customHeight="1">
      <c r="A1968" s="100"/>
      <c r="B1968" s="36"/>
      <c r="C1968" s="36"/>
      <c r="D1968" s="36"/>
      <c r="E1968" s="36"/>
      <c r="F1968" s="36"/>
      <c r="G1968" s="36"/>
      <c r="H1968" s="36"/>
      <c r="I1968" s="36"/>
      <c r="J1968" s="36"/>
      <c r="K1968" s="36"/>
      <c r="L1968" s="36"/>
      <c r="M1968" s="36"/>
      <c r="N1968" s="36"/>
      <c r="O1968" s="36"/>
      <c r="P1968" s="36"/>
    </row>
    <row r="1969" ht="14.25" customHeight="1">
      <c r="A1969" s="100"/>
      <c r="B1969" s="36"/>
      <c r="C1969" s="3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</row>
    <row r="1970" ht="14.25" customHeight="1">
      <c r="A1970" s="100"/>
      <c r="B1970" s="36"/>
      <c r="C1970" s="36"/>
      <c r="D1970" s="36"/>
      <c r="E1970" s="36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</row>
    <row r="1971" ht="14.25" customHeight="1">
      <c r="A1971" s="100"/>
      <c r="B1971" s="36"/>
      <c r="C1971" s="36"/>
      <c r="D1971" s="36"/>
      <c r="E1971" s="36"/>
      <c r="F1971" s="36"/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</row>
    <row r="1972" ht="14.25" customHeight="1">
      <c r="A1972" s="100"/>
      <c r="B1972" s="36"/>
      <c r="C1972" s="36"/>
      <c r="D1972" s="36"/>
      <c r="E1972" s="36"/>
      <c r="F1972" s="36"/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</row>
    <row r="1973" ht="14.25" customHeight="1">
      <c r="A1973" s="100"/>
      <c r="B1973" s="36"/>
      <c r="C1973" s="3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</row>
    <row r="1974" ht="14.25" customHeight="1">
      <c r="A1974" s="100"/>
      <c r="B1974" s="36"/>
      <c r="C1974" s="36"/>
      <c r="D1974" s="36"/>
      <c r="E1974" s="36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</row>
    <row r="1975" ht="14.25" customHeight="1">
      <c r="A1975" s="100"/>
      <c r="B1975" s="36"/>
      <c r="C1975" s="36"/>
      <c r="D1975" s="36"/>
      <c r="E1975" s="36"/>
      <c r="F1975" s="36"/>
      <c r="G1975" s="36"/>
      <c r="H1975" s="36"/>
      <c r="I1975" s="36"/>
      <c r="J1975" s="36"/>
      <c r="K1975" s="36"/>
      <c r="L1975" s="36"/>
      <c r="M1975" s="36"/>
      <c r="N1975" s="36"/>
      <c r="O1975" s="36"/>
      <c r="P1975" s="36"/>
    </row>
    <row r="1976" ht="14.25" customHeight="1">
      <c r="A1976" s="100"/>
      <c r="B1976" s="36"/>
      <c r="C1976" s="36"/>
      <c r="D1976" s="36"/>
      <c r="E1976" s="36"/>
      <c r="F1976" s="36"/>
      <c r="G1976" s="36"/>
      <c r="H1976" s="36"/>
      <c r="I1976" s="36"/>
      <c r="J1976" s="36"/>
      <c r="K1976" s="36"/>
      <c r="L1976" s="36"/>
      <c r="M1976" s="36"/>
      <c r="N1976" s="36"/>
      <c r="O1976" s="36"/>
      <c r="P1976" s="36"/>
    </row>
    <row r="1977" ht="14.25" customHeight="1">
      <c r="A1977" s="100"/>
      <c r="B1977" s="36"/>
      <c r="C1977" s="3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</row>
    <row r="1978" ht="14.25" customHeight="1">
      <c r="A1978" s="100"/>
      <c r="B1978" s="36"/>
      <c r="C1978" s="36"/>
      <c r="D1978" s="36"/>
      <c r="E1978" s="36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</row>
    <row r="1979" ht="14.25" customHeight="1">
      <c r="A1979" s="100"/>
      <c r="B1979" s="36"/>
      <c r="C1979" s="36"/>
      <c r="D1979" s="36"/>
      <c r="E1979" s="36"/>
      <c r="F1979" s="36"/>
      <c r="G1979" s="36"/>
      <c r="H1979" s="36"/>
      <c r="I1979" s="36"/>
      <c r="J1979" s="36"/>
      <c r="K1979" s="36"/>
      <c r="L1979" s="36"/>
      <c r="M1979" s="36"/>
      <c r="N1979" s="36"/>
      <c r="O1979" s="36"/>
      <c r="P1979" s="36"/>
    </row>
    <row r="1980" ht="14.25" customHeight="1">
      <c r="A1980" s="100"/>
      <c r="B1980" s="36"/>
      <c r="C1980" s="36"/>
      <c r="D1980" s="36"/>
      <c r="E1980" s="36"/>
      <c r="F1980" s="36"/>
      <c r="G1980" s="36"/>
      <c r="H1980" s="36"/>
      <c r="I1980" s="36"/>
      <c r="J1980" s="36"/>
      <c r="K1980" s="36"/>
      <c r="L1980" s="36"/>
      <c r="M1980" s="36"/>
      <c r="N1980" s="36"/>
      <c r="O1980" s="36"/>
      <c r="P1980" s="36"/>
    </row>
    <row r="1981" ht="14.25" customHeight="1">
      <c r="A1981" s="100"/>
      <c r="B1981" s="36"/>
      <c r="C1981" s="3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</row>
    <row r="1982" ht="14.25" customHeight="1">
      <c r="A1982" s="100"/>
      <c r="B1982" s="36"/>
      <c r="C1982" s="36"/>
      <c r="D1982" s="36"/>
      <c r="E1982" s="36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</row>
    <row r="1983" ht="14.25" customHeight="1">
      <c r="A1983" s="100"/>
      <c r="B1983" s="36"/>
      <c r="C1983" s="36"/>
      <c r="D1983" s="36"/>
      <c r="E1983" s="36"/>
      <c r="F1983" s="36"/>
      <c r="G1983" s="36"/>
      <c r="H1983" s="36"/>
      <c r="I1983" s="36"/>
      <c r="J1983" s="36"/>
      <c r="K1983" s="36"/>
      <c r="L1983" s="36"/>
      <c r="M1983" s="36"/>
      <c r="N1983" s="36"/>
      <c r="O1983" s="36"/>
      <c r="P1983" s="36"/>
    </row>
    <row r="1984" ht="14.25" customHeight="1">
      <c r="A1984" s="100"/>
      <c r="B1984" s="36"/>
      <c r="C1984" s="36"/>
      <c r="D1984" s="36"/>
      <c r="E1984" s="36"/>
      <c r="F1984" s="36"/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</row>
    <row r="1985" ht="14.25" customHeight="1">
      <c r="A1985" s="100"/>
      <c r="B1985" s="36"/>
      <c r="C1985" s="3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</row>
    <row r="1986" ht="14.25" customHeight="1">
      <c r="A1986" s="100"/>
      <c r="B1986" s="36"/>
      <c r="C1986" s="36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</row>
    <row r="1987" ht="14.25" customHeight="1">
      <c r="A1987" s="100"/>
      <c r="B1987" s="36"/>
      <c r="C1987" s="36"/>
      <c r="D1987" s="36"/>
      <c r="E1987" s="36"/>
      <c r="F1987" s="36"/>
      <c r="G1987" s="36"/>
      <c r="H1987" s="36"/>
      <c r="I1987" s="36"/>
      <c r="J1987" s="36"/>
      <c r="K1987" s="36"/>
      <c r="L1987" s="36"/>
      <c r="M1987" s="36"/>
      <c r="N1987" s="36"/>
      <c r="O1987" s="36"/>
      <c r="P1987" s="36"/>
    </row>
    <row r="1988" ht="14.25" customHeight="1">
      <c r="A1988" s="100"/>
      <c r="B1988" s="36"/>
      <c r="C1988" s="36"/>
      <c r="D1988" s="36"/>
      <c r="E1988" s="36"/>
      <c r="F1988" s="36"/>
      <c r="G1988" s="36"/>
      <c r="H1988" s="36"/>
      <c r="I1988" s="36"/>
      <c r="J1988" s="36"/>
      <c r="K1988" s="36"/>
      <c r="L1988" s="36"/>
      <c r="M1988" s="36"/>
      <c r="N1988" s="36"/>
      <c r="O1988" s="36"/>
      <c r="P1988" s="36"/>
    </row>
    <row r="1989" ht="14.25" customHeight="1">
      <c r="A1989" s="100"/>
      <c r="B1989" s="36"/>
      <c r="C1989" s="3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</row>
    <row r="1990" ht="14.25" customHeight="1">
      <c r="A1990" s="100"/>
      <c r="B1990" s="36"/>
      <c r="C1990" s="36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</row>
    <row r="1991" ht="14.25" customHeight="1">
      <c r="A1991" s="100"/>
      <c r="B1991" s="36"/>
      <c r="C1991" s="36"/>
      <c r="D1991" s="36"/>
      <c r="E1991" s="36"/>
      <c r="F1991" s="36"/>
      <c r="G1991" s="36"/>
      <c r="H1991" s="36"/>
      <c r="I1991" s="36"/>
      <c r="J1991" s="36"/>
      <c r="K1991" s="36"/>
      <c r="L1991" s="36"/>
      <c r="M1991" s="36"/>
      <c r="N1991" s="36"/>
      <c r="O1991" s="36"/>
      <c r="P1991" s="36"/>
    </row>
    <row r="1992" ht="14.25" customHeight="1">
      <c r="A1992" s="100"/>
      <c r="B1992" s="36"/>
      <c r="C1992" s="36"/>
      <c r="D1992" s="36"/>
      <c r="E1992" s="36"/>
      <c r="F1992" s="36"/>
      <c r="G1992" s="36"/>
      <c r="H1992" s="36"/>
      <c r="I1992" s="36"/>
      <c r="J1992" s="36"/>
      <c r="K1992" s="36"/>
      <c r="L1992" s="36"/>
      <c r="M1992" s="36"/>
      <c r="N1992" s="36"/>
      <c r="O1992" s="36"/>
      <c r="P1992" s="36"/>
    </row>
    <row r="1993" ht="14.25" customHeight="1">
      <c r="A1993" s="100"/>
      <c r="B1993" s="36"/>
      <c r="C1993" s="3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</row>
    <row r="1994" ht="14.25" customHeight="1">
      <c r="A1994" s="100"/>
      <c r="B1994" s="36"/>
      <c r="C1994" s="36"/>
      <c r="D1994" s="36"/>
      <c r="E1994" s="36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</row>
    <row r="1995" ht="14.25" customHeight="1">
      <c r="A1995" s="100"/>
      <c r="B1995" s="36"/>
      <c r="C1995" s="36"/>
      <c r="D1995" s="36"/>
      <c r="E1995" s="36"/>
      <c r="F1995" s="36"/>
      <c r="G1995" s="36"/>
      <c r="H1995" s="36"/>
      <c r="I1995" s="36"/>
      <c r="J1995" s="36"/>
      <c r="K1995" s="36"/>
      <c r="L1995" s="36"/>
      <c r="M1995" s="36"/>
      <c r="N1995" s="36"/>
      <c r="O1995" s="36"/>
      <c r="P1995" s="36"/>
    </row>
    <row r="1996" ht="14.25" customHeight="1">
      <c r="A1996" s="100"/>
      <c r="B1996" s="36"/>
      <c r="C1996" s="36"/>
      <c r="D1996" s="36"/>
      <c r="E1996" s="36"/>
      <c r="F1996" s="36"/>
      <c r="G1996" s="36"/>
      <c r="H1996" s="36"/>
      <c r="I1996" s="36"/>
      <c r="J1996" s="36"/>
      <c r="K1996" s="36"/>
      <c r="L1996" s="36"/>
      <c r="M1996" s="36"/>
      <c r="N1996" s="36"/>
      <c r="O1996" s="36"/>
      <c r="P1996" s="36"/>
    </row>
    <row r="1997" ht="14.25" customHeight="1">
      <c r="A1997" s="100"/>
      <c r="B1997" s="36"/>
      <c r="C1997" s="3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</row>
    <row r="1998" ht="14.25" customHeight="1">
      <c r="A1998" s="100"/>
      <c r="B1998" s="36"/>
      <c r="C1998" s="36"/>
      <c r="D1998" s="36"/>
      <c r="E1998" s="36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</row>
    <row r="1999" ht="14.25" customHeight="1">
      <c r="A1999" s="100"/>
      <c r="B1999" s="36"/>
      <c r="C1999" s="36"/>
      <c r="D1999" s="36"/>
      <c r="E1999" s="36"/>
      <c r="F1999" s="36"/>
      <c r="G1999" s="36"/>
      <c r="H1999" s="36"/>
      <c r="I1999" s="36"/>
      <c r="J1999" s="36"/>
      <c r="K1999" s="36"/>
      <c r="L1999" s="36"/>
      <c r="M1999" s="36"/>
      <c r="N1999" s="36"/>
      <c r="O1999" s="36"/>
      <c r="P1999" s="36"/>
    </row>
    <row r="2000" ht="14.25" customHeight="1">
      <c r="A2000" s="100"/>
      <c r="B2000" s="36"/>
      <c r="C2000" s="36"/>
      <c r="D2000" s="36"/>
      <c r="E2000" s="36"/>
      <c r="F2000" s="36"/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</row>
    <row r="2001" ht="14.25" customHeight="1">
      <c r="A2001" s="100"/>
      <c r="B2001" s="36"/>
      <c r="C2001" s="3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</row>
    <row r="2002" ht="14.25" customHeight="1">
      <c r="A2002" s="100"/>
      <c r="B2002" s="36"/>
      <c r="C2002" s="36"/>
      <c r="D2002" s="36"/>
      <c r="E2002" s="36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</row>
    <row r="2003" ht="14.25" customHeight="1">
      <c r="A2003" s="100"/>
      <c r="B2003" s="36"/>
      <c r="C2003" s="36"/>
      <c r="D2003" s="36"/>
      <c r="E2003" s="36"/>
      <c r="F2003" s="36"/>
      <c r="G2003" s="36"/>
      <c r="H2003" s="36"/>
      <c r="I2003" s="36"/>
      <c r="J2003" s="36"/>
      <c r="K2003" s="36"/>
      <c r="L2003" s="36"/>
      <c r="M2003" s="36"/>
      <c r="N2003" s="36"/>
      <c r="O2003" s="36"/>
      <c r="P2003" s="36"/>
    </row>
    <row r="2004" ht="14.25" customHeight="1">
      <c r="A2004" s="100"/>
      <c r="B2004" s="36"/>
      <c r="C2004" s="36"/>
      <c r="D2004" s="36"/>
      <c r="E2004" s="36"/>
      <c r="F2004" s="36"/>
      <c r="G2004" s="36"/>
      <c r="H2004" s="36"/>
      <c r="I2004" s="36"/>
      <c r="J2004" s="36"/>
      <c r="K2004" s="36"/>
      <c r="L2004" s="36"/>
      <c r="M2004" s="36"/>
      <c r="N2004" s="36"/>
      <c r="O2004" s="36"/>
      <c r="P2004" s="36"/>
    </row>
    <row r="2005" ht="14.25" customHeight="1">
      <c r="A2005" s="100"/>
      <c r="B2005" s="36"/>
      <c r="C2005" s="36"/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</row>
    <row r="2006" ht="14.25" customHeight="1">
      <c r="A2006" s="100"/>
      <c r="B2006" s="36"/>
      <c r="C2006" s="36"/>
      <c r="D2006" s="36"/>
      <c r="E2006" s="36"/>
      <c r="F2006" s="36"/>
      <c r="G2006" s="36"/>
      <c r="H2006" s="36"/>
      <c r="I2006" s="36"/>
      <c r="J2006" s="36"/>
      <c r="K2006" s="36"/>
      <c r="L2006" s="36"/>
      <c r="M2006" s="36"/>
      <c r="N2006" s="36"/>
      <c r="O2006" s="36"/>
      <c r="P2006" s="36"/>
    </row>
    <row r="2007" ht="14.25" customHeight="1">
      <c r="A2007" s="100"/>
      <c r="B2007" s="36"/>
      <c r="C2007" s="36"/>
      <c r="D2007" s="36"/>
      <c r="E2007" s="36"/>
      <c r="F2007" s="36"/>
      <c r="G2007" s="36"/>
      <c r="H2007" s="36"/>
      <c r="I2007" s="36"/>
      <c r="J2007" s="36"/>
      <c r="K2007" s="36"/>
      <c r="L2007" s="36"/>
      <c r="M2007" s="36"/>
      <c r="N2007" s="36"/>
      <c r="O2007" s="36"/>
      <c r="P2007" s="36"/>
    </row>
    <row r="2008" ht="14.25" customHeight="1">
      <c r="A2008" s="100"/>
      <c r="B2008" s="36"/>
      <c r="C2008" s="36"/>
      <c r="D2008" s="36"/>
      <c r="E2008" s="36"/>
      <c r="F2008" s="36"/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</row>
    <row r="2009" ht="14.25" customHeight="1">
      <c r="A2009" s="100"/>
      <c r="B2009" s="36"/>
      <c r="C2009" s="36"/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</row>
    <row r="2010" ht="14.25" customHeight="1">
      <c r="A2010" s="100"/>
      <c r="B2010" s="36"/>
      <c r="C2010" s="36"/>
      <c r="D2010" s="36"/>
      <c r="E2010" s="36"/>
      <c r="F2010" s="36"/>
      <c r="G2010" s="36"/>
      <c r="H2010" s="36"/>
      <c r="I2010" s="36"/>
      <c r="J2010" s="36"/>
      <c r="K2010" s="36"/>
      <c r="L2010" s="36"/>
      <c r="M2010" s="36"/>
      <c r="N2010" s="36"/>
      <c r="O2010" s="36"/>
      <c r="P2010" s="36"/>
    </row>
    <row r="2011" ht="14.25" customHeight="1">
      <c r="A2011" s="100"/>
      <c r="B2011" s="36"/>
      <c r="C2011" s="36"/>
      <c r="D2011" s="36"/>
      <c r="E2011" s="36"/>
      <c r="F2011" s="36"/>
      <c r="G2011" s="36"/>
      <c r="H2011" s="36"/>
      <c r="I2011" s="36"/>
      <c r="J2011" s="36"/>
      <c r="K2011" s="36"/>
      <c r="L2011" s="36"/>
      <c r="M2011" s="36"/>
      <c r="N2011" s="36"/>
      <c r="O2011" s="36"/>
      <c r="P2011" s="36"/>
    </row>
    <row r="2012" ht="14.25" customHeight="1">
      <c r="A2012" s="100"/>
      <c r="B2012" s="36"/>
      <c r="C2012" s="36"/>
      <c r="D2012" s="36"/>
      <c r="E2012" s="36"/>
      <c r="F2012" s="36"/>
      <c r="G2012" s="36"/>
      <c r="H2012" s="36"/>
      <c r="I2012" s="36"/>
      <c r="J2012" s="36"/>
      <c r="K2012" s="36"/>
      <c r="L2012" s="36"/>
      <c r="M2012" s="36"/>
      <c r="N2012" s="36"/>
      <c r="O2012" s="36"/>
      <c r="P2012" s="36"/>
    </row>
    <row r="2013" ht="14.25" customHeight="1">
      <c r="A2013" s="100"/>
      <c r="B2013" s="36"/>
      <c r="C2013" s="36"/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</row>
    <row r="2014" ht="14.25" customHeight="1">
      <c r="A2014" s="100"/>
      <c r="B2014" s="36"/>
      <c r="C2014" s="36"/>
      <c r="D2014" s="36"/>
      <c r="E2014" s="36"/>
      <c r="F2014" s="36"/>
      <c r="G2014" s="36"/>
      <c r="H2014" s="36"/>
      <c r="I2014" s="36"/>
      <c r="J2014" s="36"/>
      <c r="K2014" s="36"/>
      <c r="L2014" s="36"/>
      <c r="M2014" s="36"/>
      <c r="N2014" s="36"/>
      <c r="O2014" s="36"/>
      <c r="P2014" s="36"/>
    </row>
    <row r="2015" ht="14.25" customHeight="1">
      <c r="A2015" s="100"/>
      <c r="B2015" s="36"/>
      <c r="C2015" s="36"/>
      <c r="D2015" s="36"/>
      <c r="E2015" s="36"/>
      <c r="F2015" s="36"/>
      <c r="G2015" s="36"/>
      <c r="H2015" s="36"/>
      <c r="I2015" s="36"/>
      <c r="J2015" s="36"/>
      <c r="K2015" s="36"/>
      <c r="L2015" s="36"/>
      <c r="M2015" s="36"/>
      <c r="N2015" s="36"/>
      <c r="O2015" s="36"/>
      <c r="P2015" s="36"/>
    </row>
    <row r="2016" ht="14.25" customHeight="1">
      <c r="A2016" s="100"/>
      <c r="B2016" s="36"/>
      <c r="C2016" s="36"/>
      <c r="D2016" s="36"/>
      <c r="E2016" s="36"/>
      <c r="F2016" s="36"/>
      <c r="G2016" s="36"/>
      <c r="H2016" s="36"/>
      <c r="I2016" s="36"/>
      <c r="J2016" s="36"/>
      <c r="K2016" s="36"/>
      <c r="L2016" s="36"/>
      <c r="M2016" s="36"/>
      <c r="N2016" s="36"/>
      <c r="O2016" s="36"/>
      <c r="P2016" s="36"/>
    </row>
    <row r="2017" ht="14.25" customHeight="1">
      <c r="A2017" s="100"/>
      <c r="B2017" s="36"/>
      <c r="C2017" s="36"/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</row>
    <row r="2018" ht="14.25" customHeight="1">
      <c r="A2018" s="100"/>
      <c r="B2018" s="36"/>
      <c r="C2018" s="36"/>
      <c r="D2018" s="36"/>
      <c r="E2018" s="36"/>
      <c r="F2018" s="36"/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</row>
    <row r="2019" ht="14.25" customHeight="1">
      <c r="A2019" s="100"/>
      <c r="B2019" s="36"/>
      <c r="C2019" s="36"/>
      <c r="D2019" s="36"/>
      <c r="E2019" s="36"/>
      <c r="F2019" s="36"/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</row>
    <row r="2020" ht="14.25" customHeight="1">
      <c r="A2020" s="100"/>
      <c r="B2020" s="36"/>
      <c r="C2020" s="36"/>
      <c r="D2020" s="36"/>
      <c r="E2020" s="36"/>
      <c r="F2020" s="36"/>
      <c r="G2020" s="36"/>
      <c r="H2020" s="36"/>
      <c r="I2020" s="36"/>
      <c r="J2020" s="36"/>
      <c r="K2020" s="36"/>
      <c r="L2020" s="36"/>
      <c r="M2020" s="36"/>
      <c r="N2020" s="36"/>
      <c r="O2020" s="36"/>
      <c r="P2020" s="36"/>
    </row>
    <row r="2021" ht="14.25" customHeight="1">
      <c r="A2021" s="100"/>
      <c r="B2021" s="36"/>
      <c r="C2021" s="36"/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</row>
    <row r="2022" ht="14.25" customHeight="1">
      <c r="A2022" s="100"/>
      <c r="B2022" s="36"/>
      <c r="C2022" s="36"/>
      <c r="D2022" s="36"/>
      <c r="E2022" s="36"/>
      <c r="F2022" s="36"/>
      <c r="G2022" s="36"/>
      <c r="H2022" s="36"/>
      <c r="I2022" s="36"/>
      <c r="J2022" s="36"/>
      <c r="K2022" s="36"/>
      <c r="L2022" s="36"/>
      <c r="M2022" s="36"/>
      <c r="N2022" s="36"/>
      <c r="O2022" s="36"/>
      <c r="P2022" s="36"/>
    </row>
    <row r="2023" ht="14.25" customHeight="1">
      <c r="A2023" s="100"/>
      <c r="B2023" s="36"/>
      <c r="C2023" s="36"/>
      <c r="D2023" s="36"/>
      <c r="E2023" s="36"/>
      <c r="F2023" s="36"/>
      <c r="G2023" s="36"/>
      <c r="H2023" s="36"/>
      <c r="I2023" s="36"/>
      <c r="J2023" s="36"/>
      <c r="K2023" s="36"/>
      <c r="L2023" s="36"/>
      <c r="M2023" s="36"/>
      <c r="N2023" s="36"/>
      <c r="O2023" s="36"/>
      <c r="P2023" s="36"/>
    </row>
    <row r="2024" ht="14.25" customHeight="1">
      <c r="A2024" s="100"/>
      <c r="B2024" s="36"/>
      <c r="C2024" s="36"/>
      <c r="D2024" s="36"/>
      <c r="E2024" s="36"/>
      <c r="F2024" s="36"/>
      <c r="G2024" s="36"/>
      <c r="H2024" s="36"/>
      <c r="I2024" s="36"/>
      <c r="J2024" s="36"/>
      <c r="K2024" s="36"/>
      <c r="L2024" s="36"/>
      <c r="M2024" s="36"/>
      <c r="N2024" s="36"/>
      <c r="O2024" s="36"/>
      <c r="P2024" s="36"/>
    </row>
    <row r="2025" ht="14.25" customHeight="1">
      <c r="A2025" s="100"/>
      <c r="B2025" s="36"/>
      <c r="C2025" s="36"/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</row>
    <row r="2026" ht="14.25" customHeight="1">
      <c r="A2026" s="100"/>
      <c r="B2026" s="36"/>
      <c r="C2026" s="36"/>
      <c r="D2026" s="36"/>
      <c r="E2026" s="36"/>
      <c r="F2026" s="36"/>
      <c r="G2026" s="36"/>
      <c r="H2026" s="36"/>
      <c r="I2026" s="36"/>
      <c r="J2026" s="36"/>
      <c r="K2026" s="36"/>
      <c r="L2026" s="36"/>
      <c r="M2026" s="36"/>
      <c r="N2026" s="36"/>
      <c r="O2026" s="36"/>
      <c r="P2026" s="36"/>
    </row>
    <row r="2027" ht="14.25" customHeight="1">
      <c r="A2027" s="100"/>
      <c r="B2027" s="36"/>
      <c r="C2027" s="36"/>
      <c r="D2027" s="36"/>
      <c r="E2027" s="36"/>
      <c r="F2027" s="36"/>
      <c r="G2027" s="36"/>
      <c r="H2027" s="36"/>
      <c r="I2027" s="36"/>
      <c r="J2027" s="36"/>
      <c r="K2027" s="36"/>
      <c r="L2027" s="36"/>
      <c r="M2027" s="36"/>
      <c r="N2027" s="36"/>
      <c r="O2027" s="36"/>
      <c r="P2027" s="36"/>
    </row>
    <row r="2028" ht="14.25" customHeight="1">
      <c r="A2028" s="100"/>
      <c r="B2028" s="36"/>
      <c r="C2028" s="36"/>
      <c r="D2028" s="36"/>
      <c r="E2028" s="36"/>
      <c r="F2028" s="36"/>
      <c r="G2028" s="36"/>
      <c r="H2028" s="36"/>
      <c r="I2028" s="36"/>
      <c r="J2028" s="36"/>
      <c r="K2028" s="36"/>
      <c r="L2028" s="36"/>
      <c r="M2028" s="36"/>
      <c r="N2028" s="36"/>
      <c r="O2028" s="36"/>
      <c r="P2028" s="36"/>
    </row>
    <row r="2029" ht="14.25" customHeight="1">
      <c r="A2029" s="100"/>
      <c r="B2029" s="36"/>
      <c r="C2029" s="36"/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</row>
    <row r="2030" ht="14.25" customHeight="1">
      <c r="A2030" s="100"/>
      <c r="B2030" s="36"/>
      <c r="C2030" s="36"/>
      <c r="D2030" s="36"/>
      <c r="E2030" s="36"/>
      <c r="F2030" s="36"/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</row>
    <row r="2031" ht="14.25" customHeight="1">
      <c r="A2031" s="100"/>
      <c r="B2031" s="36"/>
      <c r="C2031" s="36"/>
      <c r="D2031" s="36"/>
      <c r="E2031" s="36"/>
      <c r="F2031" s="36"/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</row>
    <row r="2032" ht="14.25" customHeight="1">
      <c r="A2032" s="100"/>
      <c r="B2032" s="36"/>
      <c r="C2032" s="36"/>
      <c r="D2032" s="36"/>
      <c r="E2032" s="36"/>
      <c r="F2032" s="36"/>
      <c r="G2032" s="36"/>
      <c r="H2032" s="36"/>
      <c r="I2032" s="36"/>
      <c r="J2032" s="36"/>
      <c r="K2032" s="36"/>
      <c r="L2032" s="36"/>
      <c r="M2032" s="36"/>
      <c r="N2032" s="36"/>
      <c r="O2032" s="36"/>
      <c r="P2032" s="36"/>
    </row>
    <row r="2033" ht="14.25" customHeight="1">
      <c r="A2033" s="100"/>
      <c r="B2033" s="36"/>
      <c r="C2033" s="36"/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</row>
    <row r="2034" ht="14.25" customHeight="1">
      <c r="A2034" s="100"/>
      <c r="B2034" s="36"/>
      <c r="C2034" s="36"/>
      <c r="D2034" s="36"/>
      <c r="E2034" s="36"/>
      <c r="F2034" s="36"/>
      <c r="G2034" s="36"/>
      <c r="H2034" s="36"/>
      <c r="I2034" s="36"/>
      <c r="J2034" s="36"/>
      <c r="K2034" s="36"/>
      <c r="L2034" s="36"/>
      <c r="M2034" s="36"/>
      <c r="N2034" s="36"/>
      <c r="O2034" s="36"/>
      <c r="P2034" s="36"/>
    </row>
    <row r="2035" ht="14.25" customHeight="1">
      <c r="A2035" s="100"/>
      <c r="B2035" s="36"/>
      <c r="C2035" s="36"/>
      <c r="D2035" s="36"/>
      <c r="E2035" s="36"/>
      <c r="F2035" s="36"/>
      <c r="G2035" s="36"/>
      <c r="H2035" s="36"/>
      <c r="I2035" s="36"/>
      <c r="J2035" s="36"/>
      <c r="K2035" s="36"/>
      <c r="L2035" s="36"/>
      <c r="M2035" s="36"/>
      <c r="N2035" s="36"/>
      <c r="O2035" s="36"/>
      <c r="P2035" s="36"/>
    </row>
    <row r="2036" ht="14.25" customHeight="1">
      <c r="A2036" s="100"/>
      <c r="B2036" s="36"/>
      <c r="C2036" s="36"/>
      <c r="D2036" s="36"/>
      <c r="E2036" s="36"/>
      <c r="F2036" s="36"/>
      <c r="G2036" s="36"/>
      <c r="H2036" s="36"/>
      <c r="I2036" s="36"/>
      <c r="J2036" s="36"/>
      <c r="K2036" s="36"/>
      <c r="L2036" s="36"/>
      <c r="M2036" s="36"/>
      <c r="N2036" s="36"/>
      <c r="O2036" s="36"/>
      <c r="P2036" s="36"/>
    </row>
    <row r="2037" ht="14.25" customHeight="1">
      <c r="A2037" s="100"/>
      <c r="B2037" s="36"/>
      <c r="C2037" s="36"/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</row>
    <row r="2038" ht="14.25" customHeight="1">
      <c r="A2038" s="100"/>
      <c r="B2038" s="36"/>
      <c r="C2038" s="36"/>
      <c r="D2038" s="36"/>
      <c r="E2038" s="36"/>
      <c r="F2038" s="36"/>
      <c r="G2038" s="36"/>
      <c r="H2038" s="36"/>
      <c r="I2038" s="36"/>
      <c r="J2038" s="36"/>
      <c r="K2038" s="36"/>
      <c r="L2038" s="36"/>
      <c r="M2038" s="36"/>
      <c r="N2038" s="36"/>
      <c r="O2038" s="36"/>
      <c r="P2038" s="36"/>
    </row>
    <row r="2039" ht="14.25" customHeight="1">
      <c r="A2039" s="100"/>
      <c r="B2039" s="36"/>
      <c r="C2039" s="36"/>
      <c r="D2039" s="36"/>
      <c r="E2039" s="36"/>
      <c r="F2039" s="36"/>
      <c r="G2039" s="36"/>
      <c r="H2039" s="36"/>
      <c r="I2039" s="36"/>
      <c r="J2039" s="36"/>
      <c r="K2039" s="36"/>
      <c r="L2039" s="36"/>
      <c r="M2039" s="36"/>
      <c r="N2039" s="36"/>
      <c r="O2039" s="36"/>
      <c r="P2039" s="36"/>
    </row>
    <row r="2040" ht="14.25" customHeight="1">
      <c r="A2040" s="100"/>
      <c r="B2040" s="36"/>
      <c r="C2040" s="36"/>
      <c r="D2040" s="36"/>
      <c r="E2040" s="36"/>
      <c r="F2040" s="36"/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</row>
    <row r="2041" ht="14.25" customHeight="1">
      <c r="A2041" s="100"/>
      <c r="B2041" s="36"/>
      <c r="C2041" s="36"/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</row>
    <row r="2042" ht="14.25" customHeight="1">
      <c r="A2042" s="100"/>
      <c r="B2042" s="36"/>
      <c r="C2042" s="36"/>
      <c r="D2042" s="36"/>
      <c r="E2042" s="36"/>
      <c r="F2042" s="36"/>
      <c r="G2042" s="36"/>
      <c r="H2042" s="36"/>
      <c r="I2042" s="36"/>
      <c r="J2042" s="36"/>
      <c r="K2042" s="36"/>
      <c r="L2042" s="36"/>
      <c r="M2042" s="36"/>
      <c r="N2042" s="36"/>
      <c r="O2042" s="36"/>
      <c r="P2042" s="36"/>
    </row>
    <row r="2043" ht="14.25" customHeight="1">
      <c r="A2043" s="100"/>
      <c r="B2043" s="36"/>
      <c r="C2043" s="36"/>
      <c r="D2043" s="36"/>
      <c r="E2043" s="36"/>
      <c r="F2043" s="36"/>
      <c r="G2043" s="36"/>
      <c r="H2043" s="36"/>
      <c r="I2043" s="36"/>
      <c r="J2043" s="36"/>
      <c r="K2043" s="36"/>
      <c r="L2043" s="36"/>
      <c r="M2043" s="36"/>
      <c r="N2043" s="36"/>
      <c r="O2043" s="36"/>
      <c r="P2043" s="36"/>
    </row>
    <row r="2044" ht="14.25" customHeight="1">
      <c r="A2044" s="100"/>
      <c r="B2044" s="36"/>
      <c r="C2044" s="36"/>
      <c r="D2044" s="36"/>
      <c r="E2044" s="36"/>
      <c r="F2044" s="36"/>
      <c r="G2044" s="36"/>
      <c r="H2044" s="36"/>
      <c r="I2044" s="36"/>
      <c r="J2044" s="36"/>
      <c r="K2044" s="36"/>
      <c r="L2044" s="36"/>
      <c r="M2044" s="36"/>
      <c r="N2044" s="36"/>
      <c r="O2044" s="36"/>
      <c r="P2044" s="36"/>
    </row>
    <row r="2045" ht="14.25" customHeight="1">
      <c r="A2045" s="100"/>
      <c r="B2045" s="36"/>
      <c r="C2045" s="36"/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</row>
    <row r="2046" ht="14.25" customHeight="1">
      <c r="A2046" s="100"/>
      <c r="B2046" s="36"/>
      <c r="C2046" s="36"/>
      <c r="D2046" s="36"/>
      <c r="E2046" s="36"/>
      <c r="F2046" s="36"/>
      <c r="G2046" s="36"/>
      <c r="H2046" s="36"/>
      <c r="I2046" s="36"/>
      <c r="J2046" s="36"/>
      <c r="K2046" s="36"/>
      <c r="L2046" s="36"/>
      <c r="M2046" s="36"/>
      <c r="N2046" s="36"/>
      <c r="O2046" s="36"/>
      <c r="P2046" s="36"/>
    </row>
    <row r="2047" ht="14.25" customHeight="1">
      <c r="A2047" s="100"/>
      <c r="B2047" s="36"/>
      <c r="C2047" s="36"/>
      <c r="D2047" s="36"/>
      <c r="E2047" s="36"/>
      <c r="F2047" s="36"/>
      <c r="G2047" s="36"/>
      <c r="H2047" s="36"/>
      <c r="I2047" s="36"/>
      <c r="J2047" s="36"/>
      <c r="K2047" s="36"/>
      <c r="L2047" s="36"/>
      <c r="M2047" s="36"/>
      <c r="N2047" s="36"/>
      <c r="O2047" s="36"/>
      <c r="P2047" s="36"/>
    </row>
    <row r="2048" ht="14.25" customHeight="1">
      <c r="A2048" s="100"/>
      <c r="B2048" s="36"/>
      <c r="C2048" s="36"/>
      <c r="D2048" s="36"/>
      <c r="E2048" s="36"/>
      <c r="F2048" s="36"/>
      <c r="G2048" s="36"/>
      <c r="H2048" s="36"/>
      <c r="I2048" s="36"/>
      <c r="J2048" s="36"/>
      <c r="K2048" s="36"/>
      <c r="L2048" s="36"/>
      <c r="M2048" s="36"/>
      <c r="N2048" s="36"/>
      <c r="O2048" s="36"/>
      <c r="P2048" s="36"/>
    </row>
    <row r="2049" ht="14.25" customHeight="1">
      <c r="A2049" s="100"/>
      <c r="B2049" s="36"/>
      <c r="C2049" s="36"/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</row>
    <row r="2050" ht="14.25" customHeight="1">
      <c r="A2050" s="100"/>
      <c r="B2050" s="36"/>
      <c r="C2050" s="36"/>
      <c r="D2050" s="36"/>
      <c r="E2050" s="36"/>
      <c r="F2050" s="36"/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</row>
    <row r="2051" ht="14.25" customHeight="1">
      <c r="A2051" s="100"/>
      <c r="B2051" s="36"/>
      <c r="C2051" s="36"/>
      <c r="D2051" s="36"/>
      <c r="E2051" s="36"/>
      <c r="F2051" s="36"/>
      <c r="G2051" s="36"/>
      <c r="H2051" s="36"/>
      <c r="I2051" s="36"/>
      <c r="J2051" s="36"/>
      <c r="K2051" s="36"/>
      <c r="L2051" s="36"/>
      <c r="M2051" s="36"/>
      <c r="N2051" s="36"/>
      <c r="O2051" s="36"/>
      <c r="P2051" s="36"/>
    </row>
    <row r="2052" ht="14.25" customHeight="1">
      <c r="A2052" s="100"/>
      <c r="B2052" s="36"/>
      <c r="C2052" s="36"/>
      <c r="D2052" s="36"/>
      <c r="E2052" s="36"/>
      <c r="F2052" s="36"/>
      <c r="G2052" s="36"/>
      <c r="H2052" s="36"/>
      <c r="I2052" s="36"/>
      <c r="J2052" s="36"/>
      <c r="K2052" s="36"/>
      <c r="L2052" s="36"/>
      <c r="M2052" s="36"/>
      <c r="N2052" s="36"/>
      <c r="O2052" s="36"/>
      <c r="P2052" s="36"/>
    </row>
    <row r="2053" ht="14.25" customHeight="1">
      <c r="A2053" s="100"/>
      <c r="B2053" s="36"/>
      <c r="C2053" s="36"/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</row>
    <row r="2054" ht="14.25" customHeight="1">
      <c r="A2054" s="100"/>
      <c r="B2054" s="36"/>
      <c r="C2054" s="36"/>
      <c r="D2054" s="36"/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  <c r="O2054" s="36"/>
      <c r="P2054" s="36"/>
    </row>
    <row r="2055" ht="14.25" customHeight="1">
      <c r="A2055" s="100"/>
      <c r="B2055" s="36"/>
      <c r="C2055" s="36"/>
      <c r="D2055" s="36"/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  <c r="O2055" s="36"/>
      <c r="P2055" s="36"/>
    </row>
    <row r="2056" ht="14.25" customHeight="1">
      <c r="A2056" s="100"/>
      <c r="B2056" s="36"/>
      <c r="C2056" s="36"/>
      <c r="D2056" s="36"/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  <c r="O2056" s="36"/>
      <c r="P2056" s="36"/>
    </row>
    <row r="2057" ht="14.25" customHeight="1">
      <c r="A2057" s="100"/>
      <c r="B2057" s="36"/>
      <c r="C2057" s="36"/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</row>
    <row r="2058" ht="14.25" customHeight="1">
      <c r="A2058" s="100"/>
      <c r="B2058" s="36"/>
      <c r="C2058" s="36"/>
      <c r="D2058" s="36"/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</row>
    <row r="2059" ht="14.25" customHeight="1">
      <c r="A2059" s="100"/>
      <c r="B2059" s="36"/>
      <c r="C2059" s="36"/>
      <c r="D2059" s="36"/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  <c r="O2059" s="36"/>
      <c r="P2059" s="36"/>
    </row>
    <row r="2060" ht="14.25" customHeight="1">
      <c r="A2060" s="100"/>
      <c r="B2060" s="36"/>
      <c r="C2060" s="36"/>
      <c r="D2060" s="36"/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  <c r="O2060" s="36"/>
      <c r="P2060" s="36"/>
    </row>
    <row r="2061" ht="14.25" customHeight="1">
      <c r="A2061" s="100"/>
      <c r="B2061" s="36"/>
      <c r="C2061" s="36"/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</row>
    <row r="2062" ht="14.25" customHeight="1">
      <c r="A2062" s="100"/>
      <c r="B2062" s="36"/>
      <c r="C2062" s="36"/>
      <c r="D2062" s="36"/>
      <c r="E2062" s="36"/>
      <c r="F2062" s="36"/>
      <c r="G2062" s="36"/>
      <c r="H2062" s="36"/>
      <c r="I2062" s="36"/>
      <c r="J2062" s="36"/>
      <c r="K2062" s="36"/>
      <c r="L2062" s="36"/>
      <c r="M2062" s="36"/>
      <c r="N2062" s="36"/>
      <c r="O2062" s="36"/>
      <c r="P2062" s="36"/>
    </row>
    <row r="2063" ht="14.25" customHeight="1">
      <c r="A2063" s="100"/>
      <c r="B2063" s="36"/>
      <c r="C2063" s="36"/>
      <c r="D2063" s="36"/>
      <c r="E2063" s="36"/>
      <c r="F2063" s="36"/>
      <c r="G2063" s="36"/>
      <c r="H2063" s="36"/>
      <c r="I2063" s="36"/>
      <c r="J2063" s="36"/>
      <c r="K2063" s="36"/>
      <c r="L2063" s="36"/>
      <c r="M2063" s="36"/>
      <c r="N2063" s="36"/>
      <c r="O2063" s="36"/>
      <c r="P2063" s="36"/>
    </row>
    <row r="2064" ht="14.25" customHeight="1">
      <c r="A2064" s="100"/>
      <c r="B2064" s="36"/>
      <c r="C2064" s="36"/>
      <c r="D2064" s="36"/>
      <c r="E2064" s="36"/>
      <c r="F2064" s="36"/>
      <c r="G2064" s="36"/>
      <c r="H2064" s="36"/>
      <c r="I2064" s="36"/>
      <c r="J2064" s="36"/>
      <c r="K2064" s="36"/>
      <c r="L2064" s="36"/>
      <c r="M2064" s="36"/>
      <c r="N2064" s="36"/>
      <c r="O2064" s="36"/>
      <c r="P2064" s="36"/>
    </row>
    <row r="2065" ht="14.25" customHeight="1">
      <c r="A2065" s="100"/>
      <c r="B2065" s="36"/>
      <c r="C2065" s="36"/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</row>
    <row r="2066" ht="14.25" customHeight="1">
      <c r="A2066" s="100"/>
      <c r="B2066" s="36"/>
      <c r="C2066" s="36"/>
      <c r="D2066" s="36"/>
      <c r="E2066" s="36"/>
      <c r="F2066" s="36"/>
      <c r="G2066" s="36"/>
      <c r="H2066" s="36"/>
      <c r="I2066" s="36"/>
      <c r="J2066" s="36"/>
      <c r="K2066" s="36"/>
      <c r="L2066" s="36"/>
      <c r="M2066" s="36"/>
      <c r="N2066" s="36"/>
      <c r="O2066" s="36"/>
      <c r="P2066" s="36"/>
    </row>
    <row r="2067" ht="14.25" customHeight="1">
      <c r="A2067" s="100"/>
      <c r="B2067" s="36"/>
      <c r="C2067" s="36"/>
      <c r="D2067" s="36"/>
      <c r="E2067" s="36"/>
      <c r="F2067" s="36"/>
      <c r="G2067" s="36"/>
      <c r="H2067" s="36"/>
      <c r="I2067" s="36"/>
      <c r="J2067" s="36"/>
      <c r="K2067" s="36"/>
      <c r="L2067" s="36"/>
      <c r="M2067" s="36"/>
      <c r="N2067" s="36"/>
      <c r="O2067" s="36"/>
      <c r="P2067" s="36"/>
    </row>
    <row r="2068" ht="14.25" customHeight="1">
      <c r="A2068" s="100"/>
      <c r="B2068" s="36"/>
      <c r="C2068" s="36"/>
      <c r="D2068" s="36"/>
      <c r="E2068" s="36"/>
      <c r="F2068" s="36"/>
      <c r="G2068" s="36"/>
      <c r="H2068" s="36"/>
      <c r="I2068" s="36"/>
      <c r="J2068" s="36"/>
      <c r="K2068" s="36"/>
      <c r="L2068" s="36"/>
      <c r="M2068" s="36"/>
      <c r="N2068" s="36"/>
      <c r="O2068" s="36"/>
      <c r="P2068" s="36"/>
    </row>
    <row r="2069" ht="14.25" customHeight="1">
      <c r="A2069" s="100"/>
      <c r="B2069" s="36"/>
      <c r="C2069" s="36"/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</row>
    <row r="2070" ht="14.25" customHeight="1">
      <c r="A2070" s="100"/>
      <c r="B2070" s="36"/>
      <c r="C2070" s="36"/>
      <c r="D2070" s="36"/>
      <c r="E2070" s="36"/>
      <c r="F2070" s="36"/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</row>
    <row r="2071" ht="14.25" customHeight="1">
      <c r="A2071" s="100"/>
      <c r="B2071" s="36"/>
      <c r="C2071" s="36"/>
      <c r="D2071" s="36"/>
      <c r="E2071" s="36"/>
      <c r="F2071" s="36"/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</row>
    <row r="2072" ht="14.25" customHeight="1">
      <c r="A2072" s="100"/>
      <c r="B2072" s="36"/>
      <c r="C2072" s="36"/>
      <c r="D2072" s="36"/>
      <c r="E2072" s="36"/>
      <c r="F2072" s="36"/>
      <c r="G2072" s="36"/>
      <c r="H2072" s="36"/>
      <c r="I2072" s="36"/>
      <c r="J2072" s="36"/>
      <c r="K2072" s="36"/>
      <c r="L2072" s="36"/>
      <c r="M2072" s="36"/>
      <c r="N2072" s="36"/>
      <c r="O2072" s="36"/>
      <c r="P2072" s="36"/>
    </row>
    <row r="2073" ht="14.25" customHeight="1">
      <c r="A2073" s="100"/>
      <c r="B2073" s="36"/>
      <c r="C2073" s="36"/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</row>
    <row r="2074" ht="14.25" customHeight="1">
      <c r="A2074" s="100"/>
      <c r="B2074" s="36"/>
      <c r="C2074" s="36"/>
      <c r="D2074" s="36"/>
      <c r="E2074" s="36"/>
      <c r="F2074" s="36"/>
      <c r="G2074" s="36"/>
      <c r="H2074" s="36"/>
      <c r="I2074" s="36"/>
      <c r="J2074" s="36"/>
      <c r="K2074" s="36"/>
      <c r="L2074" s="36"/>
      <c r="M2074" s="36"/>
      <c r="N2074" s="36"/>
      <c r="O2074" s="36"/>
      <c r="P2074" s="36"/>
    </row>
    <row r="2075" ht="14.25" customHeight="1">
      <c r="A2075" s="100"/>
      <c r="B2075" s="36"/>
      <c r="C2075" s="36"/>
      <c r="D2075" s="36"/>
      <c r="E2075" s="36"/>
      <c r="F2075" s="36"/>
      <c r="G2075" s="36"/>
      <c r="H2075" s="36"/>
      <c r="I2075" s="36"/>
      <c r="J2075" s="36"/>
      <c r="K2075" s="36"/>
      <c r="L2075" s="36"/>
      <c r="M2075" s="36"/>
      <c r="N2075" s="36"/>
      <c r="O2075" s="36"/>
      <c r="P2075" s="36"/>
    </row>
    <row r="2076" ht="14.25" customHeight="1">
      <c r="A2076" s="100"/>
      <c r="B2076" s="36"/>
      <c r="C2076" s="36"/>
      <c r="D2076" s="36"/>
      <c r="E2076" s="36"/>
      <c r="F2076" s="36"/>
      <c r="G2076" s="36"/>
      <c r="H2076" s="36"/>
      <c r="I2076" s="36"/>
      <c r="J2076" s="36"/>
      <c r="K2076" s="36"/>
      <c r="L2076" s="36"/>
      <c r="M2076" s="36"/>
      <c r="N2076" s="36"/>
      <c r="O2076" s="36"/>
      <c r="P2076" s="36"/>
    </row>
    <row r="2077" ht="14.25" customHeight="1">
      <c r="A2077" s="100"/>
      <c r="B2077" s="36"/>
      <c r="C2077" s="36"/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</row>
    <row r="2078" ht="14.25" customHeight="1">
      <c r="A2078" s="100"/>
      <c r="B2078" s="36"/>
      <c r="C2078" s="36"/>
      <c r="D2078" s="36"/>
      <c r="E2078" s="36"/>
      <c r="F2078" s="36"/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</row>
    <row r="2079" ht="14.25" customHeight="1">
      <c r="A2079" s="100"/>
      <c r="B2079" s="36"/>
      <c r="C2079" s="36"/>
      <c r="D2079" s="36"/>
      <c r="E2079" s="36"/>
      <c r="F2079" s="36"/>
      <c r="G2079" s="36"/>
      <c r="H2079" s="36"/>
      <c r="I2079" s="36"/>
      <c r="J2079" s="36"/>
      <c r="K2079" s="36"/>
      <c r="L2079" s="36"/>
      <c r="M2079" s="36"/>
      <c r="N2079" s="36"/>
      <c r="O2079" s="36"/>
      <c r="P2079" s="36"/>
    </row>
    <row r="2080" ht="14.25" customHeight="1">
      <c r="A2080" s="100"/>
      <c r="B2080" s="36"/>
      <c r="C2080" s="36"/>
      <c r="D2080" s="36"/>
      <c r="E2080" s="36"/>
      <c r="F2080" s="36"/>
      <c r="G2080" s="36"/>
      <c r="H2080" s="36"/>
      <c r="I2080" s="36"/>
      <c r="J2080" s="36"/>
      <c r="K2080" s="36"/>
      <c r="L2080" s="36"/>
      <c r="M2080" s="36"/>
      <c r="N2080" s="36"/>
      <c r="O2080" s="36"/>
      <c r="P2080" s="36"/>
    </row>
    <row r="2081" ht="14.25" customHeight="1">
      <c r="A2081" s="100"/>
      <c r="B2081" s="36"/>
      <c r="C2081" s="36"/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</row>
    <row r="2082" ht="14.25" customHeight="1">
      <c r="A2082" s="100"/>
      <c r="B2082" s="36"/>
      <c r="C2082" s="36"/>
      <c r="D2082" s="36"/>
      <c r="E2082" s="36"/>
      <c r="F2082" s="36"/>
      <c r="G2082" s="36"/>
      <c r="H2082" s="36"/>
      <c r="I2082" s="36"/>
      <c r="J2082" s="36"/>
      <c r="K2082" s="36"/>
      <c r="L2082" s="36"/>
      <c r="M2082" s="36"/>
      <c r="N2082" s="36"/>
      <c r="O2082" s="36"/>
      <c r="P2082" s="36"/>
    </row>
    <row r="2083" ht="14.25" customHeight="1">
      <c r="A2083" s="100"/>
      <c r="B2083" s="36"/>
      <c r="C2083" s="36"/>
      <c r="D2083" s="36"/>
      <c r="E2083" s="36"/>
      <c r="F2083" s="36"/>
      <c r="G2083" s="36"/>
      <c r="H2083" s="36"/>
      <c r="I2083" s="36"/>
      <c r="J2083" s="36"/>
      <c r="K2083" s="36"/>
      <c r="L2083" s="36"/>
      <c r="M2083" s="36"/>
      <c r="N2083" s="36"/>
      <c r="O2083" s="36"/>
      <c r="P2083" s="36"/>
    </row>
    <row r="2084" ht="14.25" customHeight="1">
      <c r="A2084" s="100"/>
      <c r="B2084" s="36"/>
      <c r="C2084" s="36"/>
      <c r="D2084" s="36"/>
      <c r="E2084" s="36"/>
      <c r="F2084" s="36"/>
      <c r="G2084" s="36"/>
      <c r="H2084" s="36"/>
      <c r="I2084" s="36"/>
      <c r="J2084" s="36"/>
      <c r="K2084" s="36"/>
      <c r="L2084" s="36"/>
      <c r="M2084" s="36"/>
      <c r="N2084" s="36"/>
      <c r="O2084" s="36"/>
      <c r="P2084" s="36"/>
    </row>
    <row r="2085" ht="14.25" customHeight="1">
      <c r="A2085" s="100"/>
      <c r="B2085" s="36"/>
      <c r="C2085" s="36"/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</row>
    <row r="2086" ht="14.25" customHeight="1">
      <c r="A2086" s="100"/>
      <c r="B2086" s="36"/>
      <c r="C2086" s="36"/>
      <c r="D2086" s="36"/>
      <c r="E2086" s="36"/>
      <c r="F2086" s="36"/>
      <c r="G2086" s="36"/>
      <c r="H2086" s="36"/>
      <c r="I2086" s="36"/>
      <c r="J2086" s="36"/>
      <c r="K2086" s="36"/>
      <c r="L2086" s="36"/>
      <c r="M2086" s="36"/>
      <c r="N2086" s="36"/>
      <c r="O2086" s="36"/>
      <c r="P2086" s="36"/>
    </row>
    <row r="2087" ht="14.25" customHeight="1">
      <c r="A2087" s="100"/>
      <c r="B2087" s="36"/>
      <c r="C2087" s="36"/>
      <c r="D2087" s="36"/>
      <c r="E2087" s="36"/>
      <c r="F2087" s="36"/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</row>
    <row r="2088" ht="14.25" customHeight="1">
      <c r="A2088" s="100"/>
      <c r="B2088" s="36"/>
      <c r="C2088" s="36"/>
      <c r="D2088" s="36"/>
      <c r="E2088" s="36"/>
      <c r="F2088" s="36"/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</row>
    <row r="2089" ht="14.25" customHeight="1">
      <c r="A2089" s="100"/>
      <c r="B2089" s="36"/>
      <c r="C2089" s="36"/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</row>
    <row r="2090" ht="14.25" customHeight="1">
      <c r="A2090" s="100"/>
      <c r="B2090" s="36"/>
      <c r="C2090" s="36"/>
      <c r="D2090" s="36"/>
      <c r="E2090" s="36"/>
      <c r="F2090" s="36"/>
      <c r="G2090" s="36"/>
      <c r="H2090" s="36"/>
      <c r="I2090" s="36"/>
      <c r="J2090" s="36"/>
      <c r="K2090" s="36"/>
      <c r="L2090" s="36"/>
      <c r="M2090" s="36"/>
      <c r="N2090" s="36"/>
      <c r="O2090" s="36"/>
      <c r="P2090" s="36"/>
    </row>
    <row r="2091" ht="14.25" customHeight="1">
      <c r="A2091" s="100"/>
      <c r="B2091" s="36"/>
      <c r="C2091" s="36"/>
      <c r="D2091" s="36"/>
      <c r="E2091" s="36"/>
      <c r="F2091" s="36"/>
      <c r="G2091" s="36"/>
      <c r="H2091" s="36"/>
      <c r="I2091" s="36"/>
      <c r="J2091" s="36"/>
      <c r="K2091" s="36"/>
      <c r="L2091" s="36"/>
      <c r="M2091" s="36"/>
      <c r="N2091" s="36"/>
      <c r="O2091" s="36"/>
      <c r="P2091" s="36"/>
    </row>
    <row r="2092" ht="14.25" customHeight="1">
      <c r="A2092" s="100"/>
      <c r="B2092" s="36"/>
      <c r="C2092" s="36"/>
      <c r="D2092" s="36"/>
      <c r="E2092" s="36"/>
      <c r="F2092" s="36"/>
      <c r="G2092" s="36"/>
      <c r="H2092" s="36"/>
      <c r="I2092" s="36"/>
      <c r="J2092" s="36"/>
      <c r="K2092" s="36"/>
      <c r="L2092" s="36"/>
      <c r="M2092" s="36"/>
      <c r="N2092" s="36"/>
      <c r="O2092" s="36"/>
      <c r="P2092" s="36"/>
    </row>
    <row r="2093" ht="14.25" customHeight="1">
      <c r="A2093" s="100"/>
      <c r="B2093" s="36"/>
      <c r="C2093" s="36"/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</row>
    <row r="2094" ht="14.25" customHeight="1">
      <c r="A2094" s="100"/>
      <c r="B2094" s="36"/>
      <c r="C2094" s="36"/>
      <c r="D2094" s="36"/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  <c r="O2094" s="36"/>
      <c r="P2094" s="36"/>
    </row>
    <row r="2095" ht="14.25" customHeight="1">
      <c r="A2095" s="100"/>
      <c r="B2095" s="36"/>
      <c r="C2095" s="36"/>
      <c r="D2095" s="36"/>
      <c r="E2095" s="36"/>
      <c r="F2095" s="36"/>
      <c r="G2095" s="36"/>
      <c r="H2095" s="36"/>
      <c r="I2095" s="36"/>
      <c r="J2095" s="36"/>
      <c r="K2095" s="36"/>
      <c r="L2095" s="36"/>
      <c r="M2095" s="36"/>
      <c r="N2095" s="36"/>
      <c r="O2095" s="36"/>
      <c r="P2095" s="36"/>
    </row>
    <row r="2096" ht="14.25" customHeight="1">
      <c r="A2096" s="100"/>
      <c r="B2096" s="36"/>
      <c r="C2096" s="36"/>
      <c r="D2096" s="36"/>
      <c r="E2096" s="36"/>
      <c r="F2096" s="36"/>
      <c r="G2096" s="36"/>
      <c r="H2096" s="36"/>
      <c r="I2096" s="36"/>
      <c r="J2096" s="36"/>
      <c r="K2096" s="36"/>
      <c r="L2096" s="36"/>
      <c r="M2096" s="36"/>
      <c r="N2096" s="36"/>
      <c r="O2096" s="36"/>
      <c r="P2096" s="36"/>
    </row>
    <row r="2097" ht="14.25" customHeight="1">
      <c r="A2097" s="100"/>
      <c r="B2097" s="36"/>
      <c r="C2097" s="36"/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</row>
    <row r="2098" ht="14.25" customHeight="1">
      <c r="A2098" s="100"/>
      <c r="B2098" s="36"/>
      <c r="C2098" s="36"/>
      <c r="D2098" s="36"/>
      <c r="E2098" s="36"/>
      <c r="F2098" s="36"/>
      <c r="G2098" s="36"/>
      <c r="H2098" s="36"/>
      <c r="I2098" s="36"/>
      <c r="J2098" s="36"/>
      <c r="K2098" s="36"/>
      <c r="L2098" s="36"/>
      <c r="M2098" s="36"/>
      <c r="N2098" s="36"/>
      <c r="O2098" s="36"/>
      <c r="P2098" s="36"/>
    </row>
    <row r="2099" ht="14.25" customHeight="1">
      <c r="A2099" s="100"/>
      <c r="B2099" s="36"/>
      <c r="C2099" s="36"/>
      <c r="D2099" s="36"/>
      <c r="E2099" s="36"/>
      <c r="F2099" s="36"/>
      <c r="G2099" s="36"/>
      <c r="H2099" s="36"/>
      <c r="I2099" s="36"/>
      <c r="J2099" s="36"/>
      <c r="K2099" s="36"/>
      <c r="L2099" s="36"/>
      <c r="M2099" s="36"/>
      <c r="N2099" s="36"/>
      <c r="O2099" s="36"/>
      <c r="P2099" s="36"/>
    </row>
    <row r="2100" ht="14.25" customHeight="1">
      <c r="A2100" s="100"/>
      <c r="B2100" s="36"/>
      <c r="C2100" s="36"/>
      <c r="D2100" s="36"/>
      <c r="E2100" s="36"/>
      <c r="F2100" s="36"/>
      <c r="G2100" s="36"/>
      <c r="H2100" s="36"/>
      <c r="I2100" s="36"/>
      <c r="J2100" s="36"/>
      <c r="K2100" s="36"/>
      <c r="L2100" s="36"/>
      <c r="M2100" s="36"/>
      <c r="N2100" s="36"/>
      <c r="O2100" s="36"/>
      <c r="P2100" s="36"/>
    </row>
    <row r="2101" ht="14.25" customHeight="1">
      <c r="A2101" s="100"/>
      <c r="B2101" s="36"/>
      <c r="C2101" s="36"/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</row>
    <row r="2102" ht="14.25" customHeight="1">
      <c r="A2102" s="100"/>
      <c r="B2102" s="36"/>
      <c r="C2102" s="36"/>
      <c r="D2102" s="36"/>
      <c r="E2102" s="36"/>
      <c r="F2102" s="36"/>
      <c r="G2102" s="36"/>
      <c r="H2102" s="36"/>
      <c r="I2102" s="36"/>
      <c r="J2102" s="36"/>
      <c r="K2102" s="36"/>
      <c r="L2102" s="36"/>
      <c r="M2102" s="36"/>
      <c r="N2102" s="36"/>
      <c r="O2102" s="36"/>
      <c r="P2102" s="36"/>
    </row>
    <row r="2103" ht="14.25" customHeight="1">
      <c r="A2103" s="100"/>
      <c r="B2103" s="36"/>
      <c r="C2103" s="36"/>
      <c r="D2103" s="36"/>
      <c r="E2103" s="36"/>
      <c r="F2103" s="36"/>
      <c r="G2103" s="36"/>
      <c r="H2103" s="36"/>
      <c r="I2103" s="36"/>
      <c r="J2103" s="36"/>
      <c r="K2103" s="36"/>
      <c r="L2103" s="36"/>
      <c r="M2103" s="36"/>
      <c r="N2103" s="36"/>
      <c r="O2103" s="36"/>
      <c r="P2103" s="36"/>
    </row>
    <row r="2104" ht="14.25" customHeight="1">
      <c r="A2104" s="100"/>
      <c r="B2104" s="36"/>
      <c r="C2104" s="36"/>
      <c r="D2104" s="36"/>
      <c r="E2104" s="36"/>
      <c r="F2104" s="36"/>
      <c r="G2104" s="36"/>
      <c r="H2104" s="36"/>
      <c r="I2104" s="36"/>
      <c r="J2104" s="36"/>
      <c r="K2104" s="36"/>
      <c r="L2104" s="36"/>
      <c r="M2104" s="36"/>
      <c r="N2104" s="36"/>
      <c r="O2104" s="36"/>
      <c r="P2104" s="36"/>
    </row>
    <row r="2105" ht="14.25" customHeight="1">
      <c r="A2105" s="100"/>
      <c r="B2105" s="36"/>
      <c r="C2105" s="36"/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</row>
    <row r="2106" ht="14.25" customHeight="1">
      <c r="A2106" s="100"/>
      <c r="B2106" s="36"/>
      <c r="C2106" s="36"/>
      <c r="D2106" s="36"/>
      <c r="E2106" s="36"/>
      <c r="F2106" s="36"/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</row>
    <row r="2107" ht="14.25" customHeight="1">
      <c r="A2107" s="100"/>
      <c r="B2107" s="36"/>
      <c r="C2107" s="36"/>
      <c r="D2107" s="36"/>
      <c r="E2107" s="36"/>
      <c r="F2107" s="36"/>
      <c r="G2107" s="36"/>
      <c r="H2107" s="36"/>
      <c r="I2107" s="36"/>
      <c r="J2107" s="36"/>
      <c r="K2107" s="36"/>
      <c r="L2107" s="36"/>
      <c r="M2107" s="36"/>
      <c r="N2107" s="36"/>
      <c r="O2107" s="36"/>
      <c r="P2107" s="36"/>
    </row>
    <row r="2108" ht="14.25" customHeight="1">
      <c r="A2108" s="100"/>
      <c r="B2108" s="36"/>
      <c r="C2108" s="36"/>
      <c r="D2108" s="36"/>
      <c r="E2108" s="36"/>
      <c r="F2108" s="36"/>
      <c r="G2108" s="36"/>
      <c r="H2108" s="36"/>
      <c r="I2108" s="36"/>
      <c r="J2108" s="36"/>
      <c r="K2108" s="36"/>
      <c r="L2108" s="36"/>
      <c r="M2108" s="36"/>
      <c r="N2108" s="36"/>
      <c r="O2108" s="36"/>
      <c r="P2108" s="36"/>
    </row>
    <row r="2109" ht="14.25" customHeight="1">
      <c r="A2109" s="100"/>
      <c r="B2109" s="36"/>
      <c r="C2109" s="36"/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</row>
    <row r="2110" ht="14.25" customHeight="1">
      <c r="A2110" s="100"/>
      <c r="B2110" s="36"/>
      <c r="C2110" s="36"/>
      <c r="D2110" s="36"/>
      <c r="E2110" s="36"/>
      <c r="F2110" s="36"/>
      <c r="G2110" s="36"/>
      <c r="H2110" s="36"/>
      <c r="I2110" s="36"/>
      <c r="J2110" s="36"/>
      <c r="K2110" s="36"/>
      <c r="L2110" s="36"/>
      <c r="M2110" s="36"/>
      <c r="N2110" s="36"/>
      <c r="O2110" s="36"/>
      <c r="P2110" s="36"/>
    </row>
    <row r="2111" ht="14.25" customHeight="1">
      <c r="A2111" s="100"/>
      <c r="B2111" s="36"/>
      <c r="C2111" s="36"/>
      <c r="D2111" s="36"/>
      <c r="E2111" s="36"/>
      <c r="F2111" s="36"/>
      <c r="G2111" s="36"/>
      <c r="H2111" s="36"/>
      <c r="I2111" s="36"/>
      <c r="J2111" s="36"/>
      <c r="K2111" s="36"/>
      <c r="L2111" s="36"/>
      <c r="M2111" s="36"/>
      <c r="N2111" s="36"/>
      <c r="O2111" s="36"/>
      <c r="P2111" s="36"/>
    </row>
    <row r="2112" ht="14.25" customHeight="1">
      <c r="A2112" s="100"/>
      <c r="B2112" s="36"/>
      <c r="C2112" s="36"/>
      <c r="D2112" s="36"/>
      <c r="E2112" s="36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6"/>
    </row>
    <row r="2113" ht="14.25" customHeight="1">
      <c r="A2113" s="100"/>
      <c r="B2113" s="36"/>
      <c r="C2113" s="36"/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</row>
    <row r="2114" ht="14.25" customHeight="1">
      <c r="A2114" s="100"/>
      <c r="B2114" s="36"/>
      <c r="C2114" s="36"/>
      <c r="D2114" s="36"/>
      <c r="E2114" s="36"/>
      <c r="F2114" s="36"/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</row>
    <row r="2115" ht="14.25" customHeight="1">
      <c r="A2115" s="100"/>
      <c r="B2115" s="36"/>
      <c r="C2115" s="36"/>
      <c r="D2115" s="36"/>
      <c r="E2115" s="36"/>
      <c r="F2115" s="36"/>
      <c r="G2115" s="36"/>
      <c r="H2115" s="36"/>
      <c r="I2115" s="36"/>
      <c r="J2115" s="36"/>
      <c r="K2115" s="36"/>
      <c r="L2115" s="36"/>
      <c r="M2115" s="36"/>
      <c r="N2115" s="36"/>
      <c r="O2115" s="36"/>
      <c r="P2115" s="36"/>
    </row>
    <row r="2116" ht="14.25" customHeight="1">
      <c r="A2116" s="100"/>
      <c r="B2116" s="36"/>
      <c r="C2116" s="36"/>
      <c r="D2116" s="36"/>
      <c r="E2116" s="36"/>
      <c r="F2116" s="36"/>
      <c r="G2116" s="36"/>
      <c r="H2116" s="36"/>
      <c r="I2116" s="36"/>
      <c r="J2116" s="36"/>
      <c r="K2116" s="36"/>
      <c r="L2116" s="36"/>
      <c r="M2116" s="36"/>
      <c r="N2116" s="36"/>
      <c r="O2116" s="36"/>
      <c r="P2116" s="36"/>
    </row>
    <row r="2117" ht="14.25" customHeight="1">
      <c r="A2117" s="100"/>
      <c r="B2117" s="36"/>
      <c r="C2117" s="36"/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</row>
    <row r="2118" ht="14.25" customHeight="1">
      <c r="A2118" s="100"/>
      <c r="B2118" s="36"/>
      <c r="C2118" s="36"/>
      <c r="D2118" s="36"/>
      <c r="E2118" s="36"/>
      <c r="F2118" s="36"/>
      <c r="G2118" s="36"/>
      <c r="H2118" s="36"/>
      <c r="I2118" s="36"/>
      <c r="J2118" s="36"/>
      <c r="K2118" s="36"/>
      <c r="L2118" s="36"/>
      <c r="M2118" s="36"/>
      <c r="N2118" s="36"/>
      <c r="O2118" s="36"/>
      <c r="P2118" s="36"/>
    </row>
    <row r="2119" ht="14.25" customHeight="1">
      <c r="A2119" s="100"/>
      <c r="B2119" s="36"/>
      <c r="C2119" s="36"/>
      <c r="D2119" s="36"/>
      <c r="E2119" s="36"/>
      <c r="F2119" s="36"/>
      <c r="G2119" s="36"/>
      <c r="H2119" s="36"/>
      <c r="I2119" s="36"/>
      <c r="J2119" s="36"/>
      <c r="K2119" s="36"/>
      <c r="L2119" s="36"/>
      <c r="M2119" s="36"/>
      <c r="N2119" s="36"/>
      <c r="O2119" s="36"/>
      <c r="P2119" s="36"/>
    </row>
    <row r="2120" ht="14.25" customHeight="1">
      <c r="A2120" s="100"/>
      <c r="B2120" s="36"/>
      <c r="C2120" s="36"/>
      <c r="D2120" s="36"/>
      <c r="E2120" s="36"/>
      <c r="F2120" s="36"/>
      <c r="G2120" s="36"/>
      <c r="H2120" s="36"/>
      <c r="I2120" s="36"/>
      <c r="J2120" s="36"/>
      <c r="K2120" s="36"/>
      <c r="L2120" s="36"/>
      <c r="M2120" s="36"/>
      <c r="N2120" s="36"/>
      <c r="O2120" s="36"/>
      <c r="P2120" s="36"/>
    </row>
    <row r="2121" ht="14.25" customHeight="1">
      <c r="A2121" s="100"/>
      <c r="B2121" s="36"/>
      <c r="C2121" s="36"/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</row>
    <row r="2122" ht="14.25" customHeight="1">
      <c r="A2122" s="100"/>
      <c r="B2122" s="36"/>
      <c r="C2122" s="36"/>
      <c r="D2122" s="36"/>
      <c r="E2122" s="36"/>
      <c r="F2122" s="36"/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</row>
    <row r="2123" ht="14.25" customHeight="1">
      <c r="A2123" s="100"/>
      <c r="B2123" s="36"/>
      <c r="C2123" s="36"/>
      <c r="D2123" s="36"/>
      <c r="E2123" s="36"/>
      <c r="F2123" s="36"/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</row>
    <row r="2124" ht="14.25" customHeight="1">
      <c r="A2124" s="100"/>
      <c r="B2124" s="36"/>
      <c r="C2124" s="36"/>
      <c r="D2124" s="36"/>
      <c r="E2124" s="36"/>
      <c r="F2124" s="36"/>
      <c r="G2124" s="36"/>
      <c r="H2124" s="36"/>
      <c r="I2124" s="36"/>
      <c r="J2124" s="36"/>
      <c r="K2124" s="36"/>
      <c r="L2124" s="36"/>
      <c r="M2124" s="36"/>
      <c r="N2124" s="36"/>
      <c r="O2124" s="36"/>
      <c r="P2124" s="36"/>
    </row>
    <row r="2125" ht="14.25" customHeight="1">
      <c r="A2125" s="100"/>
      <c r="B2125" s="36"/>
      <c r="C2125" s="36"/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</row>
    <row r="2126" ht="14.25" customHeight="1">
      <c r="A2126" s="100"/>
      <c r="B2126" s="36"/>
      <c r="C2126" s="36"/>
      <c r="D2126" s="36"/>
      <c r="E2126" s="36"/>
      <c r="F2126" s="36"/>
      <c r="G2126" s="36"/>
      <c r="H2126" s="36"/>
      <c r="I2126" s="36"/>
      <c r="J2126" s="36"/>
      <c r="K2126" s="36"/>
      <c r="L2126" s="36"/>
      <c r="M2126" s="36"/>
      <c r="N2126" s="36"/>
      <c r="O2126" s="36"/>
      <c r="P2126" s="36"/>
    </row>
    <row r="2127" ht="14.25" customHeight="1">
      <c r="A2127" s="100"/>
      <c r="B2127" s="36"/>
      <c r="C2127" s="36"/>
      <c r="D2127" s="36"/>
      <c r="E2127" s="36"/>
      <c r="F2127" s="36"/>
      <c r="G2127" s="36"/>
      <c r="H2127" s="36"/>
      <c r="I2127" s="36"/>
      <c r="J2127" s="36"/>
      <c r="K2127" s="36"/>
      <c r="L2127" s="36"/>
      <c r="M2127" s="36"/>
      <c r="N2127" s="36"/>
      <c r="O2127" s="36"/>
      <c r="P2127" s="36"/>
    </row>
    <row r="2128" ht="14.25" customHeight="1">
      <c r="A2128" s="100"/>
      <c r="B2128" s="36"/>
      <c r="C2128" s="36"/>
      <c r="D2128" s="36"/>
      <c r="E2128" s="36"/>
      <c r="F2128" s="36"/>
      <c r="G2128" s="36"/>
      <c r="H2128" s="36"/>
      <c r="I2128" s="36"/>
      <c r="J2128" s="36"/>
      <c r="K2128" s="36"/>
      <c r="L2128" s="36"/>
      <c r="M2128" s="36"/>
      <c r="N2128" s="36"/>
      <c r="O2128" s="36"/>
      <c r="P2128" s="36"/>
    </row>
    <row r="2129" ht="14.25" customHeight="1">
      <c r="A2129" s="100"/>
      <c r="B2129" s="36"/>
      <c r="C2129" s="36"/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</row>
    <row r="2130" ht="14.25" customHeight="1">
      <c r="A2130" s="100"/>
      <c r="B2130" s="36"/>
      <c r="C2130" s="36"/>
      <c r="D2130" s="36"/>
      <c r="E2130" s="36"/>
      <c r="F2130" s="36"/>
      <c r="G2130" s="36"/>
      <c r="H2130" s="36"/>
      <c r="I2130" s="36"/>
      <c r="J2130" s="36"/>
      <c r="K2130" s="36"/>
      <c r="L2130" s="36"/>
      <c r="M2130" s="36"/>
      <c r="N2130" s="36"/>
      <c r="O2130" s="36"/>
      <c r="P2130" s="36"/>
    </row>
    <row r="2131" ht="14.25" customHeight="1">
      <c r="A2131" s="100"/>
      <c r="B2131" s="36"/>
      <c r="C2131" s="36"/>
      <c r="D2131" s="36"/>
      <c r="E2131" s="36"/>
      <c r="F2131" s="36"/>
      <c r="G2131" s="36"/>
      <c r="H2131" s="36"/>
      <c r="I2131" s="36"/>
      <c r="J2131" s="36"/>
      <c r="K2131" s="36"/>
      <c r="L2131" s="36"/>
      <c r="M2131" s="36"/>
      <c r="N2131" s="36"/>
      <c r="O2131" s="36"/>
      <c r="P2131" s="36"/>
    </row>
    <row r="2132" ht="14.25" customHeight="1">
      <c r="A2132" s="100"/>
      <c r="B2132" s="36"/>
      <c r="C2132" s="36"/>
      <c r="D2132" s="36"/>
      <c r="E2132" s="36"/>
      <c r="F2132" s="36"/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</row>
    <row r="2133" ht="14.25" customHeight="1">
      <c r="A2133" s="100"/>
      <c r="B2133" s="36"/>
      <c r="C2133" s="36"/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</row>
    <row r="2134" ht="14.25" customHeight="1">
      <c r="A2134" s="100"/>
      <c r="B2134" s="36"/>
      <c r="C2134" s="36"/>
      <c r="D2134" s="36"/>
      <c r="E2134" s="36"/>
      <c r="F2134" s="36"/>
      <c r="G2134" s="36"/>
      <c r="H2134" s="36"/>
      <c r="I2134" s="36"/>
      <c r="J2134" s="36"/>
      <c r="K2134" s="36"/>
      <c r="L2134" s="36"/>
      <c r="M2134" s="36"/>
      <c r="N2134" s="36"/>
      <c r="O2134" s="36"/>
      <c r="P2134" s="36"/>
    </row>
    <row r="2135" ht="14.25" customHeight="1">
      <c r="A2135" s="100"/>
      <c r="B2135" s="36"/>
      <c r="C2135" s="36"/>
      <c r="D2135" s="36"/>
      <c r="E2135" s="36"/>
      <c r="F2135" s="36"/>
      <c r="G2135" s="36"/>
      <c r="H2135" s="36"/>
      <c r="I2135" s="36"/>
      <c r="J2135" s="36"/>
      <c r="K2135" s="36"/>
      <c r="L2135" s="36"/>
      <c r="M2135" s="36"/>
      <c r="N2135" s="36"/>
      <c r="O2135" s="36"/>
      <c r="P2135" s="36"/>
    </row>
    <row r="2136" ht="14.25" customHeight="1">
      <c r="A2136" s="100"/>
      <c r="B2136" s="36"/>
      <c r="C2136" s="36"/>
      <c r="D2136" s="36"/>
      <c r="E2136" s="36"/>
      <c r="F2136" s="36"/>
      <c r="G2136" s="36"/>
      <c r="H2136" s="36"/>
      <c r="I2136" s="36"/>
      <c r="J2136" s="36"/>
      <c r="K2136" s="36"/>
      <c r="L2136" s="36"/>
      <c r="M2136" s="36"/>
      <c r="N2136" s="36"/>
      <c r="O2136" s="36"/>
      <c r="P2136" s="36"/>
    </row>
    <row r="2137" ht="14.25" customHeight="1">
      <c r="A2137" s="100"/>
      <c r="B2137" s="36"/>
      <c r="C2137" s="36"/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</row>
    <row r="2138" ht="14.25" customHeight="1">
      <c r="A2138" s="100"/>
      <c r="B2138" s="36"/>
      <c r="C2138" s="36"/>
      <c r="D2138" s="36"/>
      <c r="E2138" s="36"/>
      <c r="F2138" s="36"/>
      <c r="G2138" s="36"/>
      <c r="H2138" s="36"/>
      <c r="I2138" s="36"/>
      <c r="J2138" s="36"/>
      <c r="K2138" s="36"/>
      <c r="L2138" s="36"/>
      <c r="M2138" s="36"/>
      <c r="N2138" s="36"/>
      <c r="O2138" s="36"/>
      <c r="P2138" s="36"/>
    </row>
    <row r="2139" ht="14.25" customHeight="1">
      <c r="A2139" s="100"/>
      <c r="B2139" s="36"/>
      <c r="C2139" s="36"/>
      <c r="D2139" s="36"/>
      <c r="E2139" s="36"/>
      <c r="F2139" s="36"/>
      <c r="G2139" s="36"/>
      <c r="H2139" s="36"/>
      <c r="I2139" s="36"/>
      <c r="J2139" s="36"/>
      <c r="K2139" s="36"/>
      <c r="L2139" s="36"/>
      <c r="M2139" s="36"/>
      <c r="N2139" s="36"/>
      <c r="O2139" s="36"/>
      <c r="P2139" s="36"/>
    </row>
    <row r="2140" ht="14.25" customHeight="1">
      <c r="A2140" s="100"/>
      <c r="B2140" s="36"/>
      <c r="C2140" s="36"/>
      <c r="D2140" s="36"/>
      <c r="E2140" s="36"/>
      <c r="F2140" s="36"/>
      <c r="G2140" s="36"/>
      <c r="H2140" s="36"/>
      <c r="I2140" s="36"/>
      <c r="J2140" s="36"/>
      <c r="K2140" s="36"/>
      <c r="L2140" s="36"/>
      <c r="M2140" s="36"/>
      <c r="N2140" s="36"/>
      <c r="O2140" s="36"/>
      <c r="P2140" s="36"/>
    </row>
    <row r="2141" ht="14.25" customHeight="1">
      <c r="A2141" s="100"/>
      <c r="B2141" s="36"/>
      <c r="C2141" s="36"/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</row>
    <row r="2142" ht="14.25" customHeight="1">
      <c r="A2142" s="100"/>
      <c r="B2142" s="36"/>
      <c r="C2142" s="36"/>
      <c r="D2142" s="36"/>
      <c r="E2142" s="36"/>
      <c r="F2142" s="36"/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</row>
    <row r="2143" ht="14.25" customHeight="1">
      <c r="A2143" s="100"/>
      <c r="B2143" s="36"/>
      <c r="C2143" s="36"/>
      <c r="D2143" s="36"/>
      <c r="E2143" s="36"/>
      <c r="F2143" s="36"/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</row>
    <row r="2144" ht="14.25" customHeight="1">
      <c r="A2144" s="100"/>
      <c r="B2144" s="36"/>
      <c r="C2144" s="36"/>
      <c r="D2144" s="36"/>
      <c r="E2144" s="36"/>
      <c r="F2144" s="36"/>
      <c r="G2144" s="36"/>
      <c r="H2144" s="36"/>
      <c r="I2144" s="36"/>
      <c r="J2144" s="36"/>
      <c r="K2144" s="36"/>
      <c r="L2144" s="36"/>
      <c r="M2144" s="36"/>
      <c r="N2144" s="36"/>
      <c r="O2144" s="36"/>
      <c r="P2144" s="36"/>
    </row>
    <row r="2145" ht="14.25" customHeight="1">
      <c r="A2145" s="100"/>
      <c r="B2145" s="36"/>
      <c r="C2145" s="36"/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</row>
    <row r="2146" ht="14.25" customHeight="1">
      <c r="A2146" s="100"/>
      <c r="B2146" s="36"/>
      <c r="C2146" s="36"/>
      <c r="D2146" s="36"/>
      <c r="E2146" s="36"/>
      <c r="F2146" s="36"/>
      <c r="G2146" s="36"/>
      <c r="H2146" s="36"/>
      <c r="I2146" s="36"/>
      <c r="J2146" s="36"/>
      <c r="K2146" s="36"/>
      <c r="L2146" s="36"/>
      <c r="M2146" s="36"/>
      <c r="N2146" s="36"/>
      <c r="O2146" s="36"/>
      <c r="P2146" s="36"/>
    </row>
    <row r="2147" ht="14.25" customHeight="1">
      <c r="A2147" s="100"/>
      <c r="B2147" s="36"/>
      <c r="C2147" s="36"/>
      <c r="D2147" s="36"/>
      <c r="E2147" s="36"/>
      <c r="F2147" s="36"/>
      <c r="G2147" s="36"/>
      <c r="H2147" s="36"/>
      <c r="I2147" s="36"/>
      <c r="J2147" s="36"/>
      <c r="K2147" s="36"/>
      <c r="L2147" s="36"/>
      <c r="M2147" s="36"/>
      <c r="N2147" s="36"/>
      <c r="O2147" s="36"/>
      <c r="P2147" s="36"/>
    </row>
    <row r="2148" ht="14.25" customHeight="1">
      <c r="A2148" s="100"/>
      <c r="B2148" s="36"/>
      <c r="C2148" s="36"/>
      <c r="D2148" s="36"/>
      <c r="E2148" s="36"/>
      <c r="F2148" s="36"/>
      <c r="G2148" s="36"/>
      <c r="H2148" s="36"/>
      <c r="I2148" s="36"/>
      <c r="J2148" s="36"/>
      <c r="K2148" s="36"/>
      <c r="L2148" s="36"/>
      <c r="M2148" s="36"/>
      <c r="N2148" s="36"/>
      <c r="O2148" s="36"/>
      <c r="P2148" s="36"/>
    </row>
    <row r="2149" ht="14.25" customHeight="1">
      <c r="A2149" s="100"/>
      <c r="B2149" s="36"/>
      <c r="C2149" s="36"/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</row>
    <row r="2150" ht="14.25" customHeight="1">
      <c r="A2150" s="100"/>
      <c r="B2150" s="36"/>
      <c r="C2150" s="36"/>
      <c r="D2150" s="36"/>
      <c r="E2150" s="36"/>
      <c r="F2150" s="36"/>
      <c r="G2150" s="36"/>
      <c r="H2150" s="36"/>
      <c r="I2150" s="36"/>
      <c r="J2150" s="36"/>
      <c r="K2150" s="36"/>
      <c r="L2150" s="36"/>
      <c r="M2150" s="36"/>
      <c r="N2150" s="36"/>
      <c r="O2150" s="36"/>
      <c r="P2150" s="36"/>
    </row>
    <row r="2151" ht="14.25" customHeight="1">
      <c r="A2151" s="100"/>
      <c r="B2151" s="36"/>
      <c r="C2151" s="36"/>
      <c r="D2151" s="36"/>
      <c r="E2151" s="36"/>
      <c r="F2151" s="36"/>
      <c r="G2151" s="36"/>
      <c r="H2151" s="36"/>
      <c r="I2151" s="36"/>
      <c r="J2151" s="36"/>
      <c r="K2151" s="36"/>
      <c r="L2151" s="36"/>
      <c r="M2151" s="36"/>
      <c r="N2151" s="36"/>
      <c r="O2151" s="36"/>
      <c r="P2151" s="36"/>
    </row>
    <row r="2152" ht="14.25" customHeight="1">
      <c r="A2152" s="100"/>
      <c r="B2152" s="36"/>
      <c r="C2152" s="36"/>
      <c r="D2152" s="36"/>
      <c r="E2152" s="36"/>
      <c r="F2152" s="36"/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</row>
    <row r="2153" ht="14.25" customHeight="1">
      <c r="A2153" s="100"/>
      <c r="B2153" s="36"/>
      <c r="C2153" s="36"/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</row>
    <row r="2154" ht="14.25" customHeight="1">
      <c r="A2154" s="100"/>
      <c r="B2154" s="36"/>
      <c r="C2154" s="36"/>
      <c r="D2154" s="36"/>
      <c r="E2154" s="36"/>
      <c r="F2154" s="36"/>
      <c r="G2154" s="36"/>
      <c r="H2154" s="36"/>
      <c r="I2154" s="36"/>
      <c r="J2154" s="36"/>
      <c r="K2154" s="36"/>
      <c r="L2154" s="36"/>
      <c r="M2154" s="36"/>
      <c r="N2154" s="36"/>
      <c r="O2154" s="36"/>
      <c r="P2154" s="36"/>
    </row>
    <row r="2155" ht="14.25" customHeight="1">
      <c r="A2155" s="100"/>
      <c r="B2155" s="36"/>
      <c r="C2155" s="36"/>
      <c r="D2155" s="36"/>
      <c r="E2155" s="36"/>
      <c r="F2155" s="36"/>
      <c r="G2155" s="36"/>
      <c r="H2155" s="36"/>
      <c r="I2155" s="36"/>
      <c r="J2155" s="36"/>
      <c r="K2155" s="36"/>
      <c r="L2155" s="36"/>
      <c r="M2155" s="36"/>
      <c r="N2155" s="36"/>
      <c r="O2155" s="36"/>
      <c r="P2155" s="36"/>
    </row>
    <row r="2156" ht="14.25" customHeight="1">
      <c r="A2156" s="100"/>
      <c r="B2156" s="36"/>
      <c r="C2156" s="36"/>
      <c r="D2156" s="36"/>
      <c r="E2156" s="36"/>
      <c r="F2156" s="36"/>
      <c r="G2156" s="36"/>
      <c r="H2156" s="36"/>
      <c r="I2156" s="36"/>
      <c r="J2156" s="36"/>
      <c r="K2156" s="36"/>
      <c r="L2156" s="36"/>
      <c r="M2156" s="36"/>
      <c r="N2156" s="36"/>
      <c r="O2156" s="36"/>
      <c r="P2156" s="36"/>
    </row>
    <row r="2157" ht="14.25" customHeight="1">
      <c r="A2157" s="100"/>
      <c r="B2157" s="36"/>
      <c r="C2157" s="36"/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</row>
    <row r="2158" ht="14.25" customHeight="1">
      <c r="A2158" s="100"/>
      <c r="B2158" s="36"/>
      <c r="C2158" s="36"/>
      <c r="D2158" s="36"/>
      <c r="E2158" s="36"/>
      <c r="F2158" s="36"/>
      <c r="G2158" s="36"/>
      <c r="H2158" s="36"/>
      <c r="I2158" s="36"/>
      <c r="J2158" s="36"/>
      <c r="K2158" s="36"/>
      <c r="L2158" s="36"/>
      <c r="M2158" s="36"/>
      <c r="N2158" s="36"/>
      <c r="O2158" s="36"/>
      <c r="P2158" s="36"/>
    </row>
    <row r="2159" ht="14.25" customHeight="1">
      <c r="A2159" s="100"/>
      <c r="B2159" s="36"/>
      <c r="C2159" s="36"/>
      <c r="D2159" s="36"/>
      <c r="E2159" s="36"/>
      <c r="F2159" s="36"/>
      <c r="G2159" s="36"/>
      <c r="H2159" s="36"/>
      <c r="I2159" s="36"/>
      <c r="J2159" s="36"/>
      <c r="K2159" s="36"/>
      <c r="L2159" s="36"/>
      <c r="M2159" s="36"/>
      <c r="N2159" s="36"/>
      <c r="O2159" s="36"/>
      <c r="P2159" s="36"/>
    </row>
    <row r="2160" ht="14.25" customHeight="1">
      <c r="A2160" s="100"/>
      <c r="B2160" s="36"/>
      <c r="C2160" s="36"/>
      <c r="D2160" s="36"/>
      <c r="E2160" s="36"/>
      <c r="F2160" s="36"/>
      <c r="G2160" s="36"/>
      <c r="H2160" s="36"/>
      <c r="I2160" s="36"/>
      <c r="J2160" s="36"/>
      <c r="K2160" s="36"/>
      <c r="L2160" s="36"/>
      <c r="M2160" s="36"/>
      <c r="N2160" s="36"/>
      <c r="O2160" s="36"/>
      <c r="P2160" s="36"/>
    </row>
    <row r="2161" ht="14.25" customHeight="1">
      <c r="A2161" s="100"/>
      <c r="B2161" s="36"/>
      <c r="C2161" s="36"/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</row>
    <row r="2162" ht="14.25" customHeight="1">
      <c r="A2162" s="100"/>
      <c r="B2162" s="36"/>
      <c r="C2162" s="36"/>
      <c r="D2162" s="36"/>
      <c r="E2162" s="36"/>
      <c r="F2162" s="36"/>
      <c r="G2162" s="36"/>
      <c r="H2162" s="36"/>
      <c r="I2162" s="36"/>
      <c r="J2162" s="36"/>
      <c r="K2162" s="36"/>
      <c r="L2162" s="36"/>
      <c r="M2162" s="36"/>
      <c r="N2162" s="36"/>
      <c r="O2162" s="36"/>
      <c r="P2162" s="36"/>
    </row>
    <row r="2163" ht="14.25" customHeight="1">
      <c r="A2163" s="100"/>
      <c r="B2163" s="36"/>
      <c r="C2163" s="36"/>
      <c r="D2163" s="36"/>
      <c r="E2163" s="36"/>
      <c r="F2163" s="36"/>
      <c r="G2163" s="36"/>
      <c r="H2163" s="36"/>
      <c r="I2163" s="36"/>
      <c r="J2163" s="36"/>
      <c r="K2163" s="36"/>
      <c r="L2163" s="36"/>
      <c r="M2163" s="36"/>
      <c r="N2163" s="36"/>
      <c r="O2163" s="36"/>
      <c r="P2163" s="36"/>
    </row>
    <row r="2164" ht="14.25" customHeight="1">
      <c r="A2164" s="100"/>
      <c r="B2164" s="36"/>
      <c r="C2164" s="36"/>
      <c r="D2164" s="36"/>
      <c r="E2164" s="36"/>
      <c r="F2164" s="36"/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</row>
    <row r="2165" ht="14.25" customHeight="1">
      <c r="A2165" s="100"/>
      <c r="B2165" s="36"/>
      <c r="C2165" s="36"/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</row>
    <row r="2166" ht="14.25" customHeight="1">
      <c r="A2166" s="100"/>
      <c r="B2166" s="36"/>
      <c r="C2166" s="36"/>
      <c r="D2166" s="36"/>
      <c r="E2166" s="36"/>
      <c r="F2166" s="36"/>
      <c r="G2166" s="36"/>
      <c r="H2166" s="36"/>
      <c r="I2166" s="36"/>
      <c r="J2166" s="36"/>
      <c r="K2166" s="36"/>
      <c r="L2166" s="36"/>
      <c r="M2166" s="36"/>
      <c r="N2166" s="36"/>
      <c r="O2166" s="36"/>
      <c r="P2166" s="36"/>
    </row>
    <row r="2167" ht="14.25" customHeight="1">
      <c r="A2167" s="100"/>
      <c r="B2167" s="36"/>
      <c r="C2167" s="36"/>
      <c r="D2167" s="36"/>
      <c r="E2167" s="36"/>
      <c r="F2167" s="36"/>
      <c r="G2167" s="36"/>
      <c r="H2167" s="36"/>
      <c r="I2167" s="36"/>
      <c r="J2167" s="36"/>
      <c r="K2167" s="36"/>
      <c r="L2167" s="36"/>
      <c r="M2167" s="36"/>
      <c r="N2167" s="36"/>
      <c r="O2167" s="36"/>
      <c r="P2167" s="36"/>
    </row>
    <row r="2168" ht="14.25" customHeight="1">
      <c r="A2168" s="100"/>
      <c r="B2168" s="36"/>
      <c r="C2168" s="36"/>
      <c r="D2168" s="36"/>
      <c r="E2168" s="36"/>
      <c r="F2168" s="36"/>
      <c r="G2168" s="36"/>
      <c r="H2168" s="36"/>
      <c r="I2168" s="36"/>
      <c r="J2168" s="36"/>
      <c r="K2168" s="36"/>
      <c r="L2168" s="36"/>
      <c r="M2168" s="36"/>
      <c r="N2168" s="36"/>
      <c r="O2168" s="36"/>
      <c r="P2168" s="36"/>
    </row>
    <row r="2169" ht="14.25" customHeight="1">
      <c r="A2169" s="100"/>
      <c r="B2169" s="36"/>
      <c r="C2169" s="36"/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</row>
    <row r="2170" ht="14.25" customHeight="1">
      <c r="A2170" s="100"/>
      <c r="B2170" s="36"/>
      <c r="C2170" s="36"/>
      <c r="D2170" s="36"/>
      <c r="E2170" s="36"/>
      <c r="F2170" s="36"/>
      <c r="G2170" s="36"/>
      <c r="H2170" s="36"/>
      <c r="I2170" s="36"/>
      <c r="J2170" s="36"/>
      <c r="K2170" s="36"/>
      <c r="L2170" s="36"/>
      <c r="M2170" s="36"/>
      <c r="N2170" s="36"/>
      <c r="O2170" s="36"/>
      <c r="P2170" s="36"/>
    </row>
    <row r="2171" ht="14.25" customHeight="1">
      <c r="A2171" s="100"/>
      <c r="B2171" s="36"/>
      <c r="C2171" s="36"/>
      <c r="D2171" s="36"/>
      <c r="E2171" s="36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</row>
    <row r="2172" ht="14.25" customHeight="1">
      <c r="A2172" s="100"/>
      <c r="B2172" s="36"/>
      <c r="C2172" s="36"/>
      <c r="D2172" s="36"/>
      <c r="E2172" s="36"/>
      <c r="F2172" s="36"/>
      <c r="G2172" s="36"/>
      <c r="H2172" s="36"/>
      <c r="I2172" s="36"/>
      <c r="J2172" s="36"/>
      <c r="K2172" s="36"/>
      <c r="L2172" s="36"/>
      <c r="M2172" s="36"/>
      <c r="N2172" s="36"/>
      <c r="O2172" s="36"/>
      <c r="P2172" s="36"/>
    </row>
    <row r="2173" ht="14.25" customHeight="1">
      <c r="A2173" s="100"/>
      <c r="B2173" s="36"/>
      <c r="C2173" s="36"/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</row>
    <row r="2174" ht="14.25" customHeight="1">
      <c r="A2174" s="100"/>
      <c r="B2174" s="36"/>
      <c r="C2174" s="36"/>
      <c r="D2174" s="36"/>
      <c r="E2174" s="36"/>
      <c r="F2174" s="36"/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</row>
    <row r="2175" ht="14.25" customHeight="1">
      <c r="A2175" s="100"/>
      <c r="B2175" s="36"/>
      <c r="C2175" s="36"/>
      <c r="D2175" s="36"/>
      <c r="E2175" s="36"/>
      <c r="F2175" s="36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</row>
    <row r="2176" ht="14.25" customHeight="1">
      <c r="A2176" s="100"/>
      <c r="B2176" s="36"/>
      <c r="C2176" s="36"/>
      <c r="D2176" s="36"/>
      <c r="E2176" s="36"/>
      <c r="F2176" s="36"/>
      <c r="G2176" s="36"/>
      <c r="H2176" s="36"/>
      <c r="I2176" s="36"/>
      <c r="J2176" s="36"/>
      <c r="K2176" s="36"/>
      <c r="L2176" s="36"/>
      <c r="M2176" s="36"/>
      <c r="N2176" s="36"/>
      <c r="O2176" s="36"/>
      <c r="P2176" s="36"/>
    </row>
    <row r="2177" ht="14.25" customHeight="1">
      <c r="A2177" s="100"/>
      <c r="B2177" s="36"/>
      <c r="C2177" s="36"/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</row>
    <row r="2178" ht="14.25" customHeight="1">
      <c r="A2178" s="100"/>
      <c r="B2178" s="36"/>
      <c r="C2178" s="36"/>
      <c r="D2178" s="36"/>
      <c r="E2178" s="36"/>
      <c r="F2178" s="36"/>
      <c r="G2178" s="36"/>
      <c r="H2178" s="36"/>
      <c r="I2178" s="36"/>
      <c r="J2178" s="36"/>
      <c r="K2178" s="36"/>
      <c r="L2178" s="36"/>
      <c r="M2178" s="36"/>
      <c r="N2178" s="36"/>
      <c r="O2178" s="36"/>
      <c r="P2178" s="36"/>
    </row>
    <row r="2179" ht="14.25" customHeight="1">
      <c r="A2179" s="100"/>
      <c r="B2179" s="36"/>
      <c r="C2179" s="36"/>
      <c r="D2179" s="36"/>
      <c r="E2179" s="36"/>
      <c r="F2179" s="36"/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</row>
    <row r="2180" ht="14.25" customHeight="1">
      <c r="A2180" s="100"/>
      <c r="B2180" s="36"/>
      <c r="C2180" s="36"/>
      <c r="D2180" s="36"/>
      <c r="E2180" s="36"/>
      <c r="F2180" s="36"/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</row>
    <row r="2181" ht="14.25" customHeight="1">
      <c r="A2181" s="100"/>
      <c r="B2181" s="36"/>
      <c r="C2181" s="36"/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</row>
    <row r="2182" ht="14.25" customHeight="1">
      <c r="A2182" s="100"/>
      <c r="B2182" s="36"/>
      <c r="C2182" s="36"/>
      <c r="D2182" s="36"/>
      <c r="E2182" s="36"/>
      <c r="F2182" s="36"/>
      <c r="G2182" s="36"/>
      <c r="H2182" s="36"/>
      <c r="I2182" s="36"/>
      <c r="J2182" s="36"/>
      <c r="K2182" s="36"/>
      <c r="L2182" s="36"/>
      <c r="M2182" s="36"/>
      <c r="N2182" s="36"/>
      <c r="O2182" s="36"/>
      <c r="P2182" s="36"/>
    </row>
    <row r="2183" ht="14.25" customHeight="1">
      <c r="A2183" s="100"/>
      <c r="B2183" s="36"/>
      <c r="C2183" s="36"/>
      <c r="D2183" s="36"/>
      <c r="E2183" s="36"/>
      <c r="F2183" s="36"/>
      <c r="G2183" s="36"/>
      <c r="H2183" s="36"/>
      <c r="I2183" s="36"/>
      <c r="J2183" s="36"/>
      <c r="K2183" s="36"/>
      <c r="L2183" s="36"/>
      <c r="M2183" s="36"/>
      <c r="N2183" s="36"/>
      <c r="O2183" s="36"/>
      <c r="P2183" s="36"/>
    </row>
    <row r="2184" ht="14.25" customHeight="1">
      <c r="A2184" s="100"/>
      <c r="B2184" s="36"/>
      <c r="C2184" s="36"/>
      <c r="D2184" s="36"/>
      <c r="E2184" s="36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6"/>
    </row>
    <row r="2185" ht="14.25" customHeight="1">
      <c r="A2185" s="100"/>
      <c r="B2185" s="36"/>
      <c r="C2185" s="36"/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</row>
    <row r="2186" ht="14.25" customHeight="1">
      <c r="A2186" s="100"/>
      <c r="B2186" s="36"/>
      <c r="C2186" s="36"/>
      <c r="D2186" s="36"/>
      <c r="E2186" s="36"/>
      <c r="F2186" s="36"/>
      <c r="G2186" s="36"/>
      <c r="H2186" s="36"/>
      <c r="I2186" s="36"/>
      <c r="J2186" s="36"/>
      <c r="K2186" s="36"/>
      <c r="L2186" s="36"/>
      <c r="M2186" s="36"/>
      <c r="N2186" s="36"/>
      <c r="O2186" s="36"/>
      <c r="P2186" s="36"/>
    </row>
    <row r="2187" ht="14.25" customHeight="1">
      <c r="A2187" s="100"/>
      <c r="B2187" s="36"/>
      <c r="C2187" s="36"/>
      <c r="D2187" s="36"/>
      <c r="E2187" s="36"/>
      <c r="F2187" s="36"/>
      <c r="G2187" s="36"/>
      <c r="H2187" s="36"/>
      <c r="I2187" s="36"/>
      <c r="J2187" s="36"/>
      <c r="K2187" s="36"/>
      <c r="L2187" s="36"/>
      <c r="M2187" s="36"/>
      <c r="N2187" s="36"/>
      <c r="O2187" s="36"/>
      <c r="P2187" s="36"/>
    </row>
    <row r="2188" ht="14.25" customHeight="1">
      <c r="A2188" s="100"/>
      <c r="B2188" s="36"/>
      <c r="C2188" s="36"/>
      <c r="D2188" s="36"/>
      <c r="E2188" s="36"/>
      <c r="F2188" s="36"/>
      <c r="G2188" s="36"/>
      <c r="H2188" s="36"/>
      <c r="I2188" s="36"/>
      <c r="J2188" s="36"/>
      <c r="K2188" s="36"/>
      <c r="L2188" s="36"/>
      <c r="M2188" s="36"/>
      <c r="N2188" s="36"/>
      <c r="O2188" s="36"/>
      <c r="P2188" s="36"/>
    </row>
    <row r="2189" ht="14.25" customHeight="1">
      <c r="A2189" s="100"/>
      <c r="B2189" s="36"/>
      <c r="C2189" s="36"/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</row>
    <row r="2190" ht="14.25" customHeight="1">
      <c r="A2190" s="100"/>
      <c r="B2190" s="36"/>
      <c r="C2190" s="36"/>
      <c r="D2190" s="36"/>
      <c r="E2190" s="36"/>
      <c r="F2190" s="36"/>
      <c r="G2190" s="36"/>
      <c r="H2190" s="36"/>
      <c r="I2190" s="36"/>
      <c r="J2190" s="36"/>
      <c r="K2190" s="36"/>
      <c r="L2190" s="36"/>
      <c r="M2190" s="36"/>
      <c r="N2190" s="36"/>
      <c r="O2190" s="36"/>
      <c r="P2190" s="36"/>
    </row>
    <row r="2191" ht="14.25" customHeight="1">
      <c r="A2191" s="100"/>
      <c r="B2191" s="36"/>
      <c r="C2191" s="36"/>
      <c r="D2191" s="36"/>
      <c r="E2191" s="36"/>
      <c r="F2191" s="36"/>
      <c r="G2191" s="36"/>
      <c r="H2191" s="36"/>
      <c r="I2191" s="36"/>
      <c r="J2191" s="36"/>
      <c r="K2191" s="36"/>
      <c r="L2191" s="36"/>
      <c r="M2191" s="36"/>
      <c r="N2191" s="36"/>
      <c r="O2191" s="36"/>
      <c r="P2191" s="36"/>
    </row>
    <row r="2192" ht="14.25" customHeight="1">
      <c r="A2192" s="100"/>
      <c r="B2192" s="36"/>
      <c r="C2192" s="36"/>
      <c r="D2192" s="36"/>
      <c r="E2192" s="36"/>
      <c r="F2192" s="36"/>
      <c r="G2192" s="36"/>
      <c r="H2192" s="36"/>
      <c r="I2192" s="36"/>
      <c r="J2192" s="36"/>
      <c r="K2192" s="36"/>
      <c r="L2192" s="36"/>
      <c r="M2192" s="36"/>
      <c r="N2192" s="36"/>
      <c r="O2192" s="36"/>
      <c r="P2192" s="36"/>
    </row>
    <row r="2193" ht="14.25" customHeight="1">
      <c r="A2193" s="100"/>
      <c r="B2193" s="36"/>
      <c r="C2193" s="36"/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</row>
    <row r="2194" ht="14.25" customHeight="1">
      <c r="A2194" s="100"/>
      <c r="B2194" s="36"/>
      <c r="C2194" s="36"/>
      <c r="D2194" s="36"/>
      <c r="E2194" s="36"/>
      <c r="F2194" s="36"/>
      <c r="G2194" s="36"/>
      <c r="H2194" s="36"/>
      <c r="I2194" s="36"/>
      <c r="J2194" s="36"/>
      <c r="K2194" s="36"/>
      <c r="L2194" s="36"/>
      <c r="M2194" s="36"/>
      <c r="N2194" s="36"/>
      <c r="O2194" s="36"/>
      <c r="P2194" s="36"/>
    </row>
    <row r="2195" ht="14.25" customHeight="1">
      <c r="A2195" s="100"/>
      <c r="B2195" s="36"/>
      <c r="C2195" s="36"/>
      <c r="D2195" s="36"/>
      <c r="E2195" s="36"/>
      <c r="F2195" s="36"/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</row>
    <row r="2196" ht="14.25" customHeight="1">
      <c r="A2196" s="100"/>
      <c r="B2196" s="36"/>
      <c r="C2196" s="36"/>
      <c r="D2196" s="36"/>
      <c r="E2196" s="36"/>
      <c r="F2196" s="36"/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</row>
    <row r="2197" ht="14.25" customHeight="1">
      <c r="A2197" s="100"/>
      <c r="B2197" s="36"/>
      <c r="C2197" s="36"/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</row>
    <row r="2198" ht="14.25" customHeight="1">
      <c r="A2198" s="100"/>
      <c r="B2198" s="36"/>
      <c r="C2198" s="36"/>
      <c r="D2198" s="36"/>
      <c r="E2198" s="36"/>
      <c r="F2198" s="36"/>
      <c r="G2198" s="36"/>
      <c r="H2198" s="36"/>
      <c r="I2198" s="36"/>
      <c r="J2198" s="36"/>
      <c r="K2198" s="36"/>
      <c r="L2198" s="36"/>
      <c r="M2198" s="36"/>
      <c r="N2198" s="36"/>
      <c r="O2198" s="36"/>
      <c r="P2198" s="36"/>
    </row>
    <row r="2199" ht="14.25" customHeight="1">
      <c r="A2199" s="100"/>
      <c r="B2199" s="36"/>
      <c r="C2199" s="36"/>
      <c r="D2199" s="36"/>
      <c r="E2199" s="36"/>
      <c r="F2199" s="36"/>
      <c r="G2199" s="36"/>
      <c r="H2199" s="36"/>
      <c r="I2199" s="36"/>
      <c r="J2199" s="36"/>
      <c r="K2199" s="36"/>
      <c r="L2199" s="36"/>
      <c r="M2199" s="36"/>
      <c r="N2199" s="36"/>
      <c r="O2199" s="36"/>
      <c r="P2199" s="36"/>
    </row>
    <row r="2200" ht="14.25" customHeight="1">
      <c r="A2200" s="100"/>
      <c r="B2200" s="36"/>
      <c r="C2200" s="36"/>
      <c r="D2200" s="36"/>
      <c r="E2200" s="36"/>
      <c r="F2200" s="36"/>
      <c r="G2200" s="36"/>
      <c r="H2200" s="36"/>
      <c r="I2200" s="36"/>
      <c r="J2200" s="36"/>
      <c r="K2200" s="36"/>
      <c r="L2200" s="36"/>
      <c r="M2200" s="36"/>
      <c r="N2200" s="36"/>
      <c r="O2200" s="36"/>
      <c r="P2200" s="36"/>
    </row>
    <row r="2201" ht="14.25" customHeight="1">
      <c r="A2201" s="100"/>
      <c r="B2201" s="36"/>
      <c r="C2201" s="36"/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</row>
    <row r="2202" ht="14.25" customHeight="1">
      <c r="A2202" s="100"/>
      <c r="B2202" s="36"/>
      <c r="C2202" s="36"/>
      <c r="D2202" s="36"/>
      <c r="E2202" s="36"/>
      <c r="F2202" s="36"/>
      <c r="G2202" s="36"/>
      <c r="H2202" s="36"/>
      <c r="I2202" s="36"/>
      <c r="J2202" s="36"/>
      <c r="K2202" s="36"/>
      <c r="L2202" s="36"/>
      <c r="M2202" s="36"/>
      <c r="N2202" s="36"/>
      <c r="O2202" s="36"/>
      <c r="P2202" s="36"/>
    </row>
    <row r="2203" ht="14.25" customHeight="1">
      <c r="A2203" s="100"/>
      <c r="B2203" s="36"/>
      <c r="C2203" s="36"/>
      <c r="D2203" s="36"/>
      <c r="E2203" s="36"/>
      <c r="F2203" s="36"/>
      <c r="G2203" s="36"/>
      <c r="H2203" s="36"/>
      <c r="I2203" s="36"/>
      <c r="J2203" s="36"/>
      <c r="K2203" s="36"/>
      <c r="L2203" s="36"/>
      <c r="M2203" s="36"/>
      <c r="N2203" s="36"/>
      <c r="O2203" s="36"/>
      <c r="P2203" s="36"/>
    </row>
    <row r="2204" ht="14.25" customHeight="1">
      <c r="A2204" s="100"/>
      <c r="B2204" s="36"/>
      <c r="C2204" s="36"/>
      <c r="D2204" s="36"/>
      <c r="E2204" s="36"/>
      <c r="F2204" s="36"/>
      <c r="G2204" s="36"/>
      <c r="H2204" s="36"/>
      <c r="I2204" s="36"/>
      <c r="J2204" s="36"/>
      <c r="K2204" s="36"/>
      <c r="L2204" s="36"/>
      <c r="M2204" s="36"/>
      <c r="N2204" s="36"/>
      <c r="O2204" s="36"/>
      <c r="P2204" s="36"/>
    </row>
    <row r="2205" ht="14.25" customHeight="1">
      <c r="A2205" s="100"/>
      <c r="B2205" s="36"/>
      <c r="C2205" s="36"/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</row>
    <row r="2206" ht="14.25" customHeight="1">
      <c r="A2206" s="100"/>
      <c r="B2206" s="36"/>
      <c r="C2206" s="36"/>
      <c r="D2206" s="36"/>
      <c r="E2206" s="36"/>
      <c r="F2206" s="36"/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</row>
    <row r="2207" ht="14.25" customHeight="1">
      <c r="A2207" s="100"/>
      <c r="B2207" s="36"/>
      <c r="C2207" s="36"/>
      <c r="D2207" s="36"/>
      <c r="E2207" s="36"/>
      <c r="F2207" s="36"/>
      <c r="G2207" s="36"/>
      <c r="H2207" s="36"/>
      <c r="I2207" s="36"/>
      <c r="J2207" s="36"/>
      <c r="K2207" s="36"/>
      <c r="L2207" s="36"/>
      <c r="M2207" s="36"/>
      <c r="N2207" s="36"/>
      <c r="O2207" s="36"/>
      <c r="P2207" s="36"/>
    </row>
    <row r="2208" ht="14.25" customHeight="1">
      <c r="A2208" s="100"/>
      <c r="B2208" s="36"/>
      <c r="C2208" s="36"/>
      <c r="D2208" s="36"/>
      <c r="E2208" s="36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6"/>
    </row>
    <row r="2209" ht="14.25" customHeight="1">
      <c r="A2209" s="100"/>
      <c r="B2209" s="36"/>
      <c r="C2209" s="36"/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</row>
    <row r="2210" ht="14.25" customHeight="1">
      <c r="A2210" s="100"/>
      <c r="B2210" s="36"/>
      <c r="C2210" s="36"/>
      <c r="D2210" s="36"/>
      <c r="E2210" s="36"/>
      <c r="F2210" s="36"/>
      <c r="G2210" s="36"/>
      <c r="H2210" s="36"/>
      <c r="I2210" s="36"/>
      <c r="J2210" s="36"/>
      <c r="K2210" s="36"/>
      <c r="L2210" s="36"/>
      <c r="M2210" s="36"/>
      <c r="N2210" s="36"/>
      <c r="O2210" s="36"/>
      <c r="P2210" s="36"/>
    </row>
    <row r="2211" ht="14.25" customHeight="1">
      <c r="A2211" s="100"/>
      <c r="B2211" s="36"/>
      <c r="C2211" s="36"/>
      <c r="D2211" s="36"/>
      <c r="E2211" s="36"/>
      <c r="F2211" s="36"/>
      <c r="G2211" s="36"/>
      <c r="H2211" s="36"/>
      <c r="I2211" s="36"/>
      <c r="J2211" s="36"/>
      <c r="K2211" s="36"/>
      <c r="L2211" s="36"/>
      <c r="M2211" s="36"/>
      <c r="N2211" s="36"/>
      <c r="O2211" s="36"/>
      <c r="P2211" s="36"/>
    </row>
    <row r="2212" ht="14.25" customHeight="1">
      <c r="A2212" s="100"/>
      <c r="B2212" s="36"/>
      <c r="C2212" s="36"/>
      <c r="D2212" s="36"/>
      <c r="E2212" s="36"/>
      <c r="F2212" s="36"/>
      <c r="G2212" s="36"/>
      <c r="H2212" s="36"/>
      <c r="I2212" s="36"/>
      <c r="J2212" s="36"/>
      <c r="K2212" s="36"/>
      <c r="L2212" s="36"/>
      <c r="M2212" s="36"/>
      <c r="N2212" s="36"/>
      <c r="O2212" s="36"/>
      <c r="P2212" s="36"/>
    </row>
    <row r="2213" ht="14.25" customHeight="1">
      <c r="A2213" s="100"/>
      <c r="B2213" s="36"/>
      <c r="C2213" s="36"/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</row>
    <row r="2214" ht="14.25" customHeight="1">
      <c r="A2214" s="100"/>
      <c r="B2214" s="36"/>
      <c r="C2214" s="36"/>
      <c r="D2214" s="36"/>
      <c r="E2214" s="36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  <c r="P2214" s="36"/>
    </row>
    <row r="2215" ht="14.25" customHeight="1">
      <c r="A2215" s="100"/>
      <c r="B2215" s="36"/>
      <c r="C2215" s="36"/>
      <c r="D2215" s="36"/>
      <c r="E2215" s="36"/>
      <c r="F2215" s="36"/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</row>
    <row r="2216" ht="14.25" customHeight="1">
      <c r="A2216" s="100"/>
      <c r="B2216" s="36"/>
      <c r="C2216" s="36"/>
      <c r="D2216" s="36"/>
      <c r="E2216" s="36"/>
      <c r="F2216" s="36"/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</row>
    <row r="2217" ht="14.25" customHeight="1">
      <c r="A2217" s="100"/>
      <c r="B2217" s="36"/>
      <c r="C2217" s="36"/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</row>
    <row r="2218" ht="14.25" customHeight="1">
      <c r="A2218" s="100"/>
      <c r="B2218" s="36"/>
      <c r="C2218" s="36"/>
      <c r="D2218" s="36"/>
      <c r="E2218" s="36"/>
      <c r="F2218" s="36"/>
      <c r="G2218" s="36"/>
      <c r="H2218" s="36"/>
      <c r="I2218" s="36"/>
      <c r="J2218" s="36"/>
      <c r="K2218" s="36"/>
      <c r="L2218" s="36"/>
      <c r="M2218" s="36"/>
      <c r="N2218" s="36"/>
      <c r="O2218" s="36"/>
      <c r="P2218" s="36"/>
    </row>
    <row r="2219" ht="14.25" customHeight="1">
      <c r="A2219" s="100"/>
      <c r="B2219" s="36"/>
      <c r="C2219" s="36"/>
      <c r="D2219" s="36"/>
      <c r="E2219" s="36"/>
      <c r="F2219" s="36"/>
      <c r="G2219" s="36"/>
      <c r="H2219" s="36"/>
      <c r="I2219" s="36"/>
      <c r="J2219" s="36"/>
      <c r="K2219" s="36"/>
      <c r="L2219" s="36"/>
      <c r="M2219" s="36"/>
      <c r="N2219" s="36"/>
      <c r="O2219" s="36"/>
      <c r="P2219" s="36"/>
    </row>
    <row r="2220" ht="14.25" customHeight="1">
      <c r="A2220" s="100"/>
      <c r="B2220" s="36"/>
      <c r="C2220" s="36"/>
      <c r="D2220" s="36"/>
      <c r="E2220" s="36"/>
      <c r="F2220" s="36"/>
      <c r="G2220" s="36"/>
      <c r="H2220" s="36"/>
      <c r="I2220" s="36"/>
      <c r="J2220" s="36"/>
      <c r="K2220" s="36"/>
      <c r="L2220" s="36"/>
      <c r="M2220" s="36"/>
      <c r="N2220" s="36"/>
      <c r="O2220" s="36"/>
      <c r="P2220" s="36"/>
    </row>
    <row r="2221" ht="14.25" customHeight="1">
      <c r="A2221" s="100"/>
      <c r="B2221" s="36"/>
      <c r="C2221" s="36"/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</row>
    <row r="2222" ht="14.25" customHeight="1">
      <c r="A2222" s="100"/>
      <c r="B2222" s="36"/>
      <c r="C2222" s="36"/>
      <c r="D2222" s="36"/>
      <c r="E2222" s="36"/>
      <c r="F2222" s="36"/>
      <c r="G2222" s="36"/>
      <c r="H2222" s="36"/>
      <c r="I2222" s="36"/>
      <c r="J2222" s="36"/>
      <c r="K2222" s="36"/>
      <c r="L2222" s="36"/>
      <c r="M2222" s="36"/>
      <c r="N2222" s="36"/>
      <c r="O2222" s="36"/>
      <c r="P2222" s="36"/>
    </row>
    <row r="2223" ht="14.25" customHeight="1">
      <c r="A2223" s="100"/>
      <c r="B2223" s="36"/>
      <c r="C2223" s="36"/>
      <c r="D2223" s="36"/>
      <c r="E2223" s="36"/>
      <c r="F2223" s="36"/>
      <c r="G2223" s="36"/>
      <c r="H2223" s="36"/>
      <c r="I2223" s="36"/>
      <c r="J2223" s="36"/>
      <c r="K2223" s="36"/>
      <c r="L2223" s="36"/>
      <c r="M2223" s="36"/>
      <c r="N2223" s="36"/>
      <c r="O2223" s="36"/>
      <c r="P2223" s="36"/>
    </row>
    <row r="2224" ht="14.25" customHeight="1">
      <c r="A2224" s="100"/>
      <c r="B2224" s="36"/>
      <c r="C2224" s="36"/>
      <c r="D2224" s="36"/>
      <c r="E2224" s="36"/>
      <c r="F2224" s="36"/>
      <c r="G2224" s="36"/>
      <c r="H2224" s="36"/>
      <c r="I2224" s="36"/>
      <c r="J2224" s="36"/>
      <c r="K2224" s="36"/>
      <c r="L2224" s="36"/>
      <c r="M2224" s="36"/>
      <c r="N2224" s="36"/>
      <c r="O2224" s="36"/>
      <c r="P2224" s="36"/>
    </row>
    <row r="2225" ht="14.25" customHeight="1">
      <c r="A2225" s="100"/>
      <c r="B2225" s="36"/>
      <c r="C2225" s="36"/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</row>
    <row r="2226" ht="14.25" customHeight="1">
      <c r="A2226" s="100"/>
      <c r="B2226" s="36"/>
      <c r="C2226" s="36"/>
      <c r="D2226" s="36"/>
      <c r="E2226" s="36"/>
      <c r="F2226" s="36"/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</row>
    <row r="2227" ht="14.25" customHeight="1">
      <c r="A2227" s="100"/>
      <c r="B2227" s="36"/>
      <c r="C2227" s="36"/>
      <c r="D2227" s="36"/>
      <c r="E2227" s="36"/>
      <c r="F2227" s="36"/>
      <c r="G2227" s="36"/>
      <c r="H2227" s="36"/>
      <c r="I2227" s="36"/>
      <c r="J2227" s="36"/>
      <c r="K2227" s="36"/>
      <c r="L2227" s="36"/>
      <c r="M2227" s="36"/>
      <c r="N2227" s="36"/>
      <c r="O2227" s="36"/>
      <c r="P2227" s="36"/>
    </row>
    <row r="2228" ht="14.25" customHeight="1">
      <c r="A2228" s="100"/>
      <c r="B2228" s="36"/>
      <c r="C2228" s="36"/>
      <c r="D2228" s="36"/>
      <c r="E2228" s="36"/>
      <c r="F2228" s="36"/>
      <c r="G2228" s="36"/>
      <c r="H2228" s="36"/>
      <c r="I2228" s="36"/>
      <c r="J2228" s="36"/>
      <c r="K2228" s="36"/>
      <c r="L2228" s="36"/>
      <c r="M2228" s="36"/>
      <c r="N2228" s="36"/>
      <c r="O2228" s="36"/>
      <c r="P2228" s="36"/>
    </row>
    <row r="2229" ht="14.25" customHeight="1">
      <c r="A2229" s="100"/>
      <c r="B2229" s="36"/>
      <c r="C2229" s="36"/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</row>
    <row r="2230" ht="14.25" customHeight="1">
      <c r="A2230" s="100"/>
      <c r="B2230" s="36"/>
      <c r="C2230" s="36"/>
      <c r="D2230" s="36"/>
      <c r="E2230" s="36"/>
      <c r="F2230" s="36"/>
      <c r="G2230" s="36"/>
      <c r="H2230" s="36"/>
      <c r="I2230" s="36"/>
      <c r="J2230" s="36"/>
      <c r="K2230" s="36"/>
      <c r="L2230" s="36"/>
      <c r="M2230" s="36"/>
      <c r="N2230" s="36"/>
      <c r="O2230" s="36"/>
      <c r="P2230" s="36"/>
    </row>
    <row r="2231" ht="14.25" customHeight="1">
      <c r="A2231" s="100"/>
      <c r="B2231" s="36"/>
      <c r="C2231" s="36"/>
      <c r="D2231" s="36"/>
      <c r="E2231" s="36"/>
      <c r="F2231" s="36"/>
      <c r="G2231" s="36"/>
      <c r="H2231" s="36"/>
      <c r="I2231" s="36"/>
      <c r="J2231" s="36"/>
      <c r="K2231" s="36"/>
      <c r="L2231" s="36"/>
      <c r="M2231" s="36"/>
      <c r="N2231" s="36"/>
      <c r="O2231" s="36"/>
      <c r="P2231" s="36"/>
    </row>
    <row r="2232" ht="14.25" customHeight="1">
      <c r="A2232" s="100"/>
      <c r="B2232" s="36"/>
      <c r="C2232" s="36"/>
      <c r="D2232" s="36"/>
      <c r="E2232" s="36"/>
      <c r="F2232" s="36"/>
      <c r="G2232" s="36"/>
      <c r="H2232" s="36"/>
      <c r="I2232" s="36"/>
      <c r="J2232" s="36"/>
      <c r="K2232" s="36"/>
      <c r="L2232" s="36"/>
      <c r="M2232" s="36"/>
      <c r="N2232" s="36"/>
      <c r="O2232" s="36"/>
      <c r="P2232" s="36"/>
    </row>
    <row r="2233" ht="14.25" customHeight="1">
      <c r="A2233" s="100"/>
      <c r="B2233" s="36"/>
      <c r="C2233" s="36"/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</row>
    <row r="2234" ht="14.25" customHeight="1">
      <c r="A2234" s="100"/>
      <c r="B2234" s="36"/>
      <c r="C2234" s="36"/>
      <c r="D2234" s="36"/>
      <c r="E2234" s="36"/>
      <c r="F2234" s="36"/>
      <c r="G2234" s="36"/>
      <c r="H2234" s="36"/>
      <c r="I2234" s="36"/>
      <c r="J2234" s="36"/>
      <c r="K2234" s="36"/>
      <c r="L2234" s="36"/>
      <c r="M2234" s="36"/>
      <c r="N2234" s="36"/>
      <c r="O2234" s="36"/>
      <c r="P2234" s="36"/>
    </row>
    <row r="2235" ht="14.25" customHeight="1">
      <c r="A2235" s="100"/>
      <c r="B2235" s="36"/>
      <c r="C2235" s="36"/>
      <c r="D2235" s="36"/>
      <c r="E2235" s="36"/>
      <c r="F2235" s="36"/>
      <c r="G2235" s="36"/>
      <c r="H2235" s="36"/>
      <c r="I2235" s="36"/>
      <c r="J2235" s="36"/>
      <c r="K2235" s="36"/>
      <c r="L2235" s="36"/>
      <c r="M2235" s="36"/>
      <c r="N2235" s="36"/>
      <c r="O2235" s="36"/>
      <c r="P2235" s="36"/>
    </row>
    <row r="2236" ht="14.25" customHeight="1">
      <c r="A2236" s="100"/>
      <c r="B2236" s="36"/>
      <c r="C2236" s="36"/>
      <c r="D2236" s="36"/>
      <c r="E2236" s="36"/>
      <c r="F2236" s="36"/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</row>
    <row r="2237" ht="14.25" customHeight="1">
      <c r="A2237" s="100"/>
      <c r="B2237" s="36"/>
      <c r="C2237" s="36"/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</row>
    <row r="2238" ht="14.25" customHeight="1">
      <c r="A2238" s="100"/>
      <c r="B2238" s="36"/>
      <c r="C2238" s="36"/>
      <c r="D2238" s="36"/>
      <c r="E2238" s="36"/>
      <c r="F2238" s="36"/>
      <c r="G2238" s="36"/>
      <c r="H2238" s="36"/>
      <c r="I2238" s="36"/>
      <c r="J2238" s="36"/>
      <c r="K2238" s="36"/>
      <c r="L2238" s="36"/>
      <c r="M2238" s="36"/>
      <c r="N2238" s="36"/>
      <c r="O2238" s="36"/>
      <c r="P2238" s="36"/>
    </row>
    <row r="2239" ht="14.25" customHeight="1">
      <c r="A2239" s="100"/>
      <c r="B2239" s="36"/>
      <c r="C2239" s="36"/>
      <c r="D2239" s="36"/>
      <c r="E2239" s="36"/>
      <c r="F2239" s="36"/>
      <c r="G2239" s="36"/>
      <c r="H2239" s="36"/>
      <c r="I2239" s="36"/>
      <c r="J2239" s="36"/>
      <c r="K2239" s="36"/>
      <c r="L2239" s="36"/>
      <c r="M2239" s="36"/>
      <c r="N2239" s="36"/>
      <c r="O2239" s="36"/>
      <c r="P2239" s="36"/>
    </row>
    <row r="2240" ht="14.25" customHeight="1">
      <c r="A2240" s="100"/>
      <c r="B2240" s="36"/>
      <c r="C2240" s="36"/>
      <c r="D2240" s="36"/>
      <c r="E2240" s="36"/>
      <c r="F2240" s="36"/>
      <c r="G2240" s="36"/>
      <c r="H2240" s="36"/>
      <c r="I2240" s="36"/>
      <c r="J2240" s="36"/>
      <c r="K2240" s="36"/>
      <c r="L2240" s="36"/>
      <c r="M2240" s="36"/>
      <c r="N2240" s="36"/>
      <c r="O2240" s="36"/>
      <c r="P2240" s="36"/>
    </row>
    <row r="2241" ht="14.25" customHeight="1">
      <c r="A2241" s="100"/>
      <c r="B2241" s="36"/>
      <c r="C2241" s="36"/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</row>
    <row r="2242" ht="14.25" customHeight="1">
      <c r="A2242" s="100"/>
      <c r="B2242" s="36"/>
      <c r="C2242" s="36"/>
      <c r="D2242" s="36"/>
      <c r="E2242" s="36"/>
      <c r="F2242" s="36"/>
      <c r="G2242" s="36"/>
      <c r="H2242" s="36"/>
      <c r="I2242" s="36"/>
      <c r="J2242" s="36"/>
      <c r="K2242" s="36"/>
      <c r="L2242" s="36"/>
      <c r="M2242" s="36"/>
      <c r="N2242" s="36"/>
      <c r="O2242" s="36"/>
      <c r="P2242" s="36"/>
    </row>
    <row r="2243" ht="14.25" customHeight="1">
      <c r="A2243" s="100"/>
      <c r="B2243" s="36"/>
      <c r="C2243" s="36"/>
      <c r="D2243" s="36"/>
      <c r="E2243" s="36"/>
      <c r="F2243" s="36"/>
      <c r="G2243" s="36"/>
      <c r="H2243" s="36"/>
      <c r="I2243" s="36"/>
      <c r="J2243" s="36"/>
      <c r="K2243" s="36"/>
      <c r="L2243" s="36"/>
      <c r="M2243" s="36"/>
      <c r="N2243" s="36"/>
      <c r="O2243" s="36"/>
      <c r="P2243" s="36"/>
    </row>
    <row r="2244" ht="14.25" customHeight="1">
      <c r="A2244" s="100"/>
      <c r="B2244" s="36"/>
      <c r="C2244" s="36"/>
      <c r="D2244" s="36"/>
      <c r="E2244" s="36"/>
      <c r="F2244" s="36"/>
      <c r="G2244" s="36"/>
      <c r="H2244" s="36"/>
      <c r="I2244" s="36"/>
      <c r="J2244" s="36"/>
      <c r="K2244" s="36"/>
      <c r="L2244" s="36"/>
      <c r="M2244" s="36"/>
      <c r="N2244" s="36"/>
      <c r="O2244" s="36"/>
      <c r="P2244" s="36"/>
    </row>
    <row r="2245" ht="14.25" customHeight="1">
      <c r="A2245" s="100"/>
      <c r="B2245" s="36"/>
      <c r="C2245" s="36"/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</row>
    <row r="2246" ht="14.25" customHeight="1">
      <c r="A2246" s="100"/>
      <c r="B2246" s="36"/>
      <c r="C2246" s="36"/>
      <c r="D2246" s="36"/>
      <c r="E2246" s="36"/>
      <c r="F2246" s="36"/>
      <c r="G2246" s="36"/>
      <c r="H2246" s="36"/>
      <c r="I2246" s="36"/>
      <c r="J2246" s="36"/>
      <c r="K2246" s="36"/>
      <c r="L2246" s="36"/>
      <c r="M2246" s="36"/>
      <c r="N2246" s="36"/>
      <c r="O2246" s="36"/>
      <c r="P2246" s="36"/>
    </row>
    <row r="2247" ht="14.25" customHeight="1">
      <c r="A2247" s="100"/>
      <c r="B2247" s="36"/>
      <c r="C2247" s="36"/>
      <c r="D2247" s="36"/>
      <c r="E2247" s="36"/>
      <c r="F2247" s="36"/>
      <c r="G2247" s="36"/>
      <c r="H2247" s="36"/>
      <c r="I2247" s="36"/>
      <c r="J2247" s="36"/>
      <c r="K2247" s="36"/>
      <c r="L2247" s="36"/>
      <c r="M2247" s="36"/>
      <c r="N2247" s="36"/>
      <c r="O2247" s="36"/>
      <c r="P2247" s="36"/>
    </row>
    <row r="2248" ht="14.25" customHeight="1">
      <c r="A2248" s="100"/>
      <c r="B2248" s="36"/>
      <c r="C2248" s="36"/>
      <c r="D2248" s="36"/>
      <c r="E2248" s="36"/>
      <c r="F2248" s="36"/>
      <c r="G2248" s="36"/>
      <c r="H2248" s="36"/>
      <c r="I2248" s="36"/>
      <c r="J2248" s="36"/>
      <c r="K2248" s="36"/>
      <c r="L2248" s="36"/>
      <c r="M2248" s="36"/>
      <c r="N2248" s="36"/>
      <c r="O2248" s="36"/>
      <c r="P2248" s="36"/>
    </row>
    <row r="2249" ht="14.25" customHeight="1">
      <c r="A2249" s="100"/>
      <c r="B2249" s="36"/>
      <c r="C2249" s="36"/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</row>
    <row r="2250" ht="14.25" customHeight="1">
      <c r="A2250" s="100"/>
      <c r="B2250" s="36"/>
      <c r="C2250" s="36"/>
      <c r="D2250" s="36"/>
      <c r="E2250" s="36"/>
      <c r="F2250" s="36"/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</row>
    <row r="2251" ht="14.25" customHeight="1">
      <c r="A2251" s="100"/>
      <c r="B2251" s="36"/>
      <c r="C2251" s="36"/>
      <c r="D2251" s="36"/>
      <c r="E2251" s="36"/>
      <c r="F2251" s="36"/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</row>
    <row r="2252" ht="14.25" customHeight="1">
      <c r="A2252" s="100"/>
      <c r="B2252" s="36"/>
      <c r="C2252" s="36"/>
      <c r="D2252" s="36"/>
      <c r="E2252" s="36"/>
      <c r="F2252" s="36"/>
      <c r="G2252" s="36"/>
      <c r="H2252" s="36"/>
      <c r="I2252" s="36"/>
      <c r="J2252" s="36"/>
      <c r="K2252" s="36"/>
      <c r="L2252" s="36"/>
      <c r="M2252" s="36"/>
      <c r="N2252" s="36"/>
      <c r="O2252" s="36"/>
      <c r="P2252" s="36"/>
    </row>
    <row r="2253" ht="14.25" customHeight="1">
      <c r="A2253" s="100"/>
      <c r="B2253" s="36"/>
      <c r="C2253" s="36"/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</row>
    <row r="2254" ht="14.25" customHeight="1">
      <c r="A2254" s="100"/>
      <c r="B2254" s="36"/>
      <c r="C2254" s="36"/>
      <c r="D2254" s="36"/>
      <c r="E2254" s="36"/>
      <c r="F2254" s="36"/>
      <c r="G2254" s="36"/>
      <c r="H2254" s="36"/>
      <c r="I2254" s="36"/>
      <c r="J2254" s="36"/>
      <c r="K2254" s="36"/>
      <c r="L2254" s="36"/>
      <c r="M2254" s="36"/>
      <c r="N2254" s="36"/>
      <c r="O2254" s="36"/>
      <c r="P2254" s="36"/>
    </row>
    <row r="2255" ht="14.25" customHeight="1">
      <c r="A2255" s="100"/>
      <c r="B2255" s="36"/>
      <c r="C2255" s="36"/>
      <c r="D2255" s="36"/>
      <c r="E2255" s="36"/>
      <c r="F2255" s="36"/>
      <c r="G2255" s="36"/>
      <c r="H2255" s="36"/>
      <c r="I2255" s="36"/>
      <c r="J2255" s="36"/>
      <c r="K2255" s="36"/>
      <c r="L2255" s="36"/>
      <c r="M2255" s="36"/>
      <c r="N2255" s="36"/>
      <c r="O2255" s="36"/>
      <c r="P2255" s="36"/>
    </row>
    <row r="2256" ht="14.25" customHeight="1">
      <c r="A2256" s="100"/>
      <c r="B2256" s="36"/>
      <c r="C2256" s="36"/>
      <c r="D2256" s="36"/>
      <c r="E2256" s="36"/>
      <c r="F2256" s="36"/>
      <c r="G2256" s="36"/>
      <c r="H2256" s="36"/>
      <c r="I2256" s="36"/>
      <c r="J2256" s="36"/>
      <c r="K2256" s="36"/>
      <c r="L2256" s="36"/>
      <c r="M2256" s="36"/>
      <c r="N2256" s="36"/>
      <c r="O2256" s="36"/>
      <c r="P2256" s="36"/>
    </row>
    <row r="2257" ht="14.25" customHeight="1">
      <c r="A2257" s="100"/>
      <c r="B2257" s="36"/>
      <c r="C2257" s="36"/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</row>
    <row r="2258" ht="14.25" customHeight="1">
      <c r="A2258" s="100"/>
      <c r="B2258" s="36"/>
      <c r="C2258" s="36"/>
      <c r="D2258" s="36"/>
      <c r="E2258" s="36"/>
      <c r="F2258" s="36"/>
      <c r="G2258" s="36"/>
      <c r="H2258" s="36"/>
      <c r="I2258" s="36"/>
      <c r="J2258" s="36"/>
      <c r="K2258" s="36"/>
      <c r="L2258" s="36"/>
      <c r="M2258" s="36"/>
      <c r="N2258" s="36"/>
      <c r="O2258" s="36"/>
      <c r="P2258" s="36"/>
    </row>
    <row r="2259" ht="14.25" customHeight="1">
      <c r="A2259" s="100"/>
      <c r="B2259" s="36"/>
      <c r="C2259" s="36"/>
      <c r="D2259" s="36"/>
      <c r="E2259" s="36"/>
      <c r="F2259" s="36"/>
      <c r="G2259" s="36"/>
      <c r="H2259" s="36"/>
      <c r="I2259" s="36"/>
      <c r="J2259" s="36"/>
      <c r="K2259" s="36"/>
      <c r="L2259" s="36"/>
      <c r="M2259" s="36"/>
      <c r="N2259" s="36"/>
      <c r="O2259" s="36"/>
      <c r="P2259" s="36"/>
    </row>
    <row r="2260" ht="14.25" customHeight="1">
      <c r="A2260" s="100"/>
      <c r="B2260" s="36"/>
      <c r="C2260" s="36"/>
      <c r="D2260" s="36"/>
      <c r="E2260" s="36"/>
      <c r="F2260" s="36"/>
      <c r="G2260" s="36"/>
      <c r="H2260" s="36"/>
      <c r="I2260" s="36"/>
      <c r="J2260" s="36"/>
      <c r="K2260" s="36"/>
      <c r="L2260" s="36"/>
      <c r="M2260" s="36"/>
      <c r="N2260" s="36"/>
      <c r="O2260" s="36"/>
      <c r="P2260" s="36"/>
    </row>
    <row r="2261" ht="14.25" customHeight="1">
      <c r="A2261" s="100"/>
      <c r="B2261" s="36"/>
      <c r="C2261" s="36"/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</row>
    <row r="2262" ht="14.25" customHeight="1">
      <c r="A2262" s="100"/>
      <c r="B2262" s="36"/>
      <c r="C2262" s="36"/>
      <c r="D2262" s="36"/>
      <c r="E2262" s="36"/>
      <c r="F2262" s="36"/>
      <c r="G2262" s="36"/>
      <c r="H2262" s="36"/>
      <c r="I2262" s="36"/>
      <c r="J2262" s="36"/>
      <c r="K2262" s="36"/>
      <c r="L2262" s="36"/>
      <c r="M2262" s="36"/>
      <c r="N2262" s="36"/>
      <c r="O2262" s="36"/>
      <c r="P2262" s="36"/>
    </row>
    <row r="2263" ht="14.25" customHeight="1">
      <c r="A2263" s="100"/>
      <c r="B2263" s="36"/>
      <c r="C2263" s="36"/>
      <c r="D2263" s="36"/>
      <c r="E2263" s="36"/>
      <c r="F2263" s="36"/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</row>
    <row r="2264" ht="14.25" customHeight="1">
      <c r="A2264" s="100"/>
      <c r="B2264" s="36"/>
      <c r="C2264" s="36"/>
      <c r="D2264" s="36"/>
      <c r="E2264" s="36"/>
      <c r="F2264" s="36"/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</row>
    <row r="2265" ht="14.25" customHeight="1">
      <c r="A2265" s="100"/>
      <c r="B2265" s="36"/>
      <c r="C2265" s="36"/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</row>
    <row r="2266" ht="14.25" customHeight="1">
      <c r="A2266" s="100"/>
      <c r="B2266" s="36"/>
      <c r="C2266" s="36"/>
      <c r="D2266" s="36"/>
      <c r="E2266" s="36"/>
      <c r="F2266" s="36"/>
      <c r="G2266" s="36"/>
      <c r="H2266" s="36"/>
      <c r="I2266" s="36"/>
      <c r="J2266" s="36"/>
      <c r="K2266" s="36"/>
      <c r="L2266" s="36"/>
      <c r="M2266" s="36"/>
      <c r="N2266" s="36"/>
      <c r="O2266" s="36"/>
      <c r="P2266" s="36"/>
    </row>
    <row r="2267" ht="14.25" customHeight="1">
      <c r="A2267" s="100"/>
      <c r="B2267" s="36"/>
      <c r="C2267" s="36"/>
      <c r="D2267" s="36"/>
      <c r="E2267" s="36"/>
      <c r="F2267" s="36"/>
      <c r="G2267" s="36"/>
      <c r="H2267" s="36"/>
      <c r="I2267" s="36"/>
      <c r="J2267" s="36"/>
      <c r="K2267" s="36"/>
      <c r="L2267" s="36"/>
      <c r="M2267" s="36"/>
      <c r="N2267" s="36"/>
      <c r="O2267" s="36"/>
      <c r="P2267" s="36"/>
    </row>
    <row r="2268" ht="14.25" customHeight="1">
      <c r="A2268" s="100"/>
      <c r="B2268" s="36"/>
      <c r="C2268" s="36"/>
      <c r="D2268" s="36"/>
      <c r="E2268" s="36"/>
      <c r="F2268" s="36"/>
      <c r="G2268" s="36"/>
      <c r="H2268" s="36"/>
      <c r="I2268" s="36"/>
      <c r="J2268" s="36"/>
      <c r="K2268" s="36"/>
      <c r="L2268" s="36"/>
      <c r="M2268" s="36"/>
      <c r="N2268" s="36"/>
      <c r="O2268" s="36"/>
      <c r="P2268" s="36"/>
    </row>
    <row r="2269" ht="14.25" customHeight="1">
      <c r="A2269" s="100"/>
      <c r="B2269" s="36"/>
      <c r="C2269" s="36"/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</row>
    <row r="2270" ht="14.25" customHeight="1">
      <c r="A2270" s="100"/>
      <c r="B2270" s="36"/>
      <c r="C2270" s="36"/>
      <c r="D2270" s="36"/>
      <c r="E2270" s="36"/>
      <c r="F2270" s="36"/>
      <c r="G2270" s="36"/>
      <c r="H2270" s="36"/>
      <c r="I2270" s="36"/>
      <c r="J2270" s="36"/>
      <c r="K2270" s="36"/>
      <c r="L2270" s="36"/>
      <c r="M2270" s="36"/>
      <c r="N2270" s="36"/>
      <c r="O2270" s="36"/>
      <c r="P2270" s="36"/>
    </row>
    <row r="2271" ht="14.25" customHeight="1">
      <c r="A2271" s="100"/>
      <c r="B2271" s="36"/>
      <c r="C2271" s="36"/>
      <c r="D2271" s="36"/>
      <c r="E2271" s="36"/>
      <c r="F2271" s="36"/>
      <c r="G2271" s="36"/>
      <c r="H2271" s="36"/>
      <c r="I2271" s="36"/>
      <c r="J2271" s="36"/>
      <c r="K2271" s="36"/>
      <c r="L2271" s="36"/>
      <c r="M2271" s="36"/>
      <c r="N2271" s="36"/>
      <c r="O2271" s="36"/>
      <c r="P2271" s="36"/>
    </row>
    <row r="2272" ht="14.25" customHeight="1">
      <c r="A2272" s="100"/>
      <c r="B2272" s="36"/>
      <c r="C2272" s="36"/>
      <c r="D2272" s="36"/>
      <c r="E2272" s="36"/>
      <c r="F2272" s="36"/>
      <c r="G2272" s="36"/>
      <c r="H2272" s="36"/>
      <c r="I2272" s="36"/>
      <c r="J2272" s="36"/>
      <c r="K2272" s="36"/>
      <c r="L2272" s="36"/>
      <c r="M2272" s="36"/>
      <c r="N2272" s="36"/>
      <c r="O2272" s="36"/>
      <c r="P2272" s="36"/>
    </row>
    <row r="2273" ht="14.25" customHeight="1">
      <c r="A2273" s="100"/>
      <c r="B2273" s="36"/>
      <c r="C2273" s="36"/>
      <c r="D2273" s="36"/>
      <c r="E2273" s="36"/>
      <c r="F2273" s="36"/>
      <c r="G2273" s="36"/>
      <c r="H2273" s="36"/>
      <c r="I2273" s="36"/>
      <c r="J2273" s="36"/>
      <c r="K2273" s="36"/>
      <c r="L2273" s="36"/>
      <c r="M2273" s="36"/>
      <c r="N2273" s="36"/>
      <c r="O2273" s="36"/>
      <c r="P2273" s="36"/>
    </row>
    <row r="2274" ht="14.25" customHeight="1">
      <c r="A2274" s="100"/>
      <c r="B2274" s="36"/>
      <c r="C2274" s="36"/>
      <c r="D2274" s="36"/>
      <c r="E2274" s="36"/>
      <c r="F2274" s="36"/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</row>
    <row r="2275" ht="14.25" customHeight="1">
      <c r="A2275" s="100"/>
      <c r="B2275" s="36"/>
      <c r="C2275" s="36"/>
      <c r="D2275" s="36"/>
      <c r="E2275" s="36"/>
      <c r="F2275" s="36"/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</row>
    <row r="2276" ht="14.25" customHeight="1">
      <c r="A2276" s="100"/>
      <c r="B2276" s="36"/>
      <c r="C2276" s="36"/>
      <c r="D2276" s="36"/>
      <c r="E2276" s="36"/>
      <c r="F2276" s="36"/>
      <c r="G2276" s="36"/>
      <c r="H2276" s="36"/>
      <c r="I2276" s="36"/>
      <c r="J2276" s="36"/>
      <c r="K2276" s="36"/>
      <c r="L2276" s="36"/>
      <c r="M2276" s="36"/>
      <c r="N2276" s="36"/>
      <c r="O2276" s="36"/>
      <c r="P2276" s="36"/>
    </row>
    <row r="2277" ht="14.25" customHeight="1">
      <c r="A2277" s="100"/>
      <c r="B2277" s="36"/>
      <c r="C2277" s="36"/>
      <c r="D2277" s="36"/>
      <c r="E2277" s="36"/>
      <c r="F2277" s="36"/>
      <c r="G2277" s="36"/>
      <c r="H2277" s="36"/>
      <c r="I2277" s="36"/>
      <c r="J2277" s="36"/>
      <c r="K2277" s="36"/>
      <c r="L2277" s="36"/>
      <c r="M2277" s="36"/>
      <c r="N2277" s="36"/>
      <c r="O2277" s="36"/>
      <c r="P2277" s="36"/>
    </row>
    <row r="2278" ht="14.25" customHeight="1">
      <c r="A2278" s="100"/>
      <c r="B2278" s="36"/>
      <c r="C2278" s="36"/>
      <c r="D2278" s="36"/>
      <c r="E2278" s="36"/>
      <c r="F2278" s="36"/>
      <c r="G2278" s="36"/>
      <c r="H2278" s="36"/>
      <c r="I2278" s="36"/>
      <c r="J2278" s="36"/>
      <c r="K2278" s="36"/>
      <c r="L2278" s="36"/>
      <c r="M2278" s="36"/>
      <c r="N2278" s="36"/>
      <c r="O2278" s="36"/>
      <c r="P2278" s="36"/>
    </row>
    <row r="2279" ht="14.25" customHeight="1">
      <c r="A2279" s="100"/>
      <c r="B2279" s="36"/>
      <c r="C2279" s="36"/>
      <c r="D2279" s="36"/>
      <c r="E2279" s="36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</row>
    <row r="2280" ht="14.25" customHeight="1">
      <c r="A2280" s="100"/>
      <c r="B2280" s="36"/>
      <c r="C2280" s="36"/>
      <c r="D2280" s="36"/>
      <c r="E2280" s="36"/>
      <c r="F2280" s="36"/>
      <c r="G2280" s="36"/>
      <c r="H2280" s="36"/>
      <c r="I2280" s="36"/>
      <c r="J2280" s="36"/>
      <c r="K2280" s="36"/>
      <c r="L2280" s="36"/>
      <c r="M2280" s="36"/>
      <c r="N2280" s="36"/>
      <c r="O2280" s="36"/>
      <c r="P2280" s="36"/>
    </row>
    <row r="2281" ht="14.25" customHeight="1">
      <c r="A2281" s="100"/>
      <c r="B2281" s="36"/>
      <c r="C2281" s="36"/>
      <c r="D2281" s="36"/>
      <c r="E2281" s="36"/>
      <c r="F2281" s="36"/>
      <c r="G2281" s="36"/>
      <c r="H2281" s="36"/>
      <c r="I2281" s="36"/>
      <c r="J2281" s="36"/>
      <c r="K2281" s="36"/>
      <c r="L2281" s="36"/>
      <c r="M2281" s="36"/>
      <c r="N2281" s="36"/>
      <c r="O2281" s="36"/>
      <c r="P2281" s="36"/>
    </row>
    <row r="2282" ht="14.25" customHeight="1">
      <c r="A2282" s="100"/>
      <c r="B2282" s="36"/>
      <c r="C2282" s="36"/>
      <c r="D2282" s="36"/>
      <c r="E2282" s="36"/>
      <c r="F2282" s="36"/>
      <c r="G2282" s="36"/>
      <c r="H2282" s="36"/>
      <c r="I2282" s="36"/>
      <c r="J2282" s="36"/>
      <c r="K2282" s="36"/>
      <c r="L2282" s="36"/>
      <c r="M2282" s="36"/>
      <c r="N2282" s="36"/>
      <c r="O2282" s="36"/>
      <c r="P2282" s="36"/>
    </row>
    <row r="2283" ht="14.25" customHeight="1">
      <c r="A2283" s="100"/>
      <c r="B2283" s="36"/>
      <c r="C2283" s="36"/>
      <c r="D2283" s="36"/>
      <c r="E2283" s="36"/>
      <c r="F2283" s="36"/>
      <c r="G2283" s="36"/>
      <c r="H2283" s="36"/>
      <c r="I2283" s="36"/>
      <c r="J2283" s="36"/>
      <c r="K2283" s="36"/>
      <c r="L2283" s="36"/>
      <c r="M2283" s="36"/>
      <c r="N2283" s="36"/>
      <c r="O2283" s="36"/>
      <c r="P2283" s="36"/>
    </row>
    <row r="2284" ht="14.25" customHeight="1">
      <c r="A2284" s="100"/>
      <c r="B2284" s="36"/>
      <c r="C2284" s="36"/>
      <c r="D2284" s="36"/>
      <c r="E2284" s="36"/>
      <c r="F2284" s="36"/>
      <c r="G2284" s="36"/>
      <c r="H2284" s="36"/>
      <c r="I2284" s="36"/>
      <c r="J2284" s="36"/>
      <c r="K2284" s="36"/>
      <c r="L2284" s="36"/>
      <c r="M2284" s="36"/>
      <c r="N2284" s="36"/>
      <c r="O2284" s="36"/>
      <c r="P2284" s="36"/>
    </row>
    <row r="2285" ht="14.25" customHeight="1">
      <c r="A2285" s="100"/>
      <c r="B2285" s="36"/>
      <c r="C2285" s="36"/>
      <c r="D2285" s="36"/>
      <c r="E2285" s="36"/>
      <c r="F2285" s="36"/>
      <c r="G2285" s="36"/>
      <c r="H2285" s="36"/>
      <c r="I2285" s="36"/>
      <c r="J2285" s="36"/>
      <c r="K2285" s="36"/>
      <c r="L2285" s="36"/>
      <c r="M2285" s="36"/>
      <c r="N2285" s="36"/>
      <c r="O2285" s="36"/>
      <c r="P2285" s="36"/>
    </row>
    <row r="2286" ht="14.25" customHeight="1">
      <c r="A2286" s="100"/>
      <c r="B2286" s="36"/>
      <c r="C2286" s="36"/>
      <c r="D2286" s="36"/>
      <c r="E2286" s="36"/>
      <c r="F2286" s="36"/>
      <c r="G2286" s="36"/>
      <c r="H2286" s="36"/>
      <c r="I2286" s="36"/>
      <c r="J2286" s="36"/>
      <c r="K2286" s="36"/>
      <c r="L2286" s="36"/>
      <c r="M2286" s="36"/>
      <c r="N2286" s="36"/>
      <c r="O2286" s="36"/>
      <c r="P2286" s="36"/>
    </row>
    <row r="2287" ht="14.25" customHeight="1">
      <c r="A2287" s="100"/>
      <c r="B2287" s="36"/>
      <c r="C2287" s="36"/>
      <c r="D2287" s="36"/>
      <c r="E2287" s="36"/>
      <c r="F2287" s="36"/>
      <c r="G2287" s="36"/>
      <c r="H2287" s="36"/>
      <c r="I2287" s="36"/>
      <c r="J2287" s="36"/>
      <c r="K2287" s="36"/>
      <c r="L2287" s="36"/>
      <c r="M2287" s="36"/>
      <c r="N2287" s="36"/>
      <c r="O2287" s="36"/>
      <c r="P2287" s="36"/>
    </row>
    <row r="2288" ht="14.25" customHeight="1">
      <c r="A2288" s="100"/>
      <c r="B2288" s="36"/>
      <c r="C2288" s="36"/>
      <c r="D2288" s="36"/>
      <c r="E2288" s="36"/>
      <c r="F2288" s="36"/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</row>
    <row r="2289" ht="14.25" customHeight="1">
      <c r="A2289" s="100"/>
      <c r="B2289" s="36"/>
      <c r="C2289" s="36"/>
      <c r="D2289" s="36"/>
      <c r="E2289" s="36"/>
      <c r="F2289" s="36"/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</row>
    <row r="2290" ht="14.25" customHeight="1">
      <c r="A2290" s="100"/>
      <c r="B2290" s="36"/>
      <c r="C2290" s="36"/>
      <c r="D2290" s="36"/>
      <c r="E2290" s="36"/>
      <c r="F2290" s="36"/>
      <c r="G2290" s="36"/>
      <c r="H2290" s="36"/>
      <c r="I2290" s="36"/>
      <c r="J2290" s="36"/>
      <c r="K2290" s="36"/>
      <c r="L2290" s="36"/>
      <c r="M2290" s="36"/>
      <c r="N2290" s="36"/>
      <c r="O2290" s="36"/>
      <c r="P2290" s="36"/>
    </row>
    <row r="2291" ht="14.25" customHeight="1">
      <c r="A2291" s="100"/>
      <c r="B2291" s="36"/>
      <c r="C2291" s="36"/>
      <c r="D2291" s="36"/>
      <c r="E2291" s="36"/>
      <c r="F2291" s="36"/>
      <c r="G2291" s="36"/>
      <c r="H2291" s="36"/>
      <c r="I2291" s="36"/>
      <c r="J2291" s="36"/>
      <c r="K2291" s="36"/>
      <c r="L2291" s="36"/>
      <c r="M2291" s="36"/>
      <c r="N2291" s="36"/>
      <c r="O2291" s="36"/>
      <c r="P2291" s="36"/>
    </row>
    <row r="2292" ht="14.25" customHeight="1">
      <c r="A2292" s="100"/>
      <c r="B2292" s="36"/>
      <c r="C2292" s="36"/>
      <c r="D2292" s="36"/>
      <c r="E2292" s="36"/>
      <c r="F2292" s="36"/>
      <c r="G2292" s="36"/>
      <c r="H2292" s="36"/>
      <c r="I2292" s="36"/>
      <c r="J2292" s="36"/>
      <c r="K2292" s="36"/>
      <c r="L2292" s="36"/>
      <c r="M2292" s="36"/>
      <c r="N2292" s="36"/>
      <c r="O2292" s="36"/>
      <c r="P2292" s="36"/>
    </row>
    <row r="2293" ht="14.25" customHeight="1">
      <c r="A2293" s="100"/>
      <c r="B2293" s="36"/>
      <c r="C2293" s="36"/>
      <c r="D2293" s="36"/>
      <c r="E2293" s="36"/>
      <c r="F2293" s="36"/>
      <c r="G2293" s="36"/>
      <c r="H2293" s="36"/>
      <c r="I2293" s="36"/>
      <c r="J2293" s="36"/>
      <c r="K2293" s="36"/>
      <c r="L2293" s="36"/>
      <c r="M2293" s="36"/>
      <c r="N2293" s="36"/>
      <c r="O2293" s="36"/>
      <c r="P2293" s="36"/>
    </row>
    <row r="2294" ht="14.25" customHeight="1">
      <c r="A2294" s="100"/>
      <c r="B2294" s="36"/>
      <c r="C2294" s="36"/>
      <c r="D2294" s="36"/>
      <c r="E2294" s="36"/>
      <c r="F2294" s="36"/>
      <c r="G2294" s="36"/>
      <c r="H2294" s="36"/>
      <c r="I2294" s="36"/>
      <c r="J2294" s="36"/>
      <c r="K2294" s="36"/>
      <c r="L2294" s="36"/>
      <c r="M2294" s="36"/>
      <c r="N2294" s="36"/>
      <c r="O2294" s="36"/>
      <c r="P2294" s="36"/>
    </row>
    <row r="2295" ht="14.25" customHeight="1">
      <c r="A2295" s="100"/>
      <c r="B2295" s="36"/>
      <c r="C2295" s="36"/>
      <c r="D2295" s="36"/>
      <c r="E2295" s="36"/>
      <c r="F2295" s="36"/>
      <c r="G2295" s="36"/>
      <c r="H2295" s="36"/>
      <c r="I2295" s="36"/>
      <c r="J2295" s="36"/>
      <c r="K2295" s="36"/>
      <c r="L2295" s="36"/>
      <c r="M2295" s="36"/>
      <c r="N2295" s="36"/>
      <c r="O2295" s="36"/>
      <c r="P2295" s="36"/>
    </row>
    <row r="2296" ht="14.25" customHeight="1">
      <c r="A2296" s="100"/>
      <c r="B2296" s="36"/>
      <c r="C2296" s="36"/>
      <c r="D2296" s="36"/>
      <c r="E2296" s="36"/>
      <c r="F2296" s="36"/>
      <c r="G2296" s="36"/>
      <c r="H2296" s="36"/>
      <c r="I2296" s="36"/>
      <c r="J2296" s="36"/>
      <c r="K2296" s="36"/>
      <c r="L2296" s="36"/>
      <c r="M2296" s="36"/>
      <c r="N2296" s="36"/>
      <c r="O2296" s="36"/>
      <c r="P2296" s="36"/>
    </row>
    <row r="2297" ht="14.25" customHeight="1">
      <c r="A2297" s="100"/>
      <c r="B2297" s="36"/>
      <c r="C2297" s="36"/>
      <c r="D2297" s="36"/>
      <c r="E2297" s="36"/>
      <c r="F2297" s="36"/>
      <c r="G2297" s="36"/>
      <c r="H2297" s="36"/>
      <c r="I2297" s="36"/>
      <c r="J2297" s="36"/>
      <c r="K2297" s="36"/>
      <c r="L2297" s="36"/>
      <c r="M2297" s="36"/>
      <c r="N2297" s="36"/>
      <c r="O2297" s="36"/>
      <c r="P2297" s="36"/>
    </row>
    <row r="2298" ht="14.25" customHeight="1">
      <c r="A2298" s="100"/>
      <c r="B2298" s="36"/>
      <c r="C2298" s="36"/>
      <c r="D2298" s="36"/>
      <c r="E2298" s="36"/>
      <c r="F2298" s="36"/>
      <c r="G2298" s="36"/>
      <c r="H2298" s="36"/>
      <c r="I2298" s="36"/>
      <c r="J2298" s="36"/>
      <c r="K2298" s="36"/>
      <c r="L2298" s="36"/>
      <c r="M2298" s="36"/>
      <c r="N2298" s="36"/>
      <c r="O2298" s="36"/>
      <c r="P2298" s="36"/>
    </row>
    <row r="2299" ht="14.25" customHeight="1">
      <c r="A2299" s="100"/>
      <c r="B2299" s="36"/>
      <c r="C2299" s="36"/>
      <c r="D2299" s="36"/>
      <c r="E2299" s="36"/>
      <c r="F2299" s="36"/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</row>
    <row r="2300" ht="14.25" customHeight="1">
      <c r="A2300" s="100"/>
      <c r="B2300" s="36"/>
      <c r="C2300" s="36"/>
      <c r="D2300" s="36"/>
      <c r="E2300" s="36"/>
      <c r="F2300" s="36"/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</row>
    <row r="2301" ht="14.25" customHeight="1">
      <c r="A2301" s="100"/>
      <c r="B2301" s="36"/>
      <c r="C2301" s="36"/>
      <c r="D2301" s="36"/>
      <c r="E2301" s="36"/>
      <c r="F2301" s="36"/>
      <c r="G2301" s="36"/>
      <c r="H2301" s="36"/>
      <c r="I2301" s="36"/>
      <c r="J2301" s="36"/>
      <c r="K2301" s="36"/>
      <c r="L2301" s="36"/>
      <c r="M2301" s="36"/>
      <c r="N2301" s="36"/>
      <c r="O2301" s="36"/>
      <c r="P2301" s="36"/>
    </row>
    <row r="2302" ht="14.25" customHeight="1">
      <c r="A2302" s="100"/>
      <c r="B2302" s="36"/>
      <c r="C2302" s="36"/>
      <c r="D2302" s="36"/>
      <c r="E2302" s="36"/>
      <c r="F2302" s="36"/>
      <c r="G2302" s="36"/>
      <c r="H2302" s="36"/>
      <c r="I2302" s="36"/>
      <c r="J2302" s="36"/>
      <c r="K2302" s="36"/>
      <c r="L2302" s="36"/>
      <c r="M2302" s="36"/>
      <c r="N2302" s="36"/>
      <c r="O2302" s="36"/>
      <c r="P2302" s="36"/>
    </row>
    <row r="2303" ht="14.25" customHeight="1">
      <c r="A2303" s="100"/>
      <c r="B2303" s="36"/>
      <c r="C2303" s="36"/>
      <c r="D2303" s="36"/>
      <c r="E2303" s="36"/>
      <c r="F2303" s="36"/>
      <c r="G2303" s="36"/>
      <c r="H2303" s="36"/>
      <c r="I2303" s="36"/>
      <c r="J2303" s="36"/>
      <c r="K2303" s="36"/>
      <c r="L2303" s="36"/>
      <c r="M2303" s="36"/>
      <c r="N2303" s="36"/>
      <c r="O2303" s="36"/>
      <c r="P2303" s="36"/>
    </row>
    <row r="2304" ht="14.25" customHeight="1">
      <c r="A2304" s="100"/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</row>
    <row r="2305" ht="14.25" customHeight="1">
      <c r="A2305" s="100"/>
      <c r="B2305" s="36"/>
      <c r="C2305" s="36"/>
      <c r="D2305" s="36"/>
      <c r="E2305" s="36"/>
      <c r="F2305" s="36"/>
      <c r="G2305" s="36"/>
      <c r="H2305" s="36"/>
      <c r="I2305" s="36"/>
      <c r="J2305" s="36"/>
      <c r="K2305" s="36"/>
      <c r="L2305" s="36"/>
      <c r="M2305" s="36"/>
      <c r="N2305" s="36"/>
      <c r="O2305" s="36"/>
      <c r="P2305" s="36"/>
    </row>
    <row r="2306" ht="14.25" customHeight="1">
      <c r="A2306" s="100"/>
      <c r="B2306" s="36"/>
      <c r="C2306" s="36"/>
      <c r="D2306" s="36"/>
      <c r="E2306" s="36"/>
      <c r="F2306" s="36"/>
      <c r="G2306" s="36"/>
      <c r="H2306" s="36"/>
      <c r="I2306" s="36"/>
      <c r="J2306" s="36"/>
      <c r="K2306" s="36"/>
      <c r="L2306" s="36"/>
      <c r="M2306" s="36"/>
      <c r="N2306" s="36"/>
      <c r="O2306" s="36"/>
      <c r="P2306" s="36"/>
    </row>
    <row r="2307" ht="14.25" customHeight="1">
      <c r="A2307" s="100"/>
      <c r="B2307" s="36"/>
      <c r="C2307" s="36"/>
      <c r="D2307" s="36"/>
      <c r="E2307" s="36"/>
      <c r="F2307" s="36"/>
      <c r="G2307" s="36"/>
      <c r="H2307" s="36"/>
      <c r="I2307" s="36"/>
      <c r="J2307" s="36"/>
      <c r="K2307" s="36"/>
      <c r="L2307" s="36"/>
      <c r="M2307" s="36"/>
      <c r="N2307" s="36"/>
      <c r="O2307" s="36"/>
      <c r="P2307" s="36"/>
    </row>
    <row r="2308" ht="14.25" customHeight="1">
      <c r="A2308" s="100"/>
      <c r="B2308" s="36"/>
      <c r="C2308" s="36"/>
      <c r="D2308" s="36"/>
      <c r="E2308" s="36"/>
      <c r="F2308" s="36"/>
      <c r="G2308" s="36"/>
      <c r="H2308" s="36"/>
      <c r="I2308" s="36"/>
      <c r="J2308" s="36"/>
      <c r="K2308" s="36"/>
      <c r="L2308" s="36"/>
      <c r="M2308" s="36"/>
      <c r="N2308" s="36"/>
      <c r="O2308" s="36"/>
      <c r="P2308" s="36"/>
    </row>
    <row r="2309" ht="14.25" customHeight="1">
      <c r="A2309" s="100"/>
      <c r="B2309" s="36"/>
      <c r="C2309" s="36"/>
      <c r="D2309" s="36"/>
      <c r="E2309" s="36"/>
      <c r="F2309" s="36"/>
      <c r="G2309" s="36"/>
      <c r="H2309" s="36"/>
      <c r="I2309" s="36"/>
      <c r="J2309" s="36"/>
      <c r="K2309" s="36"/>
      <c r="L2309" s="36"/>
      <c r="M2309" s="36"/>
      <c r="N2309" s="36"/>
      <c r="O2309" s="36"/>
      <c r="P2309" s="36"/>
    </row>
    <row r="2310" ht="14.25" customHeight="1">
      <c r="A2310" s="100"/>
      <c r="B2310" s="36"/>
      <c r="C2310" s="36"/>
      <c r="D2310" s="36"/>
      <c r="E2310" s="36"/>
      <c r="F2310" s="36"/>
      <c r="G2310" s="36"/>
      <c r="H2310" s="36"/>
      <c r="I2310" s="36"/>
      <c r="J2310" s="36"/>
      <c r="K2310" s="36"/>
      <c r="L2310" s="36"/>
      <c r="M2310" s="36"/>
      <c r="N2310" s="36"/>
      <c r="O2310" s="36"/>
      <c r="P2310" s="36"/>
    </row>
    <row r="2311" ht="14.25" customHeight="1">
      <c r="A2311" s="100"/>
      <c r="B2311" s="36"/>
      <c r="C2311" s="36"/>
      <c r="D2311" s="36"/>
      <c r="E2311" s="36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</row>
    <row r="2312" ht="14.25" customHeight="1">
      <c r="A2312" s="100"/>
      <c r="B2312" s="36"/>
      <c r="C2312" s="36"/>
      <c r="D2312" s="36"/>
      <c r="E2312" s="36"/>
      <c r="F2312" s="36"/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</row>
    <row r="2313" ht="14.25" customHeight="1">
      <c r="A2313" s="100"/>
      <c r="B2313" s="36"/>
      <c r="C2313" s="36"/>
      <c r="D2313" s="36"/>
      <c r="E2313" s="36"/>
      <c r="F2313" s="36"/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</row>
    <row r="2314" ht="14.25" customHeight="1">
      <c r="A2314" s="100"/>
      <c r="B2314" s="36"/>
      <c r="C2314" s="36"/>
      <c r="D2314" s="36"/>
      <c r="E2314" s="36"/>
      <c r="F2314" s="36"/>
      <c r="G2314" s="36"/>
      <c r="H2314" s="36"/>
      <c r="I2314" s="36"/>
      <c r="J2314" s="36"/>
      <c r="K2314" s="36"/>
      <c r="L2314" s="36"/>
      <c r="M2314" s="36"/>
      <c r="N2314" s="36"/>
      <c r="O2314" s="36"/>
      <c r="P2314" s="36"/>
    </row>
    <row r="2315" ht="14.25" customHeight="1">
      <c r="A2315" s="100"/>
      <c r="B2315" s="36"/>
      <c r="C2315" s="36"/>
      <c r="D2315" s="36"/>
      <c r="E2315" s="36"/>
      <c r="F2315" s="36"/>
      <c r="G2315" s="36"/>
      <c r="H2315" s="36"/>
      <c r="I2315" s="36"/>
      <c r="J2315" s="36"/>
      <c r="K2315" s="36"/>
      <c r="L2315" s="36"/>
      <c r="M2315" s="36"/>
      <c r="N2315" s="36"/>
      <c r="O2315" s="36"/>
      <c r="P2315" s="36"/>
    </row>
    <row r="2316" ht="14.25" customHeight="1">
      <c r="A2316" s="100"/>
      <c r="B2316" s="36"/>
      <c r="C2316" s="36"/>
      <c r="D2316" s="36"/>
      <c r="E2316" s="36"/>
      <c r="F2316" s="36"/>
      <c r="G2316" s="36"/>
      <c r="H2316" s="36"/>
      <c r="I2316" s="36"/>
      <c r="J2316" s="36"/>
      <c r="K2316" s="36"/>
      <c r="L2316" s="36"/>
      <c r="M2316" s="36"/>
      <c r="N2316" s="36"/>
      <c r="O2316" s="36"/>
      <c r="P2316" s="36"/>
    </row>
    <row r="2317" ht="14.25" customHeight="1">
      <c r="A2317" s="100"/>
      <c r="B2317" s="36"/>
      <c r="C2317" s="36"/>
      <c r="D2317" s="36"/>
      <c r="E2317" s="36"/>
      <c r="F2317" s="36"/>
      <c r="G2317" s="36"/>
      <c r="H2317" s="36"/>
      <c r="I2317" s="36"/>
      <c r="J2317" s="36"/>
      <c r="K2317" s="36"/>
      <c r="L2317" s="36"/>
      <c r="M2317" s="36"/>
      <c r="N2317" s="36"/>
      <c r="O2317" s="36"/>
      <c r="P2317" s="36"/>
    </row>
    <row r="2318" ht="14.25" customHeight="1">
      <c r="A2318" s="100"/>
      <c r="B2318" s="36"/>
      <c r="C2318" s="36"/>
      <c r="D2318" s="36"/>
      <c r="E2318" s="36"/>
      <c r="F2318" s="36"/>
      <c r="G2318" s="36"/>
      <c r="H2318" s="36"/>
      <c r="I2318" s="36"/>
      <c r="J2318" s="36"/>
      <c r="K2318" s="36"/>
      <c r="L2318" s="36"/>
      <c r="M2318" s="36"/>
      <c r="N2318" s="36"/>
      <c r="O2318" s="36"/>
      <c r="P2318" s="36"/>
    </row>
    <row r="2319" ht="14.25" customHeight="1">
      <c r="A2319" s="100"/>
      <c r="B2319" s="36"/>
      <c r="C2319" s="36"/>
      <c r="D2319" s="36"/>
      <c r="E2319" s="36"/>
      <c r="F2319" s="36"/>
      <c r="G2319" s="36"/>
      <c r="H2319" s="36"/>
      <c r="I2319" s="36"/>
      <c r="J2319" s="36"/>
      <c r="K2319" s="36"/>
      <c r="L2319" s="36"/>
      <c r="M2319" s="36"/>
      <c r="N2319" s="36"/>
      <c r="O2319" s="36"/>
      <c r="P2319" s="36"/>
    </row>
    <row r="2320" ht="14.25" customHeight="1">
      <c r="A2320" s="100"/>
      <c r="B2320" s="36"/>
      <c r="C2320" s="36"/>
      <c r="D2320" s="36"/>
      <c r="E2320" s="36"/>
      <c r="F2320" s="36"/>
      <c r="G2320" s="36"/>
      <c r="H2320" s="36"/>
      <c r="I2320" s="36"/>
      <c r="J2320" s="36"/>
      <c r="K2320" s="36"/>
      <c r="L2320" s="36"/>
      <c r="M2320" s="36"/>
      <c r="N2320" s="36"/>
      <c r="O2320" s="36"/>
      <c r="P2320" s="36"/>
    </row>
    <row r="2321" ht="14.25" customHeight="1">
      <c r="A2321" s="100"/>
      <c r="B2321" s="36"/>
      <c r="C2321" s="36"/>
      <c r="D2321" s="36"/>
      <c r="E2321" s="36"/>
      <c r="F2321" s="36"/>
      <c r="G2321" s="36"/>
      <c r="H2321" s="36"/>
      <c r="I2321" s="36"/>
      <c r="J2321" s="36"/>
      <c r="K2321" s="36"/>
      <c r="L2321" s="36"/>
      <c r="M2321" s="36"/>
      <c r="N2321" s="36"/>
      <c r="O2321" s="36"/>
      <c r="P2321" s="36"/>
    </row>
    <row r="2322" ht="14.25" customHeight="1">
      <c r="A2322" s="100"/>
      <c r="B2322" s="36"/>
      <c r="C2322" s="36"/>
      <c r="D2322" s="36"/>
      <c r="E2322" s="36"/>
      <c r="F2322" s="36"/>
      <c r="G2322" s="36"/>
      <c r="H2322" s="36"/>
      <c r="I2322" s="36"/>
      <c r="J2322" s="36"/>
      <c r="K2322" s="36"/>
      <c r="L2322" s="36"/>
      <c r="M2322" s="36"/>
      <c r="N2322" s="36"/>
      <c r="O2322" s="36"/>
      <c r="P2322" s="36"/>
    </row>
    <row r="2323" ht="14.25" customHeight="1">
      <c r="A2323" s="100"/>
      <c r="B2323" s="36"/>
      <c r="C2323" s="36"/>
      <c r="D2323" s="36"/>
      <c r="E2323" s="36"/>
      <c r="F2323" s="36"/>
      <c r="G2323" s="36"/>
      <c r="H2323" s="36"/>
      <c r="I2323" s="36"/>
      <c r="J2323" s="36"/>
      <c r="K2323" s="36"/>
      <c r="L2323" s="36"/>
      <c r="M2323" s="36"/>
      <c r="N2323" s="36"/>
      <c r="O2323" s="36"/>
      <c r="P2323" s="36"/>
    </row>
    <row r="2324" ht="14.25" customHeight="1">
      <c r="A2324" s="100"/>
      <c r="B2324" s="36"/>
      <c r="C2324" s="36"/>
      <c r="D2324" s="36"/>
      <c r="E2324" s="36"/>
      <c r="F2324" s="36"/>
      <c r="G2324" s="36"/>
      <c r="H2324" s="36"/>
      <c r="I2324" s="36"/>
      <c r="J2324" s="36"/>
      <c r="K2324" s="36"/>
      <c r="L2324" s="36"/>
      <c r="M2324" s="36"/>
      <c r="N2324" s="36"/>
      <c r="O2324" s="36"/>
      <c r="P2324" s="36"/>
    </row>
    <row r="2325" ht="14.25" customHeight="1">
      <c r="A2325" s="100"/>
      <c r="B2325" s="36"/>
      <c r="C2325" s="36"/>
      <c r="D2325" s="36"/>
      <c r="E2325" s="36"/>
      <c r="F2325" s="36"/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</row>
    <row r="2326" ht="14.25" customHeight="1">
      <c r="A2326" s="100"/>
      <c r="B2326" s="36"/>
      <c r="C2326" s="36"/>
      <c r="D2326" s="36"/>
      <c r="E2326" s="36"/>
      <c r="F2326" s="36"/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</row>
    <row r="2327" ht="14.25" customHeight="1">
      <c r="A2327" s="100"/>
      <c r="B2327" s="36"/>
      <c r="C2327" s="36"/>
      <c r="D2327" s="36"/>
      <c r="E2327" s="36"/>
      <c r="F2327" s="36"/>
      <c r="G2327" s="36"/>
      <c r="H2327" s="36"/>
      <c r="I2327" s="36"/>
      <c r="J2327" s="36"/>
      <c r="K2327" s="36"/>
      <c r="L2327" s="36"/>
      <c r="M2327" s="36"/>
      <c r="N2327" s="36"/>
      <c r="O2327" s="36"/>
      <c r="P2327" s="36"/>
    </row>
    <row r="2328" ht="14.25" customHeight="1">
      <c r="A2328" s="100"/>
      <c r="B2328" s="36"/>
      <c r="C2328" s="36"/>
      <c r="D2328" s="36"/>
      <c r="E2328" s="36"/>
      <c r="F2328" s="36"/>
      <c r="G2328" s="36"/>
      <c r="H2328" s="36"/>
      <c r="I2328" s="36"/>
      <c r="J2328" s="36"/>
      <c r="K2328" s="36"/>
      <c r="L2328" s="36"/>
      <c r="M2328" s="36"/>
      <c r="N2328" s="36"/>
      <c r="O2328" s="36"/>
      <c r="P2328" s="36"/>
    </row>
    <row r="2329" ht="14.25" customHeight="1">
      <c r="A2329" s="100"/>
      <c r="B2329" s="36"/>
      <c r="C2329" s="36"/>
      <c r="D2329" s="36"/>
      <c r="E2329" s="36"/>
      <c r="F2329" s="36"/>
      <c r="G2329" s="36"/>
      <c r="H2329" s="36"/>
      <c r="I2329" s="36"/>
      <c r="J2329" s="36"/>
      <c r="K2329" s="36"/>
      <c r="L2329" s="36"/>
      <c r="M2329" s="36"/>
      <c r="N2329" s="36"/>
      <c r="O2329" s="36"/>
      <c r="P2329" s="36"/>
    </row>
    <row r="2330" ht="14.25" customHeight="1">
      <c r="A2330" s="100"/>
      <c r="B2330" s="36"/>
      <c r="C2330" s="36"/>
      <c r="D2330" s="36"/>
      <c r="E2330" s="36"/>
      <c r="F2330" s="36"/>
      <c r="G2330" s="36"/>
      <c r="H2330" s="36"/>
      <c r="I2330" s="36"/>
      <c r="J2330" s="36"/>
      <c r="K2330" s="36"/>
      <c r="L2330" s="36"/>
      <c r="M2330" s="36"/>
      <c r="N2330" s="36"/>
      <c r="O2330" s="36"/>
      <c r="P2330" s="36"/>
    </row>
    <row r="2331" ht="14.25" customHeight="1">
      <c r="A2331" s="100"/>
      <c r="B2331" s="36"/>
      <c r="C2331" s="36"/>
      <c r="D2331" s="36"/>
      <c r="E2331" s="36"/>
      <c r="F2331" s="36"/>
      <c r="G2331" s="36"/>
      <c r="H2331" s="36"/>
      <c r="I2331" s="36"/>
      <c r="J2331" s="36"/>
      <c r="K2331" s="36"/>
      <c r="L2331" s="36"/>
      <c r="M2331" s="36"/>
      <c r="N2331" s="36"/>
      <c r="O2331" s="36"/>
      <c r="P2331" s="36"/>
    </row>
    <row r="2332" ht="14.25" customHeight="1">
      <c r="A2332" s="100"/>
      <c r="B2332" s="36"/>
      <c r="C2332" s="36"/>
      <c r="D2332" s="36"/>
      <c r="E2332" s="36"/>
      <c r="F2332" s="36"/>
      <c r="G2332" s="36"/>
      <c r="H2332" s="36"/>
      <c r="I2332" s="36"/>
      <c r="J2332" s="36"/>
      <c r="K2332" s="36"/>
      <c r="L2332" s="36"/>
      <c r="M2332" s="36"/>
      <c r="N2332" s="36"/>
      <c r="O2332" s="36"/>
      <c r="P2332" s="36"/>
    </row>
    <row r="2333" ht="14.25" customHeight="1">
      <c r="A2333" s="100"/>
      <c r="B2333" s="36"/>
      <c r="C2333" s="36"/>
      <c r="D2333" s="36"/>
      <c r="E2333" s="36"/>
      <c r="F2333" s="36"/>
      <c r="G2333" s="36"/>
      <c r="H2333" s="36"/>
      <c r="I2333" s="36"/>
      <c r="J2333" s="36"/>
      <c r="K2333" s="36"/>
      <c r="L2333" s="36"/>
      <c r="M2333" s="36"/>
      <c r="N2333" s="36"/>
      <c r="O2333" s="36"/>
      <c r="P2333" s="36"/>
    </row>
    <row r="2334" ht="14.25" customHeight="1">
      <c r="A2334" s="100"/>
      <c r="B2334" s="36"/>
      <c r="C2334" s="36"/>
      <c r="D2334" s="36"/>
      <c r="E2334" s="36"/>
      <c r="F2334" s="36"/>
      <c r="G2334" s="36"/>
      <c r="H2334" s="36"/>
      <c r="I2334" s="36"/>
      <c r="J2334" s="36"/>
      <c r="K2334" s="36"/>
      <c r="L2334" s="36"/>
      <c r="M2334" s="36"/>
      <c r="N2334" s="36"/>
      <c r="O2334" s="36"/>
      <c r="P2334" s="36"/>
    </row>
    <row r="2335" ht="14.25" customHeight="1">
      <c r="A2335" s="100"/>
      <c r="B2335" s="36"/>
      <c r="C2335" s="36"/>
      <c r="D2335" s="36"/>
      <c r="E2335" s="36"/>
      <c r="F2335" s="36"/>
      <c r="G2335" s="36"/>
      <c r="H2335" s="36"/>
      <c r="I2335" s="36"/>
      <c r="J2335" s="36"/>
      <c r="K2335" s="36"/>
      <c r="L2335" s="36"/>
      <c r="M2335" s="36"/>
      <c r="N2335" s="36"/>
      <c r="O2335" s="36"/>
      <c r="P2335" s="36"/>
    </row>
    <row r="2336" ht="14.25" customHeight="1">
      <c r="A2336" s="100"/>
      <c r="B2336" s="36"/>
      <c r="C2336" s="36"/>
      <c r="D2336" s="36"/>
      <c r="E2336" s="36"/>
      <c r="F2336" s="36"/>
      <c r="G2336" s="36"/>
      <c r="H2336" s="36"/>
      <c r="I2336" s="36"/>
      <c r="J2336" s="36"/>
      <c r="K2336" s="36"/>
      <c r="L2336" s="36"/>
      <c r="M2336" s="36"/>
      <c r="N2336" s="36"/>
      <c r="O2336" s="36"/>
      <c r="P2336" s="36"/>
    </row>
    <row r="2337" ht="14.25" customHeight="1">
      <c r="A2337" s="100"/>
      <c r="B2337" s="36"/>
      <c r="C2337" s="36"/>
      <c r="D2337" s="36"/>
      <c r="E2337" s="36"/>
      <c r="F2337" s="36"/>
      <c r="G2337" s="36"/>
      <c r="H2337" s="36"/>
      <c r="I2337" s="36"/>
      <c r="J2337" s="36"/>
      <c r="K2337" s="36"/>
      <c r="L2337" s="36"/>
      <c r="M2337" s="36"/>
      <c r="N2337" s="36"/>
      <c r="O2337" s="36"/>
      <c r="P2337" s="36"/>
    </row>
    <row r="2338" ht="14.25" customHeight="1">
      <c r="A2338" s="100"/>
      <c r="B2338" s="36"/>
      <c r="C2338" s="36"/>
      <c r="D2338" s="36"/>
      <c r="E2338" s="36"/>
      <c r="F2338" s="36"/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</row>
    <row r="2339" ht="14.25" customHeight="1">
      <c r="A2339" s="100"/>
      <c r="B2339" s="36"/>
      <c r="C2339" s="36"/>
      <c r="D2339" s="36"/>
      <c r="E2339" s="36"/>
      <c r="F2339" s="36"/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</row>
    <row r="2340" ht="14.25" customHeight="1">
      <c r="A2340" s="100"/>
      <c r="B2340" s="36"/>
      <c r="C2340" s="36"/>
      <c r="D2340" s="36"/>
      <c r="E2340" s="36"/>
      <c r="F2340" s="36"/>
      <c r="G2340" s="36"/>
      <c r="H2340" s="36"/>
      <c r="I2340" s="36"/>
      <c r="J2340" s="36"/>
      <c r="K2340" s="36"/>
      <c r="L2340" s="36"/>
      <c r="M2340" s="36"/>
      <c r="N2340" s="36"/>
      <c r="O2340" s="36"/>
      <c r="P2340" s="36"/>
    </row>
    <row r="2341" ht="14.25" customHeight="1">
      <c r="A2341" s="100"/>
      <c r="B2341" s="36"/>
      <c r="C2341" s="36"/>
      <c r="D2341" s="36"/>
      <c r="E2341" s="36"/>
      <c r="F2341" s="36"/>
      <c r="G2341" s="36"/>
      <c r="H2341" s="36"/>
      <c r="I2341" s="36"/>
      <c r="J2341" s="36"/>
      <c r="K2341" s="36"/>
      <c r="L2341" s="36"/>
      <c r="M2341" s="36"/>
      <c r="N2341" s="36"/>
      <c r="O2341" s="36"/>
      <c r="P2341" s="36"/>
    </row>
    <row r="2342" ht="14.25" customHeight="1">
      <c r="A2342" s="100"/>
      <c r="B2342" s="36"/>
      <c r="C2342" s="36"/>
      <c r="D2342" s="36"/>
      <c r="E2342" s="36"/>
      <c r="F2342" s="36"/>
      <c r="G2342" s="36"/>
      <c r="H2342" s="36"/>
      <c r="I2342" s="36"/>
      <c r="J2342" s="36"/>
      <c r="K2342" s="36"/>
      <c r="L2342" s="36"/>
      <c r="M2342" s="36"/>
      <c r="N2342" s="36"/>
      <c r="O2342" s="36"/>
      <c r="P2342" s="36"/>
    </row>
    <row r="2343" ht="14.25" customHeight="1">
      <c r="A2343" s="100"/>
      <c r="B2343" s="36"/>
      <c r="C2343" s="36"/>
      <c r="D2343" s="36"/>
      <c r="E2343" s="36"/>
      <c r="F2343" s="36"/>
      <c r="G2343" s="36"/>
      <c r="H2343" s="36"/>
      <c r="I2343" s="36"/>
      <c r="J2343" s="36"/>
      <c r="K2343" s="36"/>
      <c r="L2343" s="36"/>
      <c r="M2343" s="36"/>
      <c r="N2343" s="36"/>
      <c r="O2343" s="36"/>
      <c r="P2343" s="36"/>
    </row>
    <row r="2344" ht="14.25" customHeight="1">
      <c r="A2344" s="100"/>
      <c r="B2344" s="36"/>
      <c r="C2344" s="36"/>
      <c r="D2344" s="36"/>
      <c r="E2344" s="36"/>
      <c r="F2344" s="36"/>
      <c r="G2344" s="36"/>
      <c r="H2344" s="36"/>
      <c r="I2344" s="36"/>
      <c r="J2344" s="36"/>
      <c r="K2344" s="36"/>
      <c r="L2344" s="36"/>
      <c r="M2344" s="36"/>
      <c r="N2344" s="36"/>
      <c r="O2344" s="36"/>
      <c r="P2344" s="36"/>
    </row>
    <row r="2345" ht="14.25" customHeight="1">
      <c r="A2345" s="100"/>
      <c r="B2345" s="36"/>
      <c r="C2345" s="36"/>
      <c r="D2345" s="36"/>
      <c r="E2345" s="36"/>
      <c r="F2345" s="36"/>
      <c r="G2345" s="36"/>
      <c r="H2345" s="36"/>
      <c r="I2345" s="36"/>
      <c r="J2345" s="36"/>
      <c r="K2345" s="36"/>
      <c r="L2345" s="36"/>
      <c r="M2345" s="36"/>
      <c r="N2345" s="36"/>
      <c r="O2345" s="36"/>
      <c r="P2345" s="36"/>
    </row>
    <row r="2346" ht="14.25" customHeight="1">
      <c r="A2346" s="100"/>
      <c r="B2346" s="36"/>
      <c r="C2346" s="36"/>
      <c r="D2346" s="36"/>
      <c r="E2346" s="36"/>
      <c r="F2346" s="36"/>
      <c r="G2346" s="36"/>
      <c r="H2346" s="36"/>
      <c r="I2346" s="36"/>
      <c r="J2346" s="36"/>
      <c r="K2346" s="36"/>
      <c r="L2346" s="36"/>
      <c r="M2346" s="36"/>
      <c r="N2346" s="36"/>
      <c r="O2346" s="36"/>
      <c r="P2346" s="36"/>
    </row>
    <row r="2347" ht="14.25" customHeight="1">
      <c r="A2347" s="100"/>
      <c r="B2347" s="36"/>
      <c r="C2347" s="36"/>
      <c r="D2347" s="36"/>
      <c r="E2347" s="36"/>
      <c r="F2347" s="36"/>
      <c r="G2347" s="36"/>
      <c r="H2347" s="36"/>
      <c r="I2347" s="36"/>
      <c r="J2347" s="36"/>
      <c r="K2347" s="36"/>
      <c r="L2347" s="36"/>
      <c r="M2347" s="36"/>
      <c r="N2347" s="36"/>
      <c r="O2347" s="36"/>
      <c r="P2347" s="36"/>
    </row>
    <row r="2348" ht="14.25" customHeight="1">
      <c r="A2348" s="100"/>
      <c r="B2348" s="36"/>
      <c r="C2348" s="36"/>
      <c r="D2348" s="36"/>
      <c r="E2348" s="36"/>
      <c r="F2348" s="36"/>
      <c r="G2348" s="36"/>
      <c r="H2348" s="36"/>
      <c r="I2348" s="36"/>
      <c r="J2348" s="36"/>
      <c r="K2348" s="36"/>
      <c r="L2348" s="36"/>
      <c r="M2348" s="36"/>
      <c r="N2348" s="36"/>
      <c r="O2348" s="36"/>
      <c r="P2348" s="36"/>
    </row>
    <row r="2349" ht="14.25" customHeight="1">
      <c r="A2349" s="100"/>
      <c r="B2349" s="36"/>
      <c r="C2349" s="36"/>
      <c r="D2349" s="36"/>
      <c r="E2349" s="36"/>
      <c r="F2349" s="36"/>
      <c r="G2349" s="36"/>
      <c r="H2349" s="36"/>
      <c r="I2349" s="36"/>
      <c r="J2349" s="36"/>
      <c r="K2349" s="36"/>
      <c r="L2349" s="36"/>
      <c r="M2349" s="36"/>
      <c r="N2349" s="36"/>
      <c r="O2349" s="36"/>
      <c r="P2349" s="36"/>
    </row>
    <row r="2350" ht="14.25" customHeight="1">
      <c r="A2350" s="100"/>
      <c r="B2350" s="36"/>
      <c r="C2350" s="36"/>
      <c r="D2350" s="36"/>
      <c r="E2350" s="36"/>
      <c r="F2350" s="36"/>
      <c r="G2350" s="36"/>
      <c r="H2350" s="36"/>
      <c r="I2350" s="36"/>
      <c r="J2350" s="36"/>
      <c r="K2350" s="36"/>
      <c r="L2350" s="36"/>
      <c r="M2350" s="36"/>
      <c r="N2350" s="36"/>
      <c r="O2350" s="36"/>
      <c r="P2350" s="36"/>
    </row>
    <row r="2351" ht="14.25" customHeight="1">
      <c r="A2351" s="100"/>
      <c r="B2351" s="36"/>
      <c r="C2351" s="36"/>
      <c r="D2351" s="36"/>
      <c r="E2351" s="36"/>
      <c r="F2351" s="36"/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</row>
    <row r="2352" ht="14.25" customHeight="1">
      <c r="A2352" s="100"/>
      <c r="B2352" s="36"/>
      <c r="C2352" s="36"/>
      <c r="D2352" s="36"/>
      <c r="E2352" s="36"/>
      <c r="F2352" s="36"/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</row>
    <row r="2353" ht="14.25" customHeight="1">
      <c r="A2353" s="100"/>
      <c r="B2353" s="36"/>
      <c r="C2353" s="36"/>
      <c r="D2353" s="36"/>
      <c r="E2353" s="36"/>
      <c r="F2353" s="36"/>
      <c r="G2353" s="36"/>
      <c r="H2353" s="36"/>
      <c r="I2353" s="36"/>
      <c r="J2353" s="36"/>
      <c r="K2353" s="36"/>
      <c r="L2353" s="36"/>
      <c r="M2353" s="36"/>
      <c r="N2353" s="36"/>
      <c r="O2353" s="36"/>
      <c r="P2353" s="36"/>
    </row>
    <row r="2354" ht="14.25" customHeight="1">
      <c r="A2354" s="100"/>
      <c r="B2354" s="36"/>
      <c r="C2354" s="36"/>
      <c r="D2354" s="36"/>
      <c r="E2354" s="36"/>
      <c r="F2354" s="36"/>
      <c r="G2354" s="36"/>
      <c r="H2354" s="36"/>
      <c r="I2354" s="36"/>
      <c r="J2354" s="36"/>
      <c r="K2354" s="36"/>
      <c r="L2354" s="36"/>
      <c r="M2354" s="36"/>
      <c r="N2354" s="36"/>
      <c r="O2354" s="36"/>
      <c r="P2354" s="36"/>
    </row>
    <row r="2355" ht="14.25" customHeight="1">
      <c r="A2355" s="100"/>
      <c r="B2355" s="36"/>
      <c r="C2355" s="36"/>
      <c r="D2355" s="36"/>
      <c r="E2355" s="36"/>
      <c r="F2355" s="36"/>
      <c r="G2355" s="36"/>
      <c r="H2355" s="36"/>
      <c r="I2355" s="36"/>
      <c r="J2355" s="36"/>
      <c r="K2355" s="36"/>
      <c r="L2355" s="36"/>
      <c r="M2355" s="36"/>
      <c r="N2355" s="36"/>
      <c r="O2355" s="36"/>
      <c r="P2355" s="36"/>
    </row>
    <row r="2356" ht="14.25" customHeight="1">
      <c r="A2356" s="100"/>
      <c r="B2356" s="36"/>
      <c r="C2356" s="36"/>
      <c r="D2356" s="36"/>
      <c r="E2356" s="36"/>
      <c r="F2356" s="36"/>
      <c r="G2356" s="36"/>
      <c r="H2356" s="36"/>
      <c r="I2356" s="36"/>
      <c r="J2356" s="36"/>
      <c r="K2356" s="36"/>
      <c r="L2356" s="36"/>
      <c r="M2356" s="36"/>
      <c r="N2356" s="36"/>
      <c r="O2356" s="36"/>
      <c r="P2356" s="36"/>
    </row>
    <row r="2357" ht="14.25" customHeight="1">
      <c r="A2357" s="100"/>
      <c r="B2357" s="36"/>
      <c r="C2357" s="36"/>
      <c r="D2357" s="36"/>
      <c r="E2357" s="36"/>
      <c r="F2357" s="36"/>
      <c r="G2357" s="36"/>
      <c r="H2357" s="36"/>
      <c r="I2357" s="36"/>
      <c r="J2357" s="36"/>
      <c r="K2357" s="36"/>
      <c r="L2357" s="36"/>
      <c r="M2357" s="36"/>
      <c r="N2357" s="36"/>
      <c r="O2357" s="36"/>
      <c r="P2357" s="36"/>
    </row>
    <row r="2358" ht="14.25" customHeight="1">
      <c r="A2358" s="100"/>
      <c r="B2358" s="36"/>
      <c r="C2358" s="36"/>
      <c r="D2358" s="36"/>
      <c r="E2358" s="36"/>
      <c r="F2358" s="36"/>
      <c r="G2358" s="36"/>
      <c r="H2358" s="36"/>
      <c r="I2358" s="36"/>
      <c r="J2358" s="36"/>
      <c r="K2358" s="36"/>
      <c r="L2358" s="36"/>
      <c r="M2358" s="36"/>
      <c r="N2358" s="36"/>
      <c r="O2358" s="36"/>
      <c r="P2358" s="36"/>
    </row>
    <row r="2359" ht="14.25" customHeight="1">
      <c r="A2359" s="100"/>
      <c r="B2359" s="36"/>
      <c r="C2359" s="36"/>
      <c r="D2359" s="36"/>
      <c r="E2359" s="36"/>
      <c r="F2359" s="36"/>
      <c r="G2359" s="36"/>
      <c r="H2359" s="36"/>
      <c r="I2359" s="36"/>
      <c r="J2359" s="36"/>
      <c r="K2359" s="36"/>
      <c r="L2359" s="36"/>
      <c r="M2359" s="36"/>
      <c r="N2359" s="36"/>
      <c r="O2359" s="36"/>
      <c r="P2359" s="36"/>
    </row>
    <row r="2360" ht="14.25" customHeight="1">
      <c r="A2360" s="100"/>
      <c r="B2360" s="36"/>
      <c r="C2360" s="36"/>
      <c r="D2360" s="36"/>
      <c r="E2360" s="36"/>
      <c r="F2360" s="36"/>
      <c r="G2360" s="36"/>
      <c r="H2360" s="36"/>
      <c r="I2360" s="36"/>
      <c r="J2360" s="36"/>
      <c r="K2360" s="36"/>
      <c r="L2360" s="36"/>
      <c r="M2360" s="36"/>
      <c r="N2360" s="36"/>
      <c r="O2360" s="36"/>
      <c r="P2360" s="36"/>
    </row>
    <row r="2361" ht="14.25" customHeight="1">
      <c r="A2361" s="100"/>
      <c r="B2361" s="36"/>
      <c r="C2361" s="36"/>
      <c r="D2361" s="36"/>
      <c r="E2361" s="36"/>
      <c r="F2361" s="36"/>
      <c r="G2361" s="36"/>
      <c r="H2361" s="36"/>
      <c r="I2361" s="36"/>
      <c r="J2361" s="36"/>
      <c r="K2361" s="36"/>
      <c r="L2361" s="36"/>
      <c r="M2361" s="36"/>
      <c r="N2361" s="36"/>
      <c r="O2361" s="36"/>
      <c r="P2361" s="36"/>
    </row>
    <row r="2362" ht="14.25" customHeight="1">
      <c r="A2362" s="100"/>
      <c r="B2362" s="36"/>
      <c r="C2362" s="36"/>
      <c r="D2362" s="36"/>
      <c r="E2362" s="36"/>
      <c r="F2362" s="36"/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</row>
    <row r="2363" ht="14.25" customHeight="1">
      <c r="A2363" s="100"/>
      <c r="B2363" s="36"/>
      <c r="C2363" s="36"/>
      <c r="D2363" s="36"/>
      <c r="E2363" s="36"/>
      <c r="F2363" s="36"/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</row>
    <row r="2364" ht="14.25" customHeight="1">
      <c r="A2364" s="100"/>
      <c r="B2364" s="36"/>
      <c r="C2364" s="36"/>
      <c r="D2364" s="36"/>
      <c r="E2364" s="36"/>
      <c r="F2364" s="36"/>
      <c r="G2364" s="36"/>
      <c r="H2364" s="36"/>
      <c r="I2364" s="36"/>
      <c r="J2364" s="36"/>
      <c r="K2364" s="36"/>
      <c r="L2364" s="36"/>
      <c r="M2364" s="36"/>
      <c r="N2364" s="36"/>
      <c r="O2364" s="36"/>
      <c r="P2364" s="36"/>
    </row>
    <row r="2365" ht="14.25" customHeight="1">
      <c r="A2365" s="100"/>
      <c r="B2365" s="36"/>
      <c r="C2365" s="36"/>
      <c r="D2365" s="36"/>
      <c r="E2365" s="36"/>
      <c r="F2365" s="36"/>
      <c r="G2365" s="36"/>
      <c r="H2365" s="36"/>
      <c r="I2365" s="36"/>
      <c r="J2365" s="36"/>
      <c r="K2365" s="36"/>
      <c r="L2365" s="36"/>
      <c r="M2365" s="36"/>
      <c r="N2365" s="36"/>
      <c r="O2365" s="36"/>
      <c r="P2365" s="36"/>
    </row>
    <row r="2366" ht="14.25" customHeight="1">
      <c r="A2366" s="100"/>
      <c r="B2366" s="36"/>
      <c r="C2366" s="36"/>
      <c r="D2366" s="36"/>
      <c r="E2366" s="36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</row>
    <row r="2367" ht="14.25" customHeight="1">
      <c r="A2367" s="100"/>
      <c r="B2367" s="36"/>
      <c r="C2367" s="36"/>
      <c r="D2367" s="36"/>
      <c r="E2367" s="36"/>
      <c r="F2367" s="36"/>
      <c r="G2367" s="36"/>
      <c r="H2367" s="36"/>
      <c r="I2367" s="36"/>
      <c r="J2367" s="36"/>
      <c r="K2367" s="36"/>
      <c r="L2367" s="36"/>
      <c r="M2367" s="36"/>
      <c r="N2367" s="36"/>
      <c r="O2367" s="36"/>
      <c r="P2367" s="36"/>
    </row>
    <row r="2368" ht="14.25" customHeight="1">
      <c r="A2368" s="100"/>
      <c r="B2368" s="36"/>
      <c r="C2368" s="36"/>
      <c r="D2368" s="36"/>
      <c r="E2368" s="36"/>
      <c r="F2368" s="36"/>
      <c r="G2368" s="36"/>
      <c r="H2368" s="36"/>
      <c r="I2368" s="36"/>
      <c r="J2368" s="36"/>
      <c r="K2368" s="36"/>
      <c r="L2368" s="36"/>
      <c r="M2368" s="36"/>
      <c r="N2368" s="36"/>
      <c r="O2368" s="36"/>
      <c r="P2368" s="36"/>
    </row>
    <row r="2369" ht="14.25" customHeight="1">
      <c r="A2369" s="100"/>
      <c r="B2369" s="36"/>
      <c r="C2369" s="36"/>
      <c r="D2369" s="36"/>
      <c r="E2369" s="36"/>
      <c r="F2369" s="36"/>
      <c r="G2369" s="36"/>
      <c r="H2369" s="36"/>
      <c r="I2369" s="36"/>
      <c r="J2369" s="36"/>
      <c r="K2369" s="36"/>
      <c r="L2369" s="36"/>
      <c r="M2369" s="36"/>
      <c r="N2369" s="36"/>
      <c r="O2369" s="36"/>
      <c r="P2369" s="36"/>
    </row>
    <row r="2370" ht="14.25" customHeight="1">
      <c r="A2370" s="100"/>
      <c r="B2370" s="36"/>
      <c r="C2370" s="36"/>
      <c r="D2370" s="36"/>
      <c r="E2370" s="36"/>
      <c r="F2370" s="36"/>
      <c r="G2370" s="36"/>
      <c r="H2370" s="36"/>
      <c r="I2370" s="36"/>
      <c r="J2370" s="36"/>
      <c r="K2370" s="36"/>
      <c r="L2370" s="36"/>
      <c r="M2370" s="36"/>
      <c r="N2370" s="36"/>
      <c r="O2370" s="36"/>
      <c r="P2370" s="36"/>
    </row>
    <row r="2371" ht="14.25" customHeight="1">
      <c r="A2371" s="100"/>
      <c r="B2371" s="36"/>
      <c r="C2371" s="36"/>
      <c r="D2371" s="36"/>
      <c r="E2371" s="36"/>
      <c r="F2371" s="36"/>
      <c r="G2371" s="36"/>
      <c r="H2371" s="36"/>
      <c r="I2371" s="36"/>
      <c r="J2371" s="36"/>
      <c r="K2371" s="36"/>
      <c r="L2371" s="36"/>
      <c r="M2371" s="36"/>
      <c r="N2371" s="36"/>
      <c r="O2371" s="36"/>
      <c r="P2371" s="36"/>
    </row>
    <row r="2372" ht="14.25" customHeight="1">
      <c r="A2372" s="100"/>
      <c r="B2372" s="36"/>
      <c r="C2372" s="36"/>
      <c r="D2372" s="36"/>
      <c r="E2372" s="36"/>
      <c r="F2372" s="36"/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</row>
    <row r="2373" ht="14.25" customHeight="1">
      <c r="A2373" s="100"/>
      <c r="B2373" s="36"/>
      <c r="C2373" s="36"/>
      <c r="D2373" s="36"/>
      <c r="E2373" s="36"/>
      <c r="F2373" s="36"/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</row>
    <row r="2374" ht="14.25" customHeight="1">
      <c r="A2374" s="100"/>
      <c r="B2374" s="36"/>
      <c r="C2374" s="36"/>
      <c r="D2374" s="36"/>
      <c r="E2374" s="36"/>
      <c r="F2374" s="36"/>
      <c r="G2374" s="36"/>
      <c r="H2374" s="36"/>
      <c r="I2374" s="36"/>
      <c r="J2374" s="36"/>
      <c r="K2374" s="36"/>
      <c r="L2374" s="36"/>
      <c r="M2374" s="36"/>
      <c r="N2374" s="36"/>
      <c r="O2374" s="36"/>
      <c r="P2374" s="36"/>
    </row>
    <row r="2375" ht="14.25" customHeight="1">
      <c r="A2375" s="100"/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</row>
    <row r="2376" ht="14.25" customHeight="1">
      <c r="A2376" s="100"/>
      <c r="B2376" s="36"/>
      <c r="C2376" s="36"/>
      <c r="D2376" s="36"/>
      <c r="E2376" s="36"/>
      <c r="F2376" s="36"/>
      <c r="G2376" s="36"/>
      <c r="H2376" s="36"/>
      <c r="I2376" s="36"/>
      <c r="J2376" s="36"/>
      <c r="K2376" s="36"/>
      <c r="L2376" s="36"/>
      <c r="M2376" s="36"/>
      <c r="N2376" s="36"/>
      <c r="O2376" s="36"/>
      <c r="P2376" s="36"/>
    </row>
    <row r="2377" ht="14.25" customHeight="1">
      <c r="A2377" s="100"/>
      <c r="B2377" s="36"/>
      <c r="C2377" s="36"/>
      <c r="D2377" s="36"/>
      <c r="E2377" s="36"/>
      <c r="F2377" s="36"/>
      <c r="G2377" s="36"/>
      <c r="H2377" s="36"/>
      <c r="I2377" s="36"/>
      <c r="J2377" s="36"/>
      <c r="K2377" s="36"/>
      <c r="L2377" s="36"/>
      <c r="M2377" s="36"/>
      <c r="N2377" s="36"/>
      <c r="O2377" s="36"/>
      <c r="P2377" s="36"/>
    </row>
    <row r="2378" ht="14.25" customHeight="1">
      <c r="A2378" s="100"/>
      <c r="B2378" s="36"/>
      <c r="C2378" s="36"/>
      <c r="D2378" s="36"/>
      <c r="E2378" s="36"/>
      <c r="F2378" s="36"/>
      <c r="G2378" s="36"/>
      <c r="H2378" s="36"/>
      <c r="I2378" s="36"/>
      <c r="J2378" s="36"/>
      <c r="K2378" s="36"/>
      <c r="L2378" s="36"/>
      <c r="M2378" s="36"/>
      <c r="N2378" s="36"/>
      <c r="O2378" s="36"/>
      <c r="P2378" s="36"/>
    </row>
    <row r="2379" ht="14.25" customHeight="1">
      <c r="A2379" s="100"/>
      <c r="B2379" s="36"/>
      <c r="C2379" s="36"/>
      <c r="D2379" s="36"/>
      <c r="E2379" s="36"/>
      <c r="F2379" s="36"/>
      <c r="G2379" s="36"/>
      <c r="H2379" s="36"/>
      <c r="I2379" s="36"/>
      <c r="J2379" s="36"/>
      <c r="K2379" s="36"/>
      <c r="L2379" s="36"/>
      <c r="M2379" s="36"/>
      <c r="N2379" s="36"/>
      <c r="O2379" s="36"/>
      <c r="P2379" s="36"/>
    </row>
    <row r="2380" ht="14.25" customHeight="1">
      <c r="A2380" s="100"/>
      <c r="B2380" s="36"/>
      <c r="C2380" s="36"/>
      <c r="D2380" s="36"/>
      <c r="E2380" s="36"/>
      <c r="F2380" s="36"/>
      <c r="G2380" s="36"/>
      <c r="H2380" s="36"/>
      <c r="I2380" s="36"/>
      <c r="J2380" s="36"/>
      <c r="K2380" s="36"/>
      <c r="L2380" s="36"/>
      <c r="M2380" s="36"/>
      <c r="N2380" s="36"/>
      <c r="O2380" s="36"/>
      <c r="P2380" s="36"/>
    </row>
    <row r="2381" ht="14.25" customHeight="1">
      <c r="A2381" s="100"/>
      <c r="B2381" s="36"/>
      <c r="C2381" s="36"/>
      <c r="D2381" s="36"/>
      <c r="E2381" s="36"/>
      <c r="F2381" s="36"/>
      <c r="G2381" s="36"/>
      <c r="H2381" s="36"/>
      <c r="I2381" s="36"/>
      <c r="J2381" s="36"/>
      <c r="K2381" s="36"/>
      <c r="L2381" s="36"/>
      <c r="M2381" s="36"/>
      <c r="N2381" s="36"/>
      <c r="O2381" s="36"/>
      <c r="P2381" s="36"/>
    </row>
    <row r="2382" ht="14.25" customHeight="1">
      <c r="A2382" s="100"/>
      <c r="B2382" s="36"/>
      <c r="C2382" s="36"/>
      <c r="D2382" s="36"/>
      <c r="E2382" s="36"/>
      <c r="F2382" s="36"/>
      <c r="G2382" s="36"/>
      <c r="H2382" s="36"/>
      <c r="I2382" s="36"/>
      <c r="J2382" s="36"/>
      <c r="K2382" s="36"/>
      <c r="L2382" s="36"/>
      <c r="M2382" s="36"/>
      <c r="N2382" s="36"/>
      <c r="O2382" s="36"/>
      <c r="P2382" s="36"/>
    </row>
    <row r="2383" ht="14.25" customHeight="1">
      <c r="A2383" s="100"/>
      <c r="B2383" s="36"/>
      <c r="C2383" s="36"/>
      <c r="D2383" s="36"/>
      <c r="E2383" s="36"/>
      <c r="F2383" s="36"/>
      <c r="G2383" s="36"/>
      <c r="H2383" s="36"/>
      <c r="I2383" s="36"/>
      <c r="J2383" s="36"/>
      <c r="K2383" s="36"/>
      <c r="L2383" s="36"/>
      <c r="M2383" s="36"/>
      <c r="N2383" s="36"/>
      <c r="O2383" s="36"/>
      <c r="P2383" s="36"/>
    </row>
    <row r="2384" ht="14.25" customHeight="1">
      <c r="A2384" s="100"/>
      <c r="B2384" s="36"/>
      <c r="C2384" s="36"/>
      <c r="D2384" s="36"/>
      <c r="E2384" s="36"/>
      <c r="F2384" s="36"/>
      <c r="G2384" s="36"/>
      <c r="H2384" s="36"/>
      <c r="I2384" s="36"/>
      <c r="J2384" s="36"/>
      <c r="K2384" s="36"/>
      <c r="L2384" s="36"/>
      <c r="M2384" s="36"/>
      <c r="N2384" s="36"/>
      <c r="O2384" s="36"/>
      <c r="P2384" s="36"/>
    </row>
    <row r="2385" ht="14.25" customHeight="1">
      <c r="A2385" s="100"/>
      <c r="B2385" s="36"/>
      <c r="C2385" s="36"/>
      <c r="D2385" s="36"/>
      <c r="E2385" s="36"/>
      <c r="F2385" s="36"/>
      <c r="G2385" s="36"/>
      <c r="H2385" s="36"/>
      <c r="I2385" s="36"/>
      <c r="J2385" s="36"/>
      <c r="K2385" s="36"/>
      <c r="L2385" s="36"/>
      <c r="M2385" s="36"/>
      <c r="N2385" s="36"/>
      <c r="O2385" s="36"/>
      <c r="P2385" s="36"/>
    </row>
    <row r="2386" ht="14.25" customHeight="1">
      <c r="A2386" s="100"/>
      <c r="B2386" s="36"/>
      <c r="C2386" s="36"/>
      <c r="D2386" s="36"/>
      <c r="E2386" s="36"/>
      <c r="F2386" s="36"/>
      <c r="G2386" s="36"/>
      <c r="H2386" s="36"/>
      <c r="I2386" s="36"/>
      <c r="J2386" s="36"/>
      <c r="K2386" s="36"/>
      <c r="L2386" s="36"/>
      <c r="M2386" s="36"/>
      <c r="N2386" s="36"/>
      <c r="O2386" s="36"/>
      <c r="P2386" s="36"/>
    </row>
    <row r="2387" ht="14.25" customHeight="1">
      <c r="A2387" s="100"/>
      <c r="B2387" s="36"/>
      <c r="C2387" s="36"/>
      <c r="D2387" s="36"/>
      <c r="E2387" s="36"/>
      <c r="F2387" s="36"/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</row>
    <row r="2388" ht="14.25" customHeight="1">
      <c r="A2388" s="100"/>
      <c r="B2388" s="36"/>
      <c r="C2388" s="36"/>
      <c r="D2388" s="36"/>
      <c r="E2388" s="36"/>
      <c r="F2388" s="36"/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</row>
    <row r="2389" ht="14.25" customHeight="1">
      <c r="A2389" s="100"/>
      <c r="B2389" s="36"/>
      <c r="C2389" s="36"/>
      <c r="D2389" s="36"/>
      <c r="E2389" s="36"/>
      <c r="F2389" s="36"/>
      <c r="G2389" s="36"/>
      <c r="H2389" s="36"/>
      <c r="I2389" s="36"/>
      <c r="J2389" s="36"/>
      <c r="K2389" s="36"/>
      <c r="L2389" s="36"/>
      <c r="M2389" s="36"/>
      <c r="N2389" s="36"/>
      <c r="O2389" s="36"/>
      <c r="P2389" s="36"/>
    </row>
    <row r="2390" ht="14.25" customHeight="1">
      <c r="A2390" s="100"/>
      <c r="B2390" s="36"/>
      <c r="C2390" s="36"/>
      <c r="D2390" s="36"/>
      <c r="E2390" s="36"/>
      <c r="F2390" s="36"/>
      <c r="G2390" s="36"/>
      <c r="H2390" s="36"/>
      <c r="I2390" s="36"/>
      <c r="J2390" s="36"/>
      <c r="K2390" s="36"/>
      <c r="L2390" s="36"/>
      <c r="M2390" s="36"/>
      <c r="N2390" s="36"/>
      <c r="O2390" s="36"/>
      <c r="P2390" s="36"/>
    </row>
    <row r="2391" ht="14.25" customHeight="1">
      <c r="A2391" s="100"/>
      <c r="B2391" s="36"/>
      <c r="C2391" s="36"/>
      <c r="D2391" s="36"/>
      <c r="E2391" s="36"/>
      <c r="F2391" s="36"/>
      <c r="G2391" s="36"/>
      <c r="H2391" s="36"/>
      <c r="I2391" s="36"/>
      <c r="J2391" s="36"/>
      <c r="K2391" s="36"/>
      <c r="L2391" s="36"/>
      <c r="M2391" s="36"/>
      <c r="N2391" s="36"/>
      <c r="O2391" s="36"/>
      <c r="P2391" s="36"/>
    </row>
    <row r="2392" ht="14.25" customHeight="1">
      <c r="A2392" s="100"/>
      <c r="B2392" s="36"/>
      <c r="C2392" s="36"/>
      <c r="D2392" s="36"/>
      <c r="E2392" s="36"/>
      <c r="F2392" s="36"/>
      <c r="G2392" s="36"/>
      <c r="H2392" s="36"/>
      <c r="I2392" s="36"/>
      <c r="J2392" s="36"/>
      <c r="K2392" s="36"/>
      <c r="L2392" s="36"/>
      <c r="M2392" s="36"/>
      <c r="N2392" s="36"/>
      <c r="O2392" s="36"/>
      <c r="P2392" s="36"/>
    </row>
    <row r="2393" ht="14.25" customHeight="1">
      <c r="A2393" s="100"/>
      <c r="B2393" s="36"/>
      <c r="C2393" s="36"/>
      <c r="D2393" s="36"/>
      <c r="E2393" s="36"/>
      <c r="F2393" s="36"/>
      <c r="G2393" s="36"/>
      <c r="H2393" s="36"/>
      <c r="I2393" s="36"/>
      <c r="J2393" s="36"/>
      <c r="K2393" s="36"/>
      <c r="L2393" s="36"/>
      <c r="M2393" s="36"/>
      <c r="N2393" s="36"/>
      <c r="O2393" s="36"/>
      <c r="P2393" s="36"/>
    </row>
    <row r="2394" ht="14.25" customHeight="1">
      <c r="A2394" s="100"/>
      <c r="B2394" s="36"/>
      <c r="C2394" s="36"/>
      <c r="D2394" s="36"/>
      <c r="E2394" s="36"/>
      <c r="F2394" s="36"/>
      <c r="G2394" s="36"/>
      <c r="H2394" s="36"/>
      <c r="I2394" s="36"/>
      <c r="J2394" s="36"/>
      <c r="K2394" s="36"/>
      <c r="L2394" s="36"/>
      <c r="M2394" s="36"/>
      <c r="N2394" s="36"/>
      <c r="O2394" s="36"/>
      <c r="P2394" s="36"/>
    </row>
    <row r="2395" ht="14.25" customHeight="1">
      <c r="A2395" s="100"/>
      <c r="B2395" s="36"/>
      <c r="C2395" s="36"/>
      <c r="D2395" s="36"/>
      <c r="E2395" s="36"/>
      <c r="F2395" s="36"/>
      <c r="G2395" s="36"/>
      <c r="H2395" s="36"/>
      <c r="I2395" s="36"/>
      <c r="J2395" s="36"/>
      <c r="K2395" s="36"/>
      <c r="L2395" s="36"/>
      <c r="M2395" s="36"/>
      <c r="N2395" s="36"/>
      <c r="O2395" s="36"/>
      <c r="P2395" s="36"/>
    </row>
    <row r="2396" ht="14.25" customHeight="1">
      <c r="A2396" s="100"/>
      <c r="B2396" s="36"/>
      <c r="C2396" s="36"/>
      <c r="D2396" s="36"/>
      <c r="E2396" s="36"/>
      <c r="F2396" s="36"/>
      <c r="G2396" s="36"/>
      <c r="H2396" s="36"/>
      <c r="I2396" s="36"/>
      <c r="J2396" s="36"/>
      <c r="K2396" s="36"/>
      <c r="L2396" s="36"/>
      <c r="M2396" s="36"/>
      <c r="N2396" s="36"/>
      <c r="O2396" s="36"/>
      <c r="P2396" s="36"/>
    </row>
    <row r="2397" ht="14.25" customHeight="1">
      <c r="A2397" s="100"/>
      <c r="B2397" s="36"/>
      <c r="C2397" s="36"/>
      <c r="D2397" s="36"/>
      <c r="E2397" s="36"/>
      <c r="F2397" s="36"/>
      <c r="G2397" s="36"/>
      <c r="H2397" s="36"/>
      <c r="I2397" s="36"/>
      <c r="J2397" s="36"/>
      <c r="K2397" s="36"/>
      <c r="L2397" s="36"/>
      <c r="M2397" s="36"/>
      <c r="N2397" s="36"/>
      <c r="O2397" s="36"/>
      <c r="P2397" s="36"/>
    </row>
    <row r="2398" ht="14.25" customHeight="1">
      <c r="A2398" s="100"/>
      <c r="B2398" s="36"/>
      <c r="C2398" s="36"/>
      <c r="D2398" s="36"/>
      <c r="E2398" s="36"/>
      <c r="F2398" s="36"/>
      <c r="G2398" s="36"/>
      <c r="H2398" s="36"/>
      <c r="I2398" s="36"/>
      <c r="J2398" s="36"/>
      <c r="K2398" s="36"/>
      <c r="L2398" s="36"/>
      <c r="M2398" s="36"/>
      <c r="N2398" s="36"/>
      <c r="O2398" s="36"/>
      <c r="P2398" s="36"/>
    </row>
    <row r="2399" ht="14.25" customHeight="1">
      <c r="A2399" s="100"/>
      <c r="B2399" s="36"/>
      <c r="C2399" s="36"/>
      <c r="D2399" s="36"/>
      <c r="E2399" s="36"/>
      <c r="F2399" s="36"/>
      <c r="G2399" s="36"/>
      <c r="H2399" s="36"/>
      <c r="I2399" s="36"/>
      <c r="J2399" s="36"/>
      <c r="K2399" s="36"/>
      <c r="L2399" s="36"/>
      <c r="M2399" s="36"/>
      <c r="N2399" s="36"/>
      <c r="O2399" s="36"/>
      <c r="P2399" s="36"/>
    </row>
    <row r="2400" ht="14.25" customHeight="1">
      <c r="A2400" s="100"/>
      <c r="B2400" s="36"/>
      <c r="C2400" s="36"/>
      <c r="D2400" s="36"/>
      <c r="E2400" s="36"/>
      <c r="F2400" s="36"/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</row>
    <row r="2401" ht="14.25" customHeight="1">
      <c r="A2401" s="100"/>
      <c r="B2401" s="36"/>
      <c r="C2401" s="36"/>
      <c r="D2401" s="36"/>
      <c r="E2401" s="36"/>
      <c r="F2401" s="36"/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</row>
    <row r="2402" ht="14.25" customHeight="1">
      <c r="A2402" s="100"/>
      <c r="B2402" s="36"/>
      <c r="C2402" s="36"/>
      <c r="D2402" s="36"/>
      <c r="E2402" s="36"/>
      <c r="F2402" s="36"/>
      <c r="G2402" s="36"/>
      <c r="H2402" s="36"/>
      <c r="I2402" s="36"/>
      <c r="J2402" s="36"/>
      <c r="K2402" s="36"/>
      <c r="L2402" s="36"/>
      <c r="M2402" s="36"/>
      <c r="N2402" s="36"/>
      <c r="O2402" s="36"/>
      <c r="P2402" s="36"/>
    </row>
    <row r="2403" ht="14.25" customHeight="1">
      <c r="A2403" s="100"/>
      <c r="B2403" s="36"/>
      <c r="C2403" s="36"/>
      <c r="D2403" s="36"/>
      <c r="E2403" s="36"/>
      <c r="F2403" s="36"/>
      <c r="G2403" s="36"/>
      <c r="H2403" s="36"/>
      <c r="I2403" s="36"/>
      <c r="J2403" s="36"/>
      <c r="K2403" s="36"/>
      <c r="L2403" s="36"/>
      <c r="M2403" s="36"/>
      <c r="N2403" s="36"/>
      <c r="O2403" s="36"/>
      <c r="P2403" s="36"/>
    </row>
    <row r="2404" ht="14.25" customHeight="1">
      <c r="A2404" s="100"/>
      <c r="B2404" s="36"/>
      <c r="C2404" s="36"/>
      <c r="D2404" s="36"/>
      <c r="E2404" s="36"/>
      <c r="F2404" s="36"/>
      <c r="G2404" s="36"/>
      <c r="H2404" s="36"/>
      <c r="I2404" s="36"/>
      <c r="J2404" s="36"/>
      <c r="K2404" s="36"/>
      <c r="L2404" s="36"/>
      <c r="M2404" s="36"/>
      <c r="N2404" s="36"/>
      <c r="O2404" s="36"/>
      <c r="P2404" s="36"/>
    </row>
    <row r="2405" ht="14.25" customHeight="1">
      <c r="A2405" s="100"/>
      <c r="B2405" s="36"/>
      <c r="C2405" s="36"/>
      <c r="D2405" s="36"/>
      <c r="E2405" s="36"/>
      <c r="F2405" s="36"/>
      <c r="G2405" s="36"/>
      <c r="H2405" s="36"/>
      <c r="I2405" s="36"/>
      <c r="J2405" s="36"/>
      <c r="K2405" s="36"/>
      <c r="L2405" s="36"/>
      <c r="M2405" s="36"/>
      <c r="N2405" s="36"/>
      <c r="O2405" s="36"/>
      <c r="P2405" s="36"/>
    </row>
    <row r="2406" ht="14.25" customHeight="1">
      <c r="A2406" s="100"/>
      <c r="B2406" s="36"/>
      <c r="C2406" s="36"/>
      <c r="D2406" s="36"/>
      <c r="E2406" s="36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</row>
    <row r="2407" ht="14.25" customHeight="1">
      <c r="A2407" s="100"/>
      <c r="B2407" s="36"/>
      <c r="C2407" s="36"/>
      <c r="D2407" s="36"/>
      <c r="E2407" s="36"/>
      <c r="F2407" s="36"/>
      <c r="G2407" s="36"/>
      <c r="H2407" s="36"/>
      <c r="I2407" s="36"/>
      <c r="J2407" s="36"/>
      <c r="K2407" s="36"/>
      <c r="L2407" s="36"/>
      <c r="M2407" s="36"/>
      <c r="N2407" s="36"/>
      <c r="O2407" s="36"/>
      <c r="P2407" s="36"/>
    </row>
    <row r="2408" ht="14.25" customHeight="1">
      <c r="A2408" s="100"/>
      <c r="B2408" s="36"/>
      <c r="C2408" s="36"/>
      <c r="D2408" s="36"/>
      <c r="E2408" s="36"/>
      <c r="F2408" s="36"/>
      <c r="G2408" s="36"/>
      <c r="H2408" s="36"/>
      <c r="I2408" s="36"/>
      <c r="J2408" s="36"/>
      <c r="K2408" s="36"/>
      <c r="L2408" s="36"/>
      <c r="M2408" s="36"/>
      <c r="N2408" s="36"/>
      <c r="O2408" s="36"/>
      <c r="P2408" s="36"/>
    </row>
  </sheetData>
  <mergeCells count="508">
    <mergeCell ref="B786:B792"/>
    <mergeCell ref="B793:B799"/>
    <mergeCell ref="B737:B743"/>
    <mergeCell ref="B744:B750"/>
    <mergeCell ref="B751:B757"/>
    <mergeCell ref="B758:B764"/>
    <mergeCell ref="B765:B771"/>
    <mergeCell ref="B772:B778"/>
    <mergeCell ref="B779:B785"/>
    <mergeCell ref="A611:A617"/>
    <mergeCell ref="B611:B617"/>
    <mergeCell ref="A618:A624"/>
    <mergeCell ref="B618:B624"/>
    <mergeCell ref="A625:A631"/>
    <mergeCell ref="B625:B631"/>
    <mergeCell ref="B632:B638"/>
    <mergeCell ref="A632:A638"/>
    <mergeCell ref="A639:A645"/>
    <mergeCell ref="A646:A652"/>
    <mergeCell ref="A653:A659"/>
    <mergeCell ref="A660:A666"/>
    <mergeCell ref="A667:A673"/>
    <mergeCell ref="A674:A680"/>
    <mergeCell ref="B639:B645"/>
    <mergeCell ref="B646:B652"/>
    <mergeCell ref="B653:B659"/>
    <mergeCell ref="B660:B666"/>
    <mergeCell ref="B667:B673"/>
    <mergeCell ref="B674:B680"/>
    <mergeCell ref="B681:B687"/>
    <mergeCell ref="A681:A687"/>
    <mergeCell ref="A688:A694"/>
    <mergeCell ref="A695:A701"/>
    <mergeCell ref="A702:A708"/>
    <mergeCell ref="A709:A715"/>
    <mergeCell ref="A716:A722"/>
    <mergeCell ref="A723:A729"/>
    <mergeCell ref="B688:B694"/>
    <mergeCell ref="B695:B701"/>
    <mergeCell ref="B702:B708"/>
    <mergeCell ref="B709:B715"/>
    <mergeCell ref="B716:B722"/>
    <mergeCell ref="B723:B729"/>
    <mergeCell ref="B730:B736"/>
    <mergeCell ref="A730:A736"/>
    <mergeCell ref="A737:A743"/>
    <mergeCell ref="A744:A750"/>
    <mergeCell ref="A751:A757"/>
    <mergeCell ref="A758:A764"/>
    <mergeCell ref="A765:A771"/>
    <mergeCell ref="A772:A778"/>
    <mergeCell ref="A779:A785"/>
    <mergeCell ref="A786:A792"/>
    <mergeCell ref="A793:A799"/>
    <mergeCell ref="A800:A806"/>
    <mergeCell ref="B800:B806"/>
    <mergeCell ref="A807:A813"/>
    <mergeCell ref="B807:B813"/>
    <mergeCell ref="B989:B995"/>
    <mergeCell ref="B996:B1002"/>
    <mergeCell ref="B940:B946"/>
    <mergeCell ref="B947:B953"/>
    <mergeCell ref="B954:B960"/>
    <mergeCell ref="B961:B967"/>
    <mergeCell ref="B968:B974"/>
    <mergeCell ref="B975:B981"/>
    <mergeCell ref="B982:B988"/>
    <mergeCell ref="A814:A820"/>
    <mergeCell ref="B814:B820"/>
    <mergeCell ref="A821:A827"/>
    <mergeCell ref="B821:B827"/>
    <mergeCell ref="A828:A834"/>
    <mergeCell ref="B828:B834"/>
    <mergeCell ref="B835:B841"/>
    <mergeCell ref="A835:A841"/>
    <mergeCell ref="A842:A848"/>
    <mergeCell ref="A849:A855"/>
    <mergeCell ref="A856:A862"/>
    <mergeCell ref="A863:A869"/>
    <mergeCell ref="A870:A876"/>
    <mergeCell ref="A877:A883"/>
    <mergeCell ref="B842:B848"/>
    <mergeCell ref="B849:B855"/>
    <mergeCell ref="B856:B862"/>
    <mergeCell ref="B863:B869"/>
    <mergeCell ref="B870:B876"/>
    <mergeCell ref="B877:B883"/>
    <mergeCell ref="B884:B890"/>
    <mergeCell ref="A884:A890"/>
    <mergeCell ref="A891:A897"/>
    <mergeCell ref="A898:A904"/>
    <mergeCell ref="A905:A911"/>
    <mergeCell ref="A912:A918"/>
    <mergeCell ref="A919:A925"/>
    <mergeCell ref="A926:A932"/>
    <mergeCell ref="B891:B897"/>
    <mergeCell ref="B898:B904"/>
    <mergeCell ref="B905:B911"/>
    <mergeCell ref="B912:B918"/>
    <mergeCell ref="B919:B925"/>
    <mergeCell ref="B926:B932"/>
    <mergeCell ref="B933:B939"/>
    <mergeCell ref="A933:A939"/>
    <mergeCell ref="A940:A946"/>
    <mergeCell ref="A947:A953"/>
    <mergeCell ref="A954:A960"/>
    <mergeCell ref="A961:A967"/>
    <mergeCell ref="A968:A974"/>
    <mergeCell ref="A975:A981"/>
    <mergeCell ref="A982:A988"/>
    <mergeCell ref="A989:A995"/>
    <mergeCell ref="A996:A1002"/>
    <mergeCell ref="A1003:A1009"/>
    <mergeCell ref="B1003:B1009"/>
    <mergeCell ref="A1010:A1016"/>
    <mergeCell ref="B1010:B1016"/>
    <mergeCell ref="B1192:B1198"/>
    <mergeCell ref="B1199:B1205"/>
    <mergeCell ref="B1143:B1149"/>
    <mergeCell ref="B1150:B1156"/>
    <mergeCell ref="B1157:B1163"/>
    <mergeCell ref="B1164:B1170"/>
    <mergeCell ref="B1171:B1177"/>
    <mergeCell ref="B1178:B1184"/>
    <mergeCell ref="B1185:B1191"/>
    <mergeCell ref="A1017:A1023"/>
    <mergeCell ref="B1017:B1023"/>
    <mergeCell ref="A1024:A1030"/>
    <mergeCell ref="B1024:B1030"/>
    <mergeCell ref="A1031:A1037"/>
    <mergeCell ref="B1031:B1037"/>
    <mergeCell ref="B1038:B1044"/>
    <mergeCell ref="A1038:A1044"/>
    <mergeCell ref="A1045:A1051"/>
    <mergeCell ref="A1052:A1058"/>
    <mergeCell ref="A1059:A1065"/>
    <mergeCell ref="A1066:A1072"/>
    <mergeCell ref="A1073:A1079"/>
    <mergeCell ref="A1080:A1086"/>
    <mergeCell ref="B1045:B1051"/>
    <mergeCell ref="B1052:B1058"/>
    <mergeCell ref="B1059:B1065"/>
    <mergeCell ref="B1066:B1072"/>
    <mergeCell ref="B1073:B1079"/>
    <mergeCell ref="B1080:B1086"/>
    <mergeCell ref="B1087:B1093"/>
    <mergeCell ref="A1087:A1093"/>
    <mergeCell ref="A1094:A1100"/>
    <mergeCell ref="A1101:A1107"/>
    <mergeCell ref="A1108:A1114"/>
    <mergeCell ref="A1115:A1121"/>
    <mergeCell ref="A1122:A1128"/>
    <mergeCell ref="A1129:A1135"/>
    <mergeCell ref="B1094:B1100"/>
    <mergeCell ref="B1101:B1107"/>
    <mergeCell ref="B1108:B1114"/>
    <mergeCell ref="B1115:B1121"/>
    <mergeCell ref="B1122:B1128"/>
    <mergeCell ref="B1129:B1135"/>
    <mergeCell ref="B1136:B1142"/>
    <mergeCell ref="A1136:A1142"/>
    <mergeCell ref="A1143:A1149"/>
    <mergeCell ref="A1150:A1156"/>
    <mergeCell ref="A1157:A1163"/>
    <mergeCell ref="A1164:A1170"/>
    <mergeCell ref="A1171:A1177"/>
    <mergeCell ref="A1178:A1184"/>
    <mergeCell ref="A1185:A1191"/>
    <mergeCell ref="A1192:A1198"/>
    <mergeCell ref="A1199:A1205"/>
    <mergeCell ref="A1206:A1212"/>
    <mergeCell ref="B1206:B1212"/>
    <mergeCell ref="A1213:A1219"/>
    <mergeCell ref="B1213:B1219"/>
    <mergeCell ref="B1395:B1401"/>
    <mergeCell ref="B1402:B1408"/>
    <mergeCell ref="B1346:B1352"/>
    <mergeCell ref="B1353:B1359"/>
    <mergeCell ref="B1360:B1366"/>
    <mergeCell ref="B1367:B1373"/>
    <mergeCell ref="B1374:B1380"/>
    <mergeCell ref="B1381:B1387"/>
    <mergeCell ref="B1388:B1394"/>
    <mergeCell ref="A1220:A1226"/>
    <mergeCell ref="B1220:B1226"/>
    <mergeCell ref="A1227:A1233"/>
    <mergeCell ref="B1227:B1233"/>
    <mergeCell ref="A1234:A1240"/>
    <mergeCell ref="B1234:B1240"/>
    <mergeCell ref="B1241:B1247"/>
    <mergeCell ref="A1241:A1247"/>
    <mergeCell ref="A1248:A1254"/>
    <mergeCell ref="A1255:A1261"/>
    <mergeCell ref="A1262:A1268"/>
    <mergeCell ref="A1269:A1275"/>
    <mergeCell ref="A1276:A1282"/>
    <mergeCell ref="A1283:A1289"/>
    <mergeCell ref="B1248:B1254"/>
    <mergeCell ref="B1255:B1261"/>
    <mergeCell ref="B1262:B1268"/>
    <mergeCell ref="B1269:B1275"/>
    <mergeCell ref="B1276:B1282"/>
    <mergeCell ref="B1283:B1289"/>
    <mergeCell ref="B1290:B1296"/>
    <mergeCell ref="A1290:A1296"/>
    <mergeCell ref="A1297:A1303"/>
    <mergeCell ref="A1304:A1310"/>
    <mergeCell ref="A1311:A1317"/>
    <mergeCell ref="A1318:A1324"/>
    <mergeCell ref="A1325:A1331"/>
    <mergeCell ref="A1332:A1338"/>
    <mergeCell ref="B1297:B1303"/>
    <mergeCell ref="B1304:B1310"/>
    <mergeCell ref="B1311:B1317"/>
    <mergeCell ref="B1318:B1324"/>
    <mergeCell ref="B1325:B1331"/>
    <mergeCell ref="B1332:B1338"/>
    <mergeCell ref="B1339:B1345"/>
    <mergeCell ref="A1339:A1345"/>
    <mergeCell ref="A1346:A1352"/>
    <mergeCell ref="A1353:A1359"/>
    <mergeCell ref="A1360:A1366"/>
    <mergeCell ref="A1367:A1373"/>
    <mergeCell ref="A1374:A1380"/>
    <mergeCell ref="A1381:A1387"/>
    <mergeCell ref="A1388:A1394"/>
    <mergeCell ref="A1395:A1401"/>
    <mergeCell ref="A1402:A1408"/>
    <mergeCell ref="A1409:A1415"/>
    <mergeCell ref="B1409:B1415"/>
    <mergeCell ref="A1416:A1422"/>
    <mergeCell ref="B1416:B1422"/>
    <mergeCell ref="B1598:B1604"/>
    <mergeCell ref="B1605:B1611"/>
    <mergeCell ref="B1549:B1555"/>
    <mergeCell ref="B1556:B1562"/>
    <mergeCell ref="B1563:B1569"/>
    <mergeCell ref="B1570:B1576"/>
    <mergeCell ref="B1577:B1583"/>
    <mergeCell ref="B1584:B1590"/>
    <mergeCell ref="B1591:B1597"/>
    <mergeCell ref="A1423:A1429"/>
    <mergeCell ref="B1423:B1429"/>
    <mergeCell ref="A1430:A1436"/>
    <mergeCell ref="B1430:B1436"/>
    <mergeCell ref="A1437:A1443"/>
    <mergeCell ref="B1437:B1443"/>
    <mergeCell ref="B1444:B1450"/>
    <mergeCell ref="A1444:A1450"/>
    <mergeCell ref="A1451:A1457"/>
    <mergeCell ref="A1458:A1464"/>
    <mergeCell ref="A1465:A1471"/>
    <mergeCell ref="A1472:A1478"/>
    <mergeCell ref="A1479:A1485"/>
    <mergeCell ref="A1486:A1492"/>
    <mergeCell ref="B1451:B1457"/>
    <mergeCell ref="B1458:B1464"/>
    <mergeCell ref="B1465:B1471"/>
    <mergeCell ref="B1472:B1478"/>
    <mergeCell ref="B1479:B1485"/>
    <mergeCell ref="B1486:B1492"/>
    <mergeCell ref="B1493:B1499"/>
    <mergeCell ref="A1493:A1499"/>
    <mergeCell ref="A1500:A1506"/>
    <mergeCell ref="A1507:A1513"/>
    <mergeCell ref="A1514:A1520"/>
    <mergeCell ref="A1521:A1527"/>
    <mergeCell ref="A1528:A1534"/>
    <mergeCell ref="A1535:A1541"/>
    <mergeCell ref="B1500:B1506"/>
    <mergeCell ref="B1507:B1513"/>
    <mergeCell ref="B1514:B1520"/>
    <mergeCell ref="B1521:B1527"/>
    <mergeCell ref="B1528:B1534"/>
    <mergeCell ref="B1535:B1541"/>
    <mergeCell ref="B1542:B1548"/>
    <mergeCell ref="A1542:A1548"/>
    <mergeCell ref="A1549:A1555"/>
    <mergeCell ref="A1556:A1562"/>
    <mergeCell ref="A1563:A1569"/>
    <mergeCell ref="A1570:A1576"/>
    <mergeCell ref="A1577:A1583"/>
    <mergeCell ref="A1584:A1590"/>
    <mergeCell ref="A1591:A1597"/>
    <mergeCell ref="A1598:A1604"/>
    <mergeCell ref="A1605:A1611"/>
    <mergeCell ref="A1612:A1618"/>
    <mergeCell ref="B1612:B1618"/>
    <mergeCell ref="A1619:A1625"/>
    <mergeCell ref="B1619:B1625"/>
    <mergeCell ref="B177:B183"/>
    <mergeCell ref="B184:B190"/>
    <mergeCell ref="B128:B134"/>
    <mergeCell ref="B135:B141"/>
    <mergeCell ref="B142:B148"/>
    <mergeCell ref="B149:B155"/>
    <mergeCell ref="B156:B162"/>
    <mergeCell ref="B163:B169"/>
    <mergeCell ref="B170:B176"/>
    <mergeCell ref="A2:A8"/>
    <mergeCell ref="B2:B8"/>
    <mergeCell ref="A9:A15"/>
    <mergeCell ref="B9:B15"/>
    <mergeCell ref="A16:A22"/>
    <mergeCell ref="B16:B22"/>
    <mergeCell ref="B23:B29"/>
    <mergeCell ref="A23:A29"/>
    <mergeCell ref="A30:A36"/>
    <mergeCell ref="A37:A43"/>
    <mergeCell ref="A44:A50"/>
    <mergeCell ref="A51:A57"/>
    <mergeCell ref="A58:A64"/>
    <mergeCell ref="A65:A71"/>
    <mergeCell ref="B30:B36"/>
    <mergeCell ref="B37:B43"/>
    <mergeCell ref="B44:B50"/>
    <mergeCell ref="B51:B57"/>
    <mergeCell ref="B58:B64"/>
    <mergeCell ref="B65:B71"/>
    <mergeCell ref="B72:B78"/>
    <mergeCell ref="A72:A78"/>
    <mergeCell ref="A79:A85"/>
    <mergeCell ref="A86:A92"/>
    <mergeCell ref="A93:A99"/>
    <mergeCell ref="A100:A106"/>
    <mergeCell ref="A107:A113"/>
    <mergeCell ref="A114:A120"/>
    <mergeCell ref="B79:B85"/>
    <mergeCell ref="B86:B92"/>
    <mergeCell ref="B93:B99"/>
    <mergeCell ref="B100:B106"/>
    <mergeCell ref="B107:B113"/>
    <mergeCell ref="B114:B120"/>
    <mergeCell ref="B121:B127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A191:A197"/>
    <mergeCell ref="B191:B197"/>
    <mergeCell ref="A198:A204"/>
    <mergeCell ref="B198:B204"/>
    <mergeCell ref="B380:B386"/>
    <mergeCell ref="B387:B393"/>
    <mergeCell ref="B331:B337"/>
    <mergeCell ref="B338:B344"/>
    <mergeCell ref="B345:B351"/>
    <mergeCell ref="B352:B358"/>
    <mergeCell ref="B359:B365"/>
    <mergeCell ref="B366:B372"/>
    <mergeCell ref="B373:B379"/>
    <mergeCell ref="A205:A211"/>
    <mergeCell ref="B205:B211"/>
    <mergeCell ref="A212:A218"/>
    <mergeCell ref="B212:B218"/>
    <mergeCell ref="A219:A225"/>
    <mergeCell ref="B219:B225"/>
    <mergeCell ref="B226:B232"/>
    <mergeCell ref="A226:A232"/>
    <mergeCell ref="A233:A239"/>
    <mergeCell ref="A240:A246"/>
    <mergeCell ref="A247:A253"/>
    <mergeCell ref="A254:A260"/>
    <mergeCell ref="A261:A267"/>
    <mergeCell ref="A268:A274"/>
    <mergeCell ref="B233:B239"/>
    <mergeCell ref="B240:B246"/>
    <mergeCell ref="B247:B253"/>
    <mergeCell ref="B254:B260"/>
    <mergeCell ref="B261:B267"/>
    <mergeCell ref="B268:B274"/>
    <mergeCell ref="B275:B281"/>
    <mergeCell ref="A275:A281"/>
    <mergeCell ref="A282:A288"/>
    <mergeCell ref="A289:A295"/>
    <mergeCell ref="A296:A302"/>
    <mergeCell ref="A303:A309"/>
    <mergeCell ref="A310:A316"/>
    <mergeCell ref="A317:A323"/>
    <mergeCell ref="B282:B288"/>
    <mergeCell ref="B289:B295"/>
    <mergeCell ref="B296:B302"/>
    <mergeCell ref="B303:B309"/>
    <mergeCell ref="B310:B316"/>
    <mergeCell ref="B317:B323"/>
    <mergeCell ref="B324:B330"/>
    <mergeCell ref="A324:A330"/>
    <mergeCell ref="A331:A337"/>
    <mergeCell ref="A338:A344"/>
    <mergeCell ref="A345:A351"/>
    <mergeCell ref="A352:A358"/>
    <mergeCell ref="A359:A365"/>
    <mergeCell ref="A366:A372"/>
    <mergeCell ref="A373:A379"/>
    <mergeCell ref="A380:A386"/>
    <mergeCell ref="A387:A393"/>
    <mergeCell ref="A394:A400"/>
    <mergeCell ref="B394:B400"/>
    <mergeCell ref="A401:A407"/>
    <mergeCell ref="B401:B407"/>
    <mergeCell ref="B583:B589"/>
    <mergeCell ref="B590:B596"/>
    <mergeCell ref="B534:B540"/>
    <mergeCell ref="B541:B547"/>
    <mergeCell ref="B548:B554"/>
    <mergeCell ref="B555:B561"/>
    <mergeCell ref="B562:B568"/>
    <mergeCell ref="B569:B575"/>
    <mergeCell ref="B576:B582"/>
    <mergeCell ref="A408:A414"/>
    <mergeCell ref="B408:B414"/>
    <mergeCell ref="A415:A421"/>
    <mergeCell ref="B415:B421"/>
    <mergeCell ref="A422:A428"/>
    <mergeCell ref="B422:B428"/>
    <mergeCell ref="B429:B435"/>
    <mergeCell ref="A429:A435"/>
    <mergeCell ref="A436:A442"/>
    <mergeCell ref="A443:A449"/>
    <mergeCell ref="A450:A456"/>
    <mergeCell ref="A457:A463"/>
    <mergeCell ref="A464:A470"/>
    <mergeCell ref="A471:A477"/>
    <mergeCell ref="B436:B442"/>
    <mergeCell ref="B443:B449"/>
    <mergeCell ref="B450:B456"/>
    <mergeCell ref="B457:B463"/>
    <mergeCell ref="B464:B470"/>
    <mergeCell ref="B471:B477"/>
    <mergeCell ref="B478:B484"/>
    <mergeCell ref="A478:A484"/>
    <mergeCell ref="A485:A491"/>
    <mergeCell ref="A492:A498"/>
    <mergeCell ref="A499:A505"/>
    <mergeCell ref="A506:A512"/>
    <mergeCell ref="A513:A519"/>
    <mergeCell ref="A520:A526"/>
    <mergeCell ref="B485:B491"/>
    <mergeCell ref="B492:B498"/>
    <mergeCell ref="B499:B505"/>
    <mergeCell ref="B506:B512"/>
    <mergeCell ref="B513:B519"/>
    <mergeCell ref="B520:B526"/>
    <mergeCell ref="B527:B533"/>
    <mergeCell ref="A527:A533"/>
    <mergeCell ref="A534:A540"/>
    <mergeCell ref="A541:A547"/>
    <mergeCell ref="A548:A554"/>
    <mergeCell ref="A555:A561"/>
    <mergeCell ref="A562:A568"/>
    <mergeCell ref="A569:A575"/>
    <mergeCell ref="A576:A582"/>
    <mergeCell ref="A583:A589"/>
    <mergeCell ref="A590:A596"/>
    <mergeCell ref="A597:A603"/>
    <mergeCell ref="B597:B603"/>
    <mergeCell ref="A604:A610"/>
    <mergeCell ref="B604:B610"/>
    <mergeCell ref="A1626:A1632"/>
    <mergeCell ref="B1626:B1632"/>
    <mergeCell ref="A1633:A1639"/>
    <mergeCell ref="B1633:B1639"/>
    <mergeCell ref="A1640:A1646"/>
    <mergeCell ref="B1640:B1646"/>
    <mergeCell ref="B1647:B1653"/>
    <mergeCell ref="A1647:A1653"/>
    <mergeCell ref="A1654:A1660"/>
    <mergeCell ref="A1661:A1667"/>
    <mergeCell ref="A1668:A1674"/>
    <mergeCell ref="A1675:A1681"/>
    <mergeCell ref="A1682:A1688"/>
    <mergeCell ref="A1689:A1695"/>
    <mergeCell ref="B1654:B1660"/>
    <mergeCell ref="B1661:B1667"/>
    <mergeCell ref="B1668:B1674"/>
    <mergeCell ref="B1675:B1681"/>
    <mergeCell ref="B1682:B1688"/>
    <mergeCell ref="B1689:B1695"/>
    <mergeCell ref="B1696:B1702"/>
    <mergeCell ref="A1745:A1751"/>
    <mergeCell ref="A1752:A1758"/>
    <mergeCell ref="A1759:A1765"/>
    <mergeCell ref="A1766:A1772"/>
    <mergeCell ref="A1773:A1779"/>
    <mergeCell ref="A1696:A1702"/>
    <mergeCell ref="A1703:A1709"/>
    <mergeCell ref="A1710:A1716"/>
    <mergeCell ref="A1717:A1723"/>
    <mergeCell ref="A1724:A1730"/>
    <mergeCell ref="A1731:A1737"/>
    <mergeCell ref="A1738:A1744"/>
    <mergeCell ref="B1752:B1758"/>
    <mergeCell ref="B1759:B1765"/>
    <mergeCell ref="B1766:B1772"/>
    <mergeCell ref="B1773:B1779"/>
    <mergeCell ref="B1703:B1709"/>
    <mergeCell ref="B1710:B1716"/>
    <mergeCell ref="B1717:B1723"/>
    <mergeCell ref="B1724:B1730"/>
    <mergeCell ref="B1731:B1737"/>
    <mergeCell ref="B1738:B1744"/>
    <mergeCell ref="B1745:B175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01" t="s">
        <v>0</v>
      </c>
      <c r="B1" s="101" t="s">
        <v>1</v>
      </c>
      <c r="C1" s="101" t="s">
        <v>3</v>
      </c>
      <c r="D1" s="101" t="s">
        <v>4</v>
      </c>
      <c r="E1" s="101" t="s">
        <v>5</v>
      </c>
      <c r="F1" s="101" t="s">
        <v>76</v>
      </c>
      <c r="G1" s="101" t="s">
        <v>77</v>
      </c>
      <c r="H1" s="101" t="s">
        <v>78</v>
      </c>
      <c r="I1" s="101" t="s">
        <v>79</v>
      </c>
      <c r="J1" s="101" t="s">
        <v>80</v>
      </c>
      <c r="K1" s="101" t="s">
        <v>81</v>
      </c>
      <c r="L1" s="101" t="s">
        <v>82</v>
      </c>
      <c r="M1" s="101" t="s">
        <v>83</v>
      </c>
      <c r="N1" s="101" t="s">
        <v>84</v>
      </c>
      <c r="O1" s="101" t="s">
        <v>85</v>
      </c>
      <c r="P1" s="101" t="s">
        <v>86</v>
      </c>
      <c r="Q1" s="101" t="s">
        <v>87</v>
      </c>
      <c r="R1" s="101" t="s">
        <v>88</v>
      </c>
      <c r="S1" s="101" t="s">
        <v>89</v>
      </c>
      <c r="T1" s="101" t="s">
        <v>90</v>
      </c>
      <c r="U1" s="101" t="s">
        <v>91</v>
      </c>
      <c r="V1" s="101" t="s">
        <v>92</v>
      </c>
      <c r="W1" s="101" t="s">
        <v>93</v>
      </c>
      <c r="X1" s="101" t="s">
        <v>94</v>
      </c>
      <c r="Y1" s="101" t="s">
        <v>95</v>
      </c>
      <c r="Z1" s="101" t="s">
        <v>96</v>
      </c>
      <c r="AA1" s="101" t="s">
        <v>97</v>
      </c>
      <c r="AB1" s="101" t="s">
        <v>98</v>
      </c>
      <c r="AC1" s="101" t="s">
        <v>99</v>
      </c>
      <c r="AD1" s="101" t="s">
        <v>100</v>
      </c>
      <c r="AE1" s="101" t="s">
        <v>101</v>
      </c>
      <c r="AF1" s="101" t="s">
        <v>102</v>
      </c>
      <c r="AG1" s="101" t="s">
        <v>103</v>
      </c>
      <c r="AH1" s="101" t="s">
        <v>104</v>
      </c>
      <c r="AI1" s="101" t="s">
        <v>105</v>
      </c>
      <c r="AJ1" s="101" t="s">
        <v>106</v>
      </c>
      <c r="AK1" s="101" t="s">
        <v>107</v>
      </c>
      <c r="AL1" s="101" t="s">
        <v>108</v>
      </c>
      <c r="AM1" s="101" t="s">
        <v>109</v>
      </c>
      <c r="AN1" s="101" t="s">
        <v>110</v>
      </c>
      <c r="AO1" s="101" t="s">
        <v>111</v>
      </c>
      <c r="AP1" s="101" t="s">
        <v>112</v>
      </c>
      <c r="AQ1" s="101" t="s">
        <v>113</v>
      </c>
      <c r="AR1" s="101" t="s">
        <v>114</v>
      </c>
      <c r="AS1" s="101" t="s">
        <v>115</v>
      </c>
      <c r="AT1" s="101" t="s">
        <v>116</v>
      </c>
      <c r="AU1" s="101" t="s">
        <v>117</v>
      </c>
      <c r="AV1" s="101" t="s">
        <v>118</v>
      </c>
      <c r="AW1" s="101" t="s">
        <v>119</v>
      </c>
      <c r="AX1" s="101" t="s">
        <v>120</v>
      </c>
      <c r="AY1" s="101" t="s">
        <v>121</v>
      </c>
      <c r="AZ1" s="101" t="s">
        <v>122</v>
      </c>
      <c r="BA1" s="101" t="s">
        <v>123</v>
      </c>
      <c r="BB1" s="101" t="s">
        <v>124</v>
      </c>
      <c r="BC1" s="101" t="s">
        <v>125</v>
      </c>
      <c r="BD1" s="101" t="s">
        <v>126</v>
      </c>
      <c r="BE1" s="101" t="s">
        <v>127</v>
      </c>
      <c r="BF1" s="101" t="s">
        <v>128</v>
      </c>
      <c r="BG1" s="101" t="s">
        <v>129</v>
      </c>
      <c r="BH1" s="101" t="s">
        <v>130</v>
      </c>
      <c r="BI1" s="101" t="s">
        <v>131</v>
      </c>
      <c r="BJ1" s="101" t="s">
        <v>132</v>
      </c>
      <c r="BK1" s="101" t="s">
        <v>133</v>
      </c>
      <c r="BL1" s="101" t="s">
        <v>134</v>
      </c>
      <c r="BM1" s="101" t="s">
        <v>135</v>
      </c>
      <c r="BN1" s="101" t="s">
        <v>136</v>
      </c>
      <c r="BO1" s="101" t="s">
        <v>137</v>
      </c>
      <c r="BP1" s="101" t="s">
        <v>138</v>
      </c>
      <c r="BQ1" s="101" t="s">
        <v>139</v>
      </c>
      <c r="BR1" s="101" t="s">
        <v>140</v>
      </c>
      <c r="BS1" s="101" t="s">
        <v>141</v>
      </c>
      <c r="BT1" s="101" t="s">
        <v>142</v>
      </c>
      <c r="BU1" s="101" t="s">
        <v>143</v>
      </c>
      <c r="BV1" s="101" t="s">
        <v>144</v>
      </c>
      <c r="BW1" s="101" t="s">
        <v>145</v>
      </c>
      <c r="BX1" s="101" t="s">
        <v>146</v>
      </c>
      <c r="BY1" s="101" t="s">
        <v>147</v>
      </c>
      <c r="BZ1" s="101" t="s">
        <v>148</v>
      </c>
      <c r="CA1" s="101" t="s">
        <v>149</v>
      </c>
      <c r="CB1" s="101" t="s">
        <v>150</v>
      </c>
      <c r="CC1" s="101" t="s">
        <v>151</v>
      </c>
      <c r="CD1" s="101" t="s">
        <v>152</v>
      </c>
      <c r="CE1" s="101" t="s">
        <v>153</v>
      </c>
      <c r="CF1" s="101" t="s">
        <v>154</v>
      </c>
      <c r="CG1" s="101" t="s">
        <v>155</v>
      </c>
      <c r="CH1" s="101" t="s">
        <v>156</v>
      </c>
      <c r="CI1" s="101" t="s">
        <v>157</v>
      </c>
      <c r="CJ1" s="101" t="s">
        <v>158</v>
      </c>
      <c r="CK1" s="101" t="s">
        <v>159</v>
      </c>
      <c r="CL1" s="101" t="s">
        <v>160</v>
      </c>
      <c r="CM1" s="101" t="s">
        <v>161</v>
      </c>
      <c r="CN1" s="101" t="s">
        <v>162</v>
      </c>
      <c r="CO1" s="101" t="s">
        <v>163</v>
      </c>
      <c r="CP1" s="101" t="s">
        <v>164</v>
      </c>
      <c r="CQ1" s="101" t="s">
        <v>165</v>
      </c>
      <c r="CR1" s="101" t="s">
        <v>166</v>
      </c>
      <c r="CS1" s="101" t="s">
        <v>167</v>
      </c>
      <c r="CT1" s="101" t="s">
        <v>168</v>
      </c>
      <c r="CU1" s="101" t="s">
        <v>169</v>
      </c>
      <c r="CV1" s="101" t="s">
        <v>170</v>
      </c>
      <c r="CW1" s="101" t="s">
        <v>171</v>
      </c>
      <c r="CX1" s="101" t="s">
        <v>172</v>
      </c>
      <c r="CY1" s="101" t="s">
        <v>173</v>
      </c>
      <c r="CZ1" s="101" t="s">
        <v>174</v>
      </c>
      <c r="DA1" s="101" t="s">
        <v>175</v>
      </c>
      <c r="DB1" s="101" t="s">
        <v>176</v>
      </c>
      <c r="DC1" s="101" t="s">
        <v>177</v>
      </c>
      <c r="DD1" s="101" t="s">
        <v>178</v>
      </c>
      <c r="DE1" s="101" t="s">
        <v>179</v>
      </c>
      <c r="DF1" s="101" t="s">
        <v>180</v>
      </c>
      <c r="DG1" s="101" t="s">
        <v>181</v>
      </c>
      <c r="DH1" s="101" t="s">
        <v>182</v>
      </c>
      <c r="DI1" s="101" t="s">
        <v>183</v>
      </c>
      <c r="DJ1" s="101" t="s">
        <v>184</v>
      </c>
      <c r="DK1" s="101" t="s">
        <v>185</v>
      </c>
      <c r="DL1" s="101" t="s">
        <v>186</v>
      </c>
      <c r="DM1" s="101" t="s">
        <v>187</v>
      </c>
      <c r="DN1" s="101" t="s">
        <v>188</v>
      </c>
      <c r="DO1" s="101" t="s">
        <v>189</v>
      </c>
      <c r="DP1" s="101" t="s">
        <v>190</v>
      </c>
      <c r="DQ1" s="101" t="s">
        <v>191</v>
      </c>
      <c r="DR1" s="101" t="s">
        <v>192</v>
      </c>
      <c r="DS1" s="101" t="s">
        <v>193</v>
      </c>
      <c r="DT1" s="101" t="s">
        <v>194</v>
      </c>
      <c r="DU1" s="101" t="s">
        <v>195</v>
      </c>
      <c r="DV1" s="101" t="s">
        <v>196</v>
      </c>
      <c r="DW1" s="101" t="s">
        <v>197</v>
      </c>
      <c r="DX1" s="101" t="s">
        <v>198</v>
      </c>
      <c r="DY1" s="101" t="s">
        <v>199</v>
      </c>
      <c r="DZ1" s="101" t="s">
        <v>200</v>
      </c>
    </row>
    <row r="2">
      <c r="A2" s="102">
        <v>45343.0</v>
      </c>
      <c r="B2" s="101" t="s">
        <v>41</v>
      </c>
      <c r="C2" s="101">
        <v>11.0</v>
      </c>
      <c r="D2" s="101">
        <v>11.0</v>
      </c>
      <c r="E2" s="101">
        <v>28.0</v>
      </c>
      <c r="F2" s="101">
        <v>20.0</v>
      </c>
      <c r="G2" s="101">
        <v>0.0</v>
      </c>
      <c r="H2" s="101">
        <v>0.0</v>
      </c>
      <c r="I2" s="101">
        <v>0.0</v>
      </c>
      <c r="J2" s="101">
        <v>0.0</v>
      </c>
      <c r="K2" s="101">
        <v>0.0</v>
      </c>
      <c r="L2" s="101">
        <v>4.0</v>
      </c>
      <c r="M2" s="101">
        <v>6.0</v>
      </c>
      <c r="N2" s="101">
        <v>5.0</v>
      </c>
      <c r="R2" s="101">
        <f t="shared" ref="R2:R115" si="1">SUM(L2:Q2)</f>
        <v>15</v>
      </c>
      <c r="T2" s="101">
        <v>5.0</v>
      </c>
      <c r="U2" s="101">
        <v>2.0</v>
      </c>
      <c r="Y2" s="101">
        <f t="shared" ref="Y2:Y115" si="2">SUM(S2:X2)</f>
        <v>7</v>
      </c>
      <c r="Z2" s="101">
        <v>8.0</v>
      </c>
      <c r="AA2" s="101">
        <v>8.0</v>
      </c>
      <c r="AF2" s="101">
        <f t="shared" ref="AF2:AF115" si="3">SUM(Z2:AE2)</f>
        <v>16</v>
      </c>
      <c r="AH2" s="101">
        <v>1.0</v>
      </c>
      <c r="AI2" s="101">
        <v>1.0</v>
      </c>
      <c r="AM2" s="101">
        <f t="shared" ref="AM2:AM115" si="4">SUM(AG2:AL2)</f>
        <v>2</v>
      </c>
      <c r="AP2" s="101">
        <v>2.0</v>
      </c>
      <c r="AT2" s="101">
        <f t="shared" ref="AT2:AT115" si="5">SUM(AN2:AS2)</f>
        <v>2</v>
      </c>
      <c r="AW2" s="101">
        <v>3.0</v>
      </c>
      <c r="BA2" s="101">
        <f t="shared" ref="BA2:BA115" si="6">SUM(AU2:AZ2)</f>
        <v>3</v>
      </c>
      <c r="BH2" s="101">
        <f t="shared" ref="BH2:BH115" si="7">SUM(BB2:BG2)</f>
        <v>0</v>
      </c>
      <c r="BJ2" s="101">
        <v>1.0</v>
      </c>
      <c r="BO2" s="101">
        <f t="shared" ref="BO2:BO115" si="8">SUM(BI2:BN2)</f>
        <v>1</v>
      </c>
      <c r="BR2" s="101">
        <v>3.0</v>
      </c>
      <c r="BV2" s="101">
        <f t="shared" ref="BV2:BV115" si="9">SUM(BP2:BU2)</f>
        <v>3</v>
      </c>
      <c r="CC2" s="101">
        <f t="shared" ref="CC2:CC115" si="10">SUM(BW2:CB2)</f>
        <v>0</v>
      </c>
      <c r="CJ2" s="101">
        <f t="shared" ref="CJ2:CJ115" si="11">SUM(CD2:CI2)</f>
        <v>0</v>
      </c>
      <c r="CQ2" s="101">
        <f t="shared" ref="CQ2:CQ115" si="12">SUM(CK2:CP2)</f>
        <v>0</v>
      </c>
      <c r="CX2" s="101">
        <f t="shared" ref="CX2:CX115" si="13">SUM(CR2:CW2)</f>
        <v>0</v>
      </c>
      <c r="DE2" s="101">
        <f t="shared" ref="DE2:DE115" si="14">SUM(CY2:DD2)</f>
        <v>0</v>
      </c>
      <c r="DL2" s="101">
        <f t="shared" ref="DL2:DL115" si="15">SUM(DF2:DK2)</f>
        <v>0</v>
      </c>
      <c r="DS2" s="101">
        <f t="shared" ref="DS2:DS115" si="16">SUM(DM2:DR2)</f>
        <v>0</v>
      </c>
      <c r="DZ2" s="101">
        <f t="shared" ref="DZ2:DZ115" si="17">SUM(DT2:DY2)</f>
        <v>0</v>
      </c>
    </row>
    <row r="3">
      <c r="A3" s="102">
        <v>45343.0</v>
      </c>
      <c r="B3" s="101" t="s">
        <v>42</v>
      </c>
      <c r="C3" s="101">
        <v>10.0</v>
      </c>
      <c r="D3" s="101">
        <v>9.0</v>
      </c>
      <c r="E3" s="101">
        <v>28.0</v>
      </c>
      <c r="F3" s="101">
        <v>0.0</v>
      </c>
      <c r="G3" s="101">
        <v>0.0</v>
      </c>
      <c r="H3" s="101">
        <v>60.0</v>
      </c>
      <c r="I3" s="101">
        <v>20.0</v>
      </c>
      <c r="J3" s="101">
        <v>0.0</v>
      </c>
      <c r="K3" s="101">
        <v>0.0</v>
      </c>
      <c r="L3" s="101">
        <v>13.0</v>
      </c>
      <c r="M3" s="101">
        <v>13.0</v>
      </c>
      <c r="N3" s="101">
        <v>4.0</v>
      </c>
      <c r="R3" s="101">
        <f t="shared" si="1"/>
        <v>30</v>
      </c>
      <c r="S3" s="101">
        <v>4.0</v>
      </c>
      <c r="T3" s="101">
        <v>2.0</v>
      </c>
      <c r="Y3" s="101">
        <f t="shared" si="2"/>
        <v>6</v>
      </c>
      <c r="Z3" s="101">
        <v>30.0</v>
      </c>
      <c r="AA3" s="101">
        <v>8.0</v>
      </c>
      <c r="AF3" s="101">
        <f t="shared" si="3"/>
        <v>38</v>
      </c>
      <c r="AJ3" s="101">
        <v>2.0</v>
      </c>
      <c r="AM3" s="101">
        <f t="shared" si="4"/>
        <v>2</v>
      </c>
      <c r="AP3" s="101">
        <v>1.0</v>
      </c>
      <c r="AT3" s="101">
        <f t="shared" si="5"/>
        <v>1</v>
      </c>
      <c r="AW3" s="101">
        <v>1.0</v>
      </c>
      <c r="BA3" s="101">
        <f t="shared" si="6"/>
        <v>1</v>
      </c>
      <c r="BH3" s="101">
        <f t="shared" si="7"/>
        <v>0</v>
      </c>
      <c r="BI3" s="101">
        <v>1.0</v>
      </c>
      <c r="BJ3" s="101">
        <v>2.0</v>
      </c>
      <c r="BO3" s="101">
        <f t="shared" si="8"/>
        <v>3</v>
      </c>
      <c r="BQ3" s="101">
        <v>2.0</v>
      </c>
      <c r="BR3" s="101">
        <v>1.0</v>
      </c>
      <c r="BV3" s="101">
        <f t="shared" si="9"/>
        <v>3</v>
      </c>
      <c r="CC3" s="101">
        <f t="shared" si="10"/>
        <v>0</v>
      </c>
      <c r="CJ3" s="101">
        <f t="shared" si="11"/>
        <v>0</v>
      </c>
      <c r="CQ3" s="101">
        <f t="shared" si="12"/>
        <v>0</v>
      </c>
      <c r="CX3" s="101">
        <f t="shared" si="13"/>
        <v>0</v>
      </c>
      <c r="DE3" s="101">
        <f t="shared" si="14"/>
        <v>0</v>
      </c>
      <c r="DL3" s="101">
        <f t="shared" si="15"/>
        <v>0</v>
      </c>
      <c r="DS3" s="101">
        <f t="shared" si="16"/>
        <v>0</v>
      </c>
      <c r="DZ3" s="101">
        <f t="shared" si="17"/>
        <v>0</v>
      </c>
    </row>
    <row r="4">
      <c r="A4" s="102">
        <v>45344.0</v>
      </c>
      <c r="B4" s="101" t="s">
        <v>43</v>
      </c>
      <c r="C4" s="101">
        <v>5.0</v>
      </c>
      <c r="D4" s="101">
        <v>6.0</v>
      </c>
      <c r="E4" s="101">
        <v>28.0</v>
      </c>
      <c r="F4" s="101">
        <v>0.0</v>
      </c>
      <c r="G4" s="101">
        <v>10.0</v>
      </c>
      <c r="H4" s="101">
        <v>0.0</v>
      </c>
      <c r="I4" s="101">
        <v>30.0</v>
      </c>
      <c r="J4" s="101">
        <v>0.0</v>
      </c>
      <c r="K4" s="101">
        <v>20.0</v>
      </c>
      <c r="L4" s="101">
        <v>3.0</v>
      </c>
      <c r="M4" s="101">
        <v>5.0</v>
      </c>
      <c r="N4" s="101">
        <v>1.0</v>
      </c>
      <c r="R4" s="101">
        <f t="shared" si="1"/>
        <v>9</v>
      </c>
      <c r="S4" s="101">
        <v>1.0</v>
      </c>
      <c r="T4" s="101">
        <v>3.0</v>
      </c>
      <c r="Y4" s="101">
        <f t="shared" si="2"/>
        <v>4</v>
      </c>
      <c r="Z4" s="101">
        <v>30.0</v>
      </c>
      <c r="AA4" s="101">
        <v>6.0</v>
      </c>
      <c r="AF4" s="101">
        <f t="shared" si="3"/>
        <v>36</v>
      </c>
      <c r="AM4" s="101">
        <f t="shared" si="4"/>
        <v>0</v>
      </c>
      <c r="AQ4" s="101">
        <v>1.0</v>
      </c>
      <c r="AT4" s="101">
        <f t="shared" si="5"/>
        <v>1</v>
      </c>
      <c r="BA4" s="101">
        <f t="shared" si="6"/>
        <v>0</v>
      </c>
      <c r="BH4" s="101">
        <f t="shared" si="7"/>
        <v>0</v>
      </c>
      <c r="BI4" s="101">
        <v>1.0</v>
      </c>
      <c r="BJ4" s="101">
        <v>1.0</v>
      </c>
      <c r="BO4" s="101">
        <f t="shared" si="8"/>
        <v>2</v>
      </c>
      <c r="BQ4" s="101">
        <v>1.0</v>
      </c>
      <c r="BR4" s="101">
        <v>1.0</v>
      </c>
      <c r="BV4" s="101">
        <f t="shared" si="9"/>
        <v>2</v>
      </c>
      <c r="CC4" s="101">
        <f t="shared" si="10"/>
        <v>0</v>
      </c>
      <c r="CJ4" s="101">
        <f t="shared" si="11"/>
        <v>0</v>
      </c>
      <c r="CQ4" s="101">
        <f t="shared" si="12"/>
        <v>0</v>
      </c>
      <c r="CX4" s="101">
        <f t="shared" si="13"/>
        <v>0</v>
      </c>
      <c r="DE4" s="101">
        <f t="shared" si="14"/>
        <v>0</v>
      </c>
      <c r="DL4" s="101">
        <f t="shared" si="15"/>
        <v>0</v>
      </c>
      <c r="DS4" s="101">
        <f t="shared" si="16"/>
        <v>0</v>
      </c>
      <c r="DZ4" s="101">
        <f t="shared" si="17"/>
        <v>0</v>
      </c>
    </row>
    <row r="5">
      <c r="A5" s="102">
        <v>45344.0</v>
      </c>
      <c r="B5" s="101" t="s">
        <v>44</v>
      </c>
      <c r="C5" s="101">
        <v>16.0</v>
      </c>
      <c r="D5" s="101">
        <v>16.0</v>
      </c>
      <c r="E5" s="101">
        <v>27.0</v>
      </c>
      <c r="F5" s="101">
        <v>30.0</v>
      </c>
      <c r="G5" s="101">
        <v>60.0</v>
      </c>
      <c r="H5" s="101">
        <v>0.0</v>
      </c>
      <c r="I5" s="101">
        <v>0.0</v>
      </c>
      <c r="J5" s="101">
        <v>10.0</v>
      </c>
      <c r="K5" s="101">
        <v>20.0</v>
      </c>
      <c r="L5" s="101">
        <v>7.0</v>
      </c>
      <c r="M5" s="101">
        <v>13.0</v>
      </c>
      <c r="N5" s="101">
        <v>9.0</v>
      </c>
      <c r="O5" s="101">
        <v>1.0</v>
      </c>
      <c r="R5" s="101">
        <f t="shared" si="1"/>
        <v>30</v>
      </c>
      <c r="S5" s="101">
        <v>7.0</v>
      </c>
      <c r="T5" s="101">
        <v>3.0</v>
      </c>
      <c r="U5" s="101">
        <v>2.0</v>
      </c>
      <c r="Y5" s="101">
        <f t="shared" si="2"/>
        <v>12</v>
      </c>
      <c r="Z5" s="101">
        <v>6.0</v>
      </c>
      <c r="AA5" s="101">
        <v>8.0</v>
      </c>
      <c r="AF5" s="101">
        <f t="shared" si="3"/>
        <v>14</v>
      </c>
      <c r="AH5" s="101">
        <v>2.0</v>
      </c>
      <c r="AI5" s="101">
        <v>7.0</v>
      </c>
      <c r="AM5" s="101">
        <f t="shared" si="4"/>
        <v>9</v>
      </c>
      <c r="AO5" s="101">
        <v>11.0</v>
      </c>
      <c r="AP5" s="101">
        <v>8.0</v>
      </c>
      <c r="AT5" s="101">
        <f t="shared" si="5"/>
        <v>19</v>
      </c>
      <c r="AV5" s="101">
        <v>1.0</v>
      </c>
      <c r="AW5" s="101">
        <v>1.0</v>
      </c>
      <c r="BA5" s="101">
        <f t="shared" si="6"/>
        <v>2</v>
      </c>
      <c r="BE5" s="101">
        <v>1.0</v>
      </c>
      <c r="BH5" s="101">
        <f t="shared" si="7"/>
        <v>1</v>
      </c>
      <c r="BO5" s="101">
        <f t="shared" si="8"/>
        <v>0</v>
      </c>
      <c r="BR5" s="101">
        <v>1.0</v>
      </c>
      <c r="BV5" s="101">
        <f t="shared" si="9"/>
        <v>1</v>
      </c>
      <c r="CC5" s="101">
        <f t="shared" si="10"/>
        <v>0</v>
      </c>
      <c r="CJ5" s="101">
        <f t="shared" si="11"/>
        <v>0</v>
      </c>
      <c r="CQ5" s="101">
        <f t="shared" si="12"/>
        <v>0</v>
      </c>
      <c r="CX5" s="101">
        <f t="shared" si="13"/>
        <v>0</v>
      </c>
      <c r="DE5" s="101">
        <f t="shared" si="14"/>
        <v>0</v>
      </c>
      <c r="DL5" s="101">
        <f t="shared" si="15"/>
        <v>0</v>
      </c>
      <c r="DS5" s="101">
        <f t="shared" si="16"/>
        <v>0</v>
      </c>
      <c r="DZ5" s="101">
        <f t="shared" si="17"/>
        <v>0</v>
      </c>
    </row>
    <row r="6">
      <c r="A6" s="102">
        <v>45345.0</v>
      </c>
      <c r="B6" s="101" t="s">
        <v>41</v>
      </c>
      <c r="C6" s="101">
        <v>10.0</v>
      </c>
      <c r="D6" s="101">
        <v>11.0</v>
      </c>
      <c r="E6" s="101">
        <v>28.0</v>
      </c>
      <c r="F6" s="101">
        <v>30.0</v>
      </c>
      <c r="G6" s="101">
        <v>5.0</v>
      </c>
      <c r="H6" s="101">
        <v>0.0</v>
      </c>
      <c r="I6" s="101">
        <v>0.0</v>
      </c>
      <c r="J6" s="101">
        <v>45.0</v>
      </c>
      <c r="K6" s="101">
        <v>0.0</v>
      </c>
      <c r="L6" s="101">
        <v>6.0</v>
      </c>
      <c r="M6" s="101">
        <v>12.0</v>
      </c>
      <c r="N6" s="101">
        <v>17.0</v>
      </c>
      <c r="R6" s="101">
        <f t="shared" si="1"/>
        <v>35</v>
      </c>
      <c r="S6" s="101">
        <v>7.0</v>
      </c>
      <c r="T6" s="101">
        <v>14.0</v>
      </c>
      <c r="Y6" s="101">
        <f t="shared" si="2"/>
        <v>21</v>
      </c>
      <c r="Z6" s="101">
        <v>6.0</v>
      </c>
      <c r="AA6" s="101">
        <v>4.0</v>
      </c>
      <c r="AF6" s="101">
        <f t="shared" si="3"/>
        <v>10</v>
      </c>
      <c r="AM6" s="101">
        <f t="shared" si="4"/>
        <v>0</v>
      </c>
      <c r="AO6" s="101">
        <v>1.0</v>
      </c>
      <c r="AP6" s="101">
        <v>1.0</v>
      </c>
      <c r="AQ6" s="101">
        <v>3.0</v>
      </c>
      <c r="AT6" s="101">
        <f t="shared" si="5"/>
        <v>5</v>
      </c>
      <c r="BA6" s="101">
        <f t="shared" si="6"/>
        <v>0</v>
      </c>
      <c r="BH6" s="101">
        <f t="shared" si="7"/>
        <v>0</v>
      </c>
      <c r="BI6" s="101">
        <v>2.0</v>
      </c>
      <c r="BJ6" s="101">
        <v>1.0</v>
      </c>
      <c r="BO6" s="101">
        <f t="shared" si="8"/>
        <v>3</v>
      </c>
      <c r="BR6" s="101">
        <v>1.0</v>
      </c>
      <c r="BV6" s="101">
        <f t="shared" si="9"/>
        <v>1</v>
      </c>
      <c r="CC6" s="101">
        <f t="shared" si="10"/>
        <v>0</v>
      </c>
      <c r="CJ6" s="101">
        <f t="shared" si="11"/>
        <v>0</v>
      </c>
      <c r="CN6" s="101">
        <v>2.0</v>
      </c>
      <c r="CQ6" s="101">
        <f t="shared" si="12"/>
        <v>2</v>
      </c>
      <c r="CX6" s="101">
        <f t="shared" si="13"/>
        <v>0</v>
      </c>
      <c r="DE6" s="101">
        <f t="shared" si="14"/>
        <v>0</v>
      </c>
      <c r="DL6" s="101">
        <f t="shared" si="15"/>
        <v>0</v>
      </c>
      <c r="DS6" s="101">
        <f t="shared" si="16"/>
        <v>0</v>
      </c>
      <c r="DZ6" s="101">
        <f t="shared" si="17"/>
        <v>0</v>
      </c>
    </row>
    <row r="7">
      <c r="A7" s="102">
        <v>45345.0</v>
      </c>
      <c r="B7" s="101" t="s">
        <v>42</v>
      </c>
      <c r="C7" s="101">
        <v>8.0</v>
      </c>
      <c r="D7" s="101">
        <v>7.0</v>
      </c>
      <c r="E7" s="101">
        <v>28.0</v>
      </c>
      <c r="F7" s="101">
        <v>0.0</v>
      </c>
      <c r="G7" s="101">
        <v>0.0</v>
      </c>
      <c r="H7" s="101">
        <v>0.0</v>
      </c>
      <c r="I7" s="101">
        <v>0.0</v>
      </c>
      <c r="J7" s="101">
        <v>0.0</v>
      </c>
      <c r="K7" s="101">
        <v>25.0</v>
      </c>
      <c r="L7" s="101">
        <v>4.0</v>
      </c>
      <c r="M7" s="101">
        <v>25.0</v>
      </c>
      <c r="N7" s="101">
        <v>8.0</v>
      </c>
      <c r="O7" s="101">
        <v>3.0</v>
      </c>
      <c r="R7" s="101">
        <f t="shared" si="1"/>
        <v>40</v>
      </c>
      <c r="S7" s="101">
        <v>1.0</v>
      </c>
      <c r="T7" s="101">
        <v>9.0</v>
      </c>
      <c r="U7" s="101">
        <v>1.0</v>
      </c>
      <c r="Y7" s="101">
        <f t="shared" si="2"/>
        <v>11</v>
      </c>
      <c r="Z7" s="101">
        <v>16.0</v>
      </c>
      <c r="AA7" s="101">
        <v>9.0</v>
      </c>
      <c r="AF7" s="101">
        <f t="shared" si="3"/>
        <v>25</v>
      </c>
      <c r="AI7" s="101">
        <v>3.0</v>
      </c>
      <c r="AJ7" s="101">
        <v>2.0</v>
      </c>
      <c r="AK7" s="101">
        <v>1.0</v>
      </c>
      <c r="AM7" s="101">
        <f t="shared" si="4"/>
        <v>6</v>
      </c>
      <c r="AQ7" s="101">
        <v>2.0</v>
      </c>
      <c r="AT7" s="101">
        <f t="shared" si="5"/>
        <v>2</v>
      </c>
      <c r="AW7" s="101">
        <v>1.0</v>
      </c>
      <c r="BA7" s="101">
        <f t="shared" si="6"/>
        <v>1</v>
      </c>
      <c r="BH7" s="101">
        <f t="shared" si="7"/>
        <v>0</v>
      </c>
      <c r="BJ7" s="101">
        <v>2.0</v>
      </c>
      <c r="BK7" s="101">
        <v>1.0</v>
      </c>
      <c r="BO7" s="101">
        <f t="shared" si="8"/>
        <v>3</v>
      </c>
      <c r="BV7" s="101">
        <f t="shared" si="9"/>
        <v>0</v>
      </c>
      <c r="CC7" s="101">
        <f t="shared" si="10"/>
        <v>0</v>
      </c>
      <c r="CJ7" s="101">
        <f t="shared" si="11"/>
        <v>0</v>
      </c>
      <c r="CQ7" s="101">
        <f t="shared" si="12"/>
        <v>0</v>
      </c>
      <c r="CX7" s="101">
        <f t="shared" si="13"/>
        <v>0</v>
      </c>
      <c r="DE7" s="101">
        <f t="shared" si="14"/>
        <v>0</v>
      </c>
      <c r="DL7" s="101">
        <f t="shared" si="15"/>
        <v>0</v>
      </c>
      <c r="DS7" s="101">
        <f t="shared" si="16"/>
        <v>0</v>
      </c>
      <c r="DZ7" s="101">
        <f t="shared" si="17"/>
        <v>0</v>
      </c>
    </row>
    <row r="8">
      <c r="A8" s="102">
        <v>45348.0</v>
      </c>
      <c r="B8" s="101" t="s">
        <v>43</v>
      </c>
      <c r="C8" s="101">
        <v>8.0</v>
      </c>
      <c r="D8" s="101">
        <v>8.0</v>
      </c>
      <c r="E8" s="101">
        <v>27.0</v>
      </c>
      <c r="F8" s="101">
        <v>0.0</v>
      </c>
      <c r="G8" s="101">
        <v>30.0</v>
      </c>
      <c r="H8" s="101">
        <v>20.0</v>
      </c>
      <c r="I8" s="101">
        <v>0.0</v>
      </c>
      <c r="J8" s="101">
        <v>40.0</v>
      </c>
      <c r="K8" s="101">
        <v>0.0</v>
      </c>
      <c r="L8" s="101">
        <v>12.0</v>
      </c>
      <c r="M8" s="101">
        <v>12.0</v>
      </c>
      <c r="N8" s="101">
        <v>8.0</v>
      </c>
      <c r="O8" s="101">
        <v>1.0</v>
      </c>
      <c r="R8" s="101">
        <f t="shared" si="1"/>
        <v>33</v>
      </c>
      <c r="Y8" s="101">
        <f t="shared" si="2"/>
        <v>0</v>
      </c>
      <c r="Z8" s="101">
        <v>23.0</v>
      </c>
      <c r="AA8" s="101">
        <v>14.0</v>
      </c>
      <c r="AF8" s="101">
        <f t="shared" si="3"/>
        <v>37</v>
      </c>
      <c r="AM8" s="101">
        <f t="shared" si="4"/>
        <v>0</v>
      </c>
      <c r="AT8" s="101">
        <f t="shared" si="5"/>
        <v>0</v>
      </c>
      <c r="BA8" s="101">
        <f t="shared" si="6"/>
        <v>0</v>
      </c>
      <c r="BH8" s="101">
        <f t="shared" si="7"/>
        <v>0</v>
      </c>
      <c r="BI8" s="101">
        <v>1.0</v>
      </c>
      <c r="BJ8" s="101">
        <v>1.0</v>
      </c>
      <c r="BO8" s="101">
        <f t="shared" si="8"/>
        <v>2</v>
      </c>
      <c r="BQ8" s="101">
        <v>2.0</v>
      </c>
      <c r="BR8" s="101">
        <v>3.0</v>
      </c>
      <c r="BV8" s="101">
        <f t="shared" si="9"/>
        <v>5</v>
      </c>
      <c r="CC8" s="101">
        <f t="shared" si="10"/>
        <v>0</v>
      </c>
      <c r="CJ8" s="101">
        <f t="shared" si="11"/>
        <v>0</v>
      </c>
      <c r="CQ8" s="101">
        <f t="shared" si="12"/>
        <v>0</v>
      </c>
      <c r="CX8" s="101">
        <f t="shared" si="13"/>
        <v>0</v>
      </c>
      <c r="DE8" s="101">
        <f t="shared" si="14"/>
        <v>0</v>
      </c>
      <c r="DL8" s="101">
        <f t="shared" si="15"/>
        <v>0</v>
      </c>
      <c r="DS8" s="101">
        <f t="shared" si="16"/>
        <v>0</v>
      </c>
      <c r="DZ8" s="101">
        <f t="shared" si="17"/>
        <v>0</v>
      </c>
    </row>
    <row r="9">
      <c r="A9" s="102">
        <v>45348.0</v>
      </c>
      <c r="B9" s="101" t="s">
        <v>44</v>
      </c>
      <c r="C9" s="101">
        <v>14.0</v>
      </c>
      <c r="D9" s="101">
        <v>13.0</v>
      </c>
      <c r="E9" s="101">
        <v>28.0</v>
      </c>
      <c r="F9" s="101">
        <v>60.0</v>
      </c>
      <c r="G9" s="101">
        <v>10.0</v>
      </c>
      <c r="H9" s="101">
        <v>0.0</v>
      </c>
      <c r="I9" s="101">
        <v>5.0</v>
      </c>
      <c r="J9" s="101">
        <v>0.0</v>
      </c>
      <c r="K9" s="101">
        <v>35.0</v>
      </c>
      <c r="L9" s="101">
        <v>9.0</v>
      </c>
      <c r="M9" s="101">
        <v>8.0</v>
      </c>
      <c r="N9" s="101">
        <v>7.0</v>
      </c>
      <c r="O9" s="101">
        <v>1.0</v>
      </c>
      <c r="R9" s="101">
        <f t="shared" si="1"/>
        <v>25</v>
      </c>
      <c r="S9" s="101">
        <v>3.0</v>
      </c>
      <c r="T9" s="101">
        <v>2.0</v>
      </c>
      <c r="U9" s="101">
        <v>1.0</v>
      </c>
      <c r="Y9" s="101">
        <f t="shared" si="2"/>
        <v>6</v>
      </c>
      <c r="Z9" s="101">
        <v>11.0</v>
      </c>
      <c r="AA9" s="101">
        <v>10.0</v>
      </c>
      <c r="AF9" s="101">
        <f t="shared" si="3"/>
        <v>21</v>
      </c>
      <c r="AM9" s="101">
        <f t="shared" si="4"/>
        <v>0</v>
      </c>
      <c r="AO9" s="101">
        <v>11.0</v>
      </c>
      <c r="AP9" s="101">
        <v>13.0</v>
      </c>
      <c r="AQ9" s="101">
        <v>3.0</v>
      </c>
      <c r="AT9" s="101">
        <f t="shared" si="5"/>
        <v>27</v>
      </c>
      <c r="AW9" s="101">
        <v>1.0</v>
      </c>
      <c r="BA9" s="101">
        <f t="shared" si="6"/>
        <v>1</v>
      </c>
      <c r="BH9" s="101">
        <f t="shared" si="7"/>
        <v>0</v>
      </c>
      <c r="BJ9" s="101">
        <v>1.0</v>
      </c>
      <c r="BO9" s="101">
        <f t="shared" si="8"/>
        <v>1</v>
      </c>
      <c r="BR9" s="101">
        <v>2.0</v>
      </c>
      <c r="BV9" s="101">
        <f t="shared" si="9"/>
        <v>2</v>
      </c>
      <c r="CC9" s="101">
        <f t="shared" si="10"/>
        <v>0</v>
      </c>
      <c r="CJ9" s="101">
        <f t="shared" si="11"/>
        <v>0</v>
      </c>
      <c r="CQ9" s="101">
        <f t="shared" si="12"/>
        <v>0</v>
      </c>
      <c r="CX9" s="101">
        <f t="shared" si="13"/>
        <v>0</v>
      </c>
      <c r="DE9" s="101">
        <f t="shared" si="14"/>
        <v>0</v>
      </c>
      <c r="DH9" s="101">
        <v>1.0</v>
      </c>
      <c r="DL9" s="101">
        <f t="shared" si="15"/>
        <v>1</v>
      </c>
      <c r="DS9" s="101">
        <f t="shared" si="16"/>
        <v>0</v>
      </c>
      <c r="DZ9" s="101">
        <f t="shared" si="17"/>
        <v>0</v>
      </c>
    </row>
    <row r="10">
      <c r="A10" s="102">
        <v>45349.0</v>
      </c>
      <c r="B10" s="101" t="s">
        <v>42</v>
      </c>
      <c r="C10" s="101">
        <v>7.0</v>
      </c>
      <c r="D10" s="101">
        <v>8.0</v>
      </c>
      <c r="E10" s="101">
        <v>28.0</v>
      </c>
      <c r="F10" s="101">
        <v>0.0</v>
      </c>
      <c r="G10" s="101">
        <v>20.0</v>
      </c>
      <c r="H10" s="101">
        <v>5.0</v>
      </c>
      <c r="I10" s="101">
        <v>30.0</v>
      </c>
      <c r="J10" s="101">
        <v>0.0</v>
      </c>
      <c r="K10" s="101">
        <v>55.0</v>
      </c>
      <c r="L10" s="101">
        <v>9.0</v>
      </c>
      <c r="M10" s="101">
        <v>18.0</v>
      </c>
      <c r="N10" s="101">
        <v>8.0</v>
      </c>
      <c r="O10" s="101">
        <v>2.0</v>
      </c>
      <c r="R10" s="101">
        <f t="shared" si="1"/>
        <v>37</v>
      </c>
      <c r="T10" s="101">
        <v>6.0</v>
      </c>
      <c r="U10" s="101">
        <v>1.0</v>
      </c>
      <c r="Y10" s="101">
        <f t="shared" si="2"/>
        <v>7</v>
      </c>
      <c r="Z10" s="101">
        <v>10.0</v>
      </c>
      <c r="AA10" s="101">
        <v>15.0</v>
      </c>
      <c r="AF10" s="101">
        <f t="shared" si="3"/>
        <v>25</v>
      </c>
      <c r="AM10" s="101">
        <f t="shared" si="4"/>
        <v>0</v>
      </c>
      <c r="AP10" s="101">
        <v>3.0</v>
      </c>
      <c r="AT10" s="101">
        <f t="shared" si="5"/>
        <v>3</v>
      </c>
      <c r="BA10" s="101">
        <f t="shared" si="6"/>
        <v>0</v>
      </c>
      <c r="BH10" s="101">
        <f t="shared" si="7"/>
        <v>0</v>
      </c>
      <c r="BJ10" s="101">
        <v>2.0</v>
      </c>
      <c r="BK10" s="101">
        <v>1.0</v>
      </c>
      <c r="BO10" s="101">
        <f t="shared" si="8"/>
        <v>3</v>
      </c>
      <c r="BQ10" s="101">
        <v>2.0</v>
      </c>
      <c r="BR10" s="101">
        <v>3.0</v>
      </c>
      <c r="BS10" s="101">
        <v>1.0</v>
      </c>
      <c r="BV10" s="101">
        <f t="shared" si="9"/>
        <v>6</v>
      </c>
      <c r="CB10" s="101">
        <v>1.0</v>
      </c>
      <c r="CC10" s="101">
        <f t="shared" si="10"/>
        <v>1</v>
      </c>
      <c r="CJ10" s="101">
        <f t="shared" si="11"/>
        <v>0</v>
      </c>
      <c r="CQ10" s="101">
        <f t="shared" si="12"/>
        <v>0</v>
      </c>
      <c r="CX10" s="101">
        <f t="shared" si="13"/>
        <v>0</v>
      </c>
      <c r="DE10" s="101">
        <f t="shared" si="14"/>
        <v>0</v>
      </c>
      <c r="DL10" s="101">
        <f t="shared" si="15"/>
        <v>0</v>
      </c>
      <c r="DS10" s="101">
        <f t="shared" si="16"/>
        <v>0</v>
      </c>
      <c r="DZ10" s="101">
        <f t="shared" si="17"/>
        <v>0</v>
      </c>
    </row>
    <row r="11">
      <c r="A11" s="102">
        <v>45349.0</v>
      </c>
      <c r="B11" s="101" t="s">
        <v>45</v>
      </c>
      <c r="C11" s="101">
        <v>10.0</v>
      </c>
      <c r="D11" s="101">
        <v>11.0</v>
      </c>
      <c r="E11" s="101">
        <v>28.0</v>
      </c>
      <c r="F11" s="101">
        <v>15.0</v>
      </c>
      <c r="G11" s="101">
        <v>10.0</v>
      </c>
      <c r="H11" s="101">
        <v>0.0</v>
      </c>
      <c r="I11" s="101">
        <v>25.0</v>
      </c>
      <c r="J11" s="101">
        <v>30.0</v>
      </c>
      <c r="K11" s="101">
        <v>10.0</v>
      </c>
      <c r="L11" s="101">
        <v>15.0</v>
      </c>
      <c r="M11" s="101">
        <v>26.0</v>
      </c>
      <c r="N11" s="101">
        <v>4.0</v>
      </c>
      <c r="O11" s="101">
        <v>1.0</v>
      </c>
      <c r="P11" s="101">
        <v>1.0</v>
      </c>
      <c r="Q11" s="101">
        <v>1.0</v>
      </c>
      <c r="R11" s="101">
        <f t="shared" si="1"/>
        <v>48</v>
      </c>
      <c r="S11" s="101">
        <v>1.0</v>
      </c>
      <c r="T11" s="101">
        <v>5.0</v>
      </c>
      <c r="U11" s="101">
        <v>2.0</v>
      </c>
      <c r="Y11" s="101">
        <f t="shared" si="2"/>
        <v>8</v>
      </c>
      <c r="Z11" s="101">
        <v>19.0</v>
      </c>
      <c r="AA11" s="101">
        <v>16.0</v>
      </c>
      <c r="AB11" s="101">
        <v>2.0</v>
      </c>
      <c r="AF11" s="101">
        <f t="shared" si="3"/>
        <v>37</v>
      </c>
      <c r="AM11" s="101">
        <f t="shared" si="4"/>
        <v>0</v>
      </c>
      <c r="AP11" s="101">
        <v>1.0</v>
      </c>
      <c r="AT11" s="101">
        <f t="shared" si="5"/>
        <v>1</v>
      </c>
      <c r="BA11" s="101">
        <f t="shared" si="6"/>
        <v>0</v>
      </c>
      <c r="BH11" s="101">
        <f t="shared" si="7"/>
        <v>0</v>
      </c>
      <c r="BJ11" s="101">
        <v>1.0</v>
      </c>
      <c r="BK11" s="101">
        <v>3.0</v>
      </c>
      <c r="BO11" s="101">
        <f t="shared" si="8"/>
        <v>4</v>
      </c>
      <c r="BS11" s="101">
        <v>2.0</v>
      </c>
      <c r="BV11" s="101">
        <f t="shared" si="9"/>
        <v>2</v>
      </c>
      <c r="CC11" s="101">
        <f t="shared" si="10"/>
        <v>0</v>
      </c>
      <c r="CJ11" s="101">
        <f t="shared" si="11"/>
        <v>0</v>
      </c>
      <c r="CQ11" s="101">
        <f t="shared" si="12"/>
        <v>0</v>
      </c>
      <c r="CX11" s="101">
        <f t="shared" si="13"/>
        <v>0</v>
      </c>
      <c r="DE11" s="101">
        <f t="shared" si="14"/>
        <v>0</v>
      </c>
      <c r="DJ11" s="101">
        <v>30.0</v>
      </c>
      <c r="DL11" s="101">
        <f t="shared" si="15"/>
        <v>30</v>
      </c>
      <c r="DS11" s="101">
        <f t="shared" si="16"/>
        <v>0</v>
      </c>
      <c r="DZ11" s="101">
        <f t="shared" si="17"/>
        <v>0</v>
      </c>
    </row>
    <row r="12">
      <c r="A12" s="102">
        <v>45350.0</v>
      </c>
      <c r="B12" s="101" t="s">
        <v>201</v>
      </c>
      <c r="C12" s="101">
        <v>9.0</v>
      </c>
      <c r="D12" s="101">
        <v>8.0</v>
      </c>
      <c r="E12" s="101">
        <v>28.0</v>
      </c>
      <c r="F12" s="101">
        <v>0.0</v>
      </c>
      <c r="G12" s="101">
        <v>40.0</v>
      </c>
      <c r="H12" s="101">
        <v>10.0</v>
      </c>
      <c r="I12" s="101">
        <v>30.0</v>
      </c>
      <c r="J12" s="101">
        <v>10.0</v>
      </c>
      <c r="K12" s="101">
        <v>10.0</v>
      </c>
      <c r="M12" s="101">
        <v>18.0</v>
      </c>
      <c r="N12" s="101">
        <v>14.0</v>
      </c>
      <c r="O12" s="101">
        <v>8.0</v>
      </c>
      <c r="P12" s="101">
        <v>1.0</v>
      </c>
      <c r="R12" s="101">
        <f t="shared" si="1"/>
        <v>41</v>
      </c>
      <c r="Y12" s="101">
        <f t="shared" si="2"/>
        <v>0</v>
      </c>
      <c r="Z12" s="101">
        <v>21.0</v>
      </c>
      <c r="AA12" s="101">
        <v>17.0</v>
      </c>
      <c r="AF12" s="101">
        <f t="shared" si="3"/>
        <v>38</v>
      </c>
      <c r="AJ12" s="101">
        <v>1.0</v>
      </c>
      <c r="AM12" s="101">
        <f t="shared" si="4"/>
        <v>1</v>
      </c>
      <c r="AT12" s="101">
        <f t="shared" si="5"/>
        <v>0</v>
      </c>
      <c r="AV12" s="101">
        <v>1.0</v>
      </c>
      <c r="AW12" s="101">
        <v>3.0</v>
      </c>
      <c r="BA12" s="101">
        <f t="shared" si="6"/>
        <v>4</v>
      </c>
      <c r="BH12" s="101">
        <f t="shared" si="7"/>
        <v>0</v>
      </c>
      <c r="BJ12" s="101">
        <v>4.0</v>
      </c>
      <c r="BO12" s="101">
        <f t="shared" si="8"/>
        <v>4</v>
      </c>
      <c r="BR12" s="101">
        <v>4.0</v>
      </c>
      <c r="BS12" s="101">
        <v>2.0</v>
      </c>
      <c r="BV12" s="101">
        <f t="shared" si="9"/>
        <v>6</v>
      </c>
      <c r="CC12" s="101">
        <f t="shared" si="10"/>
        <v>0</v>
      </c>
      <c r="CJ12" s="101">
        <f t="shared" si="11"/>
        <v>0</v>
      </c>
      <c r="CQ12" s="101">
        <f t="shared" si="12"/>
        <v>0</v>
      </c>
      <c r="CX12" s="101">
        <f t="shared" si="13"/>
        <v>0</v>
      </c>
      <c r="DE12" s="101">
        <f t="shared" si="14"/>
        <v>0</v>
      </c>
      <c r="DL12" s="101">
        <f t="shared" si="15"/>
        <v>0</v>
      </c>
      <c r="DS12" s="101">
        <f t="shared" si="16"/>
        <v>0</v>
      </c>
      <c r="DZ12" s="101">
        <f t="shared" si="17"/>
        <v>0</v>
      </c>
    </row>
    <row r="13">
      <c r="A13" s="102">
        <v>45351.0</v>
      </c>
      <c r="B13" s="101" t="s">
        <v>43</v>
      </c>
      <c r="C13" s="101">
        <v>4.0</v>
      </c>
      <c r="D13" s="101">
        <v>4.0</v>
      </c>
      <c r="E13" s="101">
        <v>28.0</v>
      </c>
      <c r="F13" s="101">
        <v>0.0</v>
      </c>
      <c r="G13" s="101">
        <v>15.0</v>
      </c>
      <c r="H13" s="101">
        <v>5.0</v>
      </c>
      <c r="I13" s="101">
        <v>10.0</v>
      </c>
      <c r="J13" s="101">
        <v>5.0</v>
      </c>
      <c r="K13" s="101">
        <v>0.0</v>
      </c>
      <c r="L13" s="101">
        <v>69.0</v>
      </c>
      <c r="M13" s="101">
        <v>3.0</v>
      </c>
      <c r="P13" s="101">
        <v>2.0</v>
      </c>
      <c r="R13" s="101">
        <f t="shared" si="1"/>
        <v>74</v>
      </c>
      <c r="T13" s="101">
        <v>6.0</v>
      </c>
      <c r="Y13" s="101">
        <f t="shared" si="2"/>
        <v>6</v>
      </c>
      <c r="Z13" s="101">
        <v>21.0</v>
      </c>
      <c r="AA13" s="101">
        <v>5.0</v>
      </c>
      <c r="AF13" s="101">
        <f t="shared" si="3"/>
        <v>26</v>
      </c>
      <c r="AM13" s="101">
        <f t="shared" si="4"/>
        <v>0</v>
      </c>
      <c r="AT13" s="101">
        <f t="shared" si="5"/>
        <v>0</v>
      </c>
      <c r="BA13" s="101">
        <f t="shared" si="6"/>
        <v>0</v>
      </c>
      <c r="BH13" s="101">
        <f t="shared" si="7"/>
        <v>0</v>
      </c>
      <c r="BI13" s="101">
        <v>1.0</v>
      </c>
      <c r="BJ13" s="101">
        <v>3.0</v>
      </c>
      <c r="BK13" s="101">
        <v>1.0</v>
      </c>
      <c r="BO13" s="101">
        <f t="shared" si="8"/>
        <v>5</v>
      </c>
      <c r="BV13" s="101">
        <f t="shared" si="9"/>
        <v>0</v>
      </c>
      <c r="CC13" s="101">
        <f t="shared" si="10"/>
        <v>0</v>
      </c>
      <c r="CJ13" s="101">
        <f t="shared" si="11"/>
        <v>0</v>
      </c>
      <c r="CQ13" s="101">
        <f t="shared" si="12"/>
        <v>0</v>
      </c>
      <c r="CX13" s="101">
        <f t="shared" si="13"/>
        <v>0</v>
      </c>
      <c r="DC13" s="101">
        <v>1.0</v>
      </c>
      <c r="DE13" s="101">
        <f t="shared" si="14"/>
        <v>1</v>
      </c>
      <c r="DL13" s="101">
        <f t="shared" si="15"/>
        <v>0</v>
      </c>
      <c r="DS13" s="101">
        <f t="shared" si="16"/>
        <v>0</v>
      </c>
      <c r="DZ13" s="101">
        <f t="shared" si="17"/>
        <v>0</v>
      </c>
    </row>
    <row r="14">
      <c r="A14" s="102">
        <v>45351.0</v>
      </c>
      <c r="B14" s="101" t="s">
        <v>43</v>
      </c>
      <c r="C14" s="101">
        <v>6.0</v>
      </c>
      <c r="D14" s="101">
        <v>4.0</v>
      </c>
      <c r="E14" s="101">
        <v>28.0</v>
      </c>
      <c r="F14" s="101">
        <v>0.0</v>
      </c>
      <c r="G14" s="101">
        <v>20.0</v>
      </c>
      <c r="H14" s="101">
        <v>10.0</v>
      </c>
      <c r="I14" s="101">
        <v>20.0</v>
      </c>
      <c r="J14" s="101">
        <v>0.0</v>
      </c>
      <c r="K14" s="101">
        <v>0.0</v>
      </c>
      <c r="L14" s="101">
        <v>21.0</v>
      </c>
      <c r="M14" s="101">
        <v>7.0</v>
      </c>
      <c r="N14" s="101">
        <v>3.0</v>
      </c>
      <c r="R14" s="101">
        <f t="shared" si="1"/>
        <v>31</v>
      </c>
      <c r="S14" s="101">
        <v>3.0</v>
      </c>
      <c r="T14" s="101">
        <v>1.0</v>
      </c>
      <c r="Y14" s="101">
        <f t="shared" si="2"/>
        <v>4</v>
      </c>
      <c r="Z14" s="101">
        <v>18.0</v>
      </c>
      <c r="AA14" s="101">
        <v>8.0</v>
      </c>
      <c r="AF14" s="101">
        <f t="shared" si="3"/>
        <v>26</v>
      </c>
      <c r="AM14" s="101">
        <f t="shared" si="4"/>
        <v>0</v>
      </c>
      <c r="AT14" s="101">
        <f t="shared" si="5"/>
        <v>0</v>
      </c>
      <c r="BA14" s="101">
        <f t="shared" si="6"/>
        <v>0</v>
      </c>
      <c r="BH14" s="101">
        <f t="shared" si="7"/>
        <v>0</v>
      </c>
      <c r="BI14" s="101">
        <v>2.0</v>
      </c>
      <c r="BJ14" s="101">
        <v>5.0</v>
      </c>
      <c r="BK14" s="101">
        <v>1.0</v>
      </c>
      <c r="BO14" s="101">
        <f t="shared" si="8"/>
        <v>8</v>
      </c>
      <c r="BQ14" s="101">
        <v>1.0</v>
      </c>
      <c r="BR14" s="101">
        <v>1.0</v>
      </c>
      <c r="BV14" s="101">
        <f t="shared" si="9"/>
        <v>2</v>
      </c>
      <c r="CC14" s="101">
        <f t="shared" si="10"/>
        <v>0</v>
      </c>
      <c r="CJ14" s="101">
        <f t="shared" si="11"/>
        <v>0</v>
      </c>
      <c r="CQ14" s="101">
        <f t="shared" si="12"/>
        <v>0</v>
      </c>
      <c r="CX14" s="101">
        <f t="shared" si="13"/>
        <v>0</v>
      </c>
      <c r="DE14" s="101">
        <f t="shared" si="14"/>
        <v>0</v>
      </c>
      <c r="DL14" s="101">
        <f t="shared" si="15"/>
        <v>0</v>
      </c>
      <c r="DS14" s="101">
        <f t="shared" si="16"/>
        <v>0</v>
      </c>
      <c r="DZ14" s="101">
        <f t="shared" si="17"/>
        <v>0</v>
      </c>
    </row>
    <row r="15">
      <c r="A15" s="102">
        <v>45352.0</v>
      </c>
      <c r="B15" s="101" t="s">
        <v>41</v>
      </c>
      <c r="C15" s="101">
        <v>11.0</v>
      </c>
      <c r="D15" s="101">
        <v>10.0</v>
      </c>
      <c r="E15" s="101">
        <v>28.0</v>
      </c>
      <c r="F15" s="101">
        <v>20.0</v>
      </c>
      <c r="G15" s="101">
        <v>25.0</v>
      </c>
      <c r="H15" s="101">
        <v>10.0</v>
      </c>
      <c r="I15" s="101">
        <v>5.0</v>
      </c>
      <c r="J15" s="101">
        <v>0.0</v>
      </c>
      <c r="K15" s="101">
        <v>0.0</v>
      </c>
      <c r="L15" s="101">
        <v>12.0</v>
      </c>
      <c r="M15" s="101">
        <v>6.0</v>
      </c>
      <c r="N15" s="101">
        <v>3.0</v>
      </c>
      <c r="R15" s="101">
        <f t="shared" si="1"/>
        <v>21</v>
      </c>
      <c r="T15" s="101">
        <v>2.0</v>
      </c>
      <c r="Y15" s="101">
        <f t="shared" si="2"/>
        <v>2</v>
      </c>
      <c r="Z15" s="101">
        <v>23.0</v>
      </c>
      <c r="AA15" s="101">
        <v>4.0</v>
      </c>
      <c r="AF15" s="101">
        <f t="shared" si="3"/>
        <v>27</v>
      </c>
      <c r="AM15" s="101">
        <f t="shared" si="4"/>
        <v>0</v>
      </c>
      <c r="AP15" s="101">
        <v>2.0</v>
      </c>
      <c r="AT15" s="101">
        <f t="shared" si="5"/>
        <v>2</v>
      </c>
      <c r="AW15" s="101">
        <v>5.0</v>
      </c>
      <c r="AX15" s="101">
        <v>1.0</v>
      </c>
      <c r="BA15" s="101">
        <f t="shared" si="6"/>
        <v>6</v>
      </c>
      <c r="BH15" s="101">
        <f t="shared" si="7"/>
        <v>0</v>
      </c>
      <c r="BJ15" s="101">
        <v>6.0</v>
      </c>
      <c r="BO15" s="101">
        <f t="shared" si="8"/>
        <v>6</v>
      </c>
      <c r="BR15" s="101">
        <v>3.0</v>
      </c>
      <c r="BV15" s="101">
        <f t="shared" si="9"/>
        <v>3</v>
      </c>
      <c r="CC15" s="101">
        <f t="shared" si="10"/>
        <v>0</v>
      </c>
      <c r="CJ15" s="101">
        <f t="shared" si="11"/>
        <v>0</v>
      </c>
      <c r="CQ15" s="101">
        <f t="shared" si="12"/>
        <v>0</v>
      </c>
      <c r="CX15" s="101">
        <f t="shared" si="13"/>
        <v>0</v>
      </c>
      <c r="DE15" s="101">
        <f t="shared" si="14"/>
        <v>0</v>
      </c>
      <c r="DL15" s="101">
        <f t="shared" si="15"/>
        <v>0</v>
      </c>
      <c r="DS15" s="101">
        <f t="shared" si="16"/>
        <v>0</v>
      </c>
      <c r="DZ15" s="101">
        <f t="shared" si="17"/>
        <v>0</v>
      </c>
    </row>
    <row r="16">
      <c r="A16" s="102">
        <v>45352.0</v>
      </c>
      <c r="B16" s="101" t="s">
        <v>41</v>
      </c>
      <c r="C16" s="101">
        <v>11.0</v>
      </c>
      <c r="D16" s="101">
        <v>10.0</v>
      </c>
      <c r="E16" s="101">
        <v>28.0</v>
      </c>
      <c r="F16" s="101">
        <v>5.0</v>
      </c>
      <c r="G16" s="101">
        <v>30.0</v>
      </c>
      <c r="H16" s="101">
        <v>15.0</v>
      </c>
      <c r="I16" s="101">
        <v>30.0</v>
      </c>
      <c r="J16" s="101">
        <v>20.0</v>
      </c>
      <c r="K16" s="101">
        <v>30.0</v>
      </c>
      <c r="L16" s="101">
        <v>13.0</v>
      </c>
      <c r="M16" s="101">
        <v>7.0</v>
      </c>
      <c r="N16" s="101">
        <v>2.0</v>
      </c>
      <c r="O16" s="101">
        <v>1.0</v>
      </c>
      <c r="R16" s="101">
        <f t="shared" si="1"/>
        <v>23</v>
      </c>
      <c r="S16" s="101">
        <v>5.0</v>
      </c>
      <c r="Y16" s="101">
        <f t="shared" si="2"/>
        <v>5</v>
      </c>
      <c r="Z16" s="101">
        <v>13.0</v>
      </c>
      <c r="AA16" s="101">
        <v>3.0</v>
      </c>
      <c r="AF16" s="101">
        <f t="shared" si="3"/>
        <v>16</v>
      </c>
      <c r="AM16" s="101">
        <f t="shared" si="4"/>
        <v>0</v>
      </c>
      <c r="AP16" s="101">
        <v>4.0</v>
      </c>
      <c r="AQ16" s="101">
        <v>1.0</v>
      </c>
      <c r="AT16" s="101">
        <f t="shared" si="5"/>
        <v>5</v>
      </c>
      <c r="AW16" s="101">
        <v>3.0</v>
      </c>
      <c r="BA16" s="101">
        <f t="shared" si="6"/>
        <v>3</v>
      </c>
      <c r="BH16" s="101">
        <f t="shared" si="7"/>
        <v>0</v>
      </c>
      <c r="BI16" s="101">
        <v>1.0</v>
      </c>
      <c r="BJ16" s="101">
        <v>1.0</v>
      </c>
      <c r="BO16" s="101">
        <f t="shared" si="8"/>
        <v>2</v>
      </c>
      <c r="BQ16" s="101">
        <v>2.0</v>
      </c>
      <c r="BV16" s="101">
        <f t="shared" si="9"/>
        <v>2</v>
      </c>
      <c r="CC16" s="101">
        <f t="shared" si="10"/>
        <v>0</v>
      </c>
      <c r="CJ16" s="101">
        <f t="shared" si="11"/>
        <v>0</v>
      </c>
      <c r="CQ16" s="101">
        <f t="shared" si="12"/>
        <v>0</v>
      </c>
      <c r="CX16" s="101">
        <f t="shared" si="13"/>
        <v>0</v>
      </c>
      <c r="DE16" s="101">
        <f t="shared" si="14"/>
        <v>0</v>
      </c>
      <c r="DL16" s="101">
        <f t="shared" si="15"/>
        <v>0</v>
      </c>
      <c r="DS16" s="101">
        <f t="shared" si="16"/>
        <v>0</v>
      </c>
      <c r="DZ16" s="101">
        <f t="shared" si="17"/>
        <v>0</v>
      </c>
    </row>
    <row r="17">
      <c r="A17" s="102">
        <v>45373.0</v>
      </c>
      <c r="B17" s="101" t="s">
        <v>41</v>
      </c>
      <c r="C17" s="101">
        <v>11.0</v>
      </c>
      <c r="D17" s="101">
        <v>10.0</v>
      </c>
      <c r="E17" s="101">
        <v>30.0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40.0</v>
      </c>
      <c r="L17" s="101">
        <v>15.0</v>
      </c>
      <c r="M17" s="101">
        <v>7.0</v>
      </c>
      <c r="N17" s="101">
        <v>4.0</v>
      </c>
      <c r="O17" s="101">
        <v>3.0</v>
      </c>
      <c r="R17" s="101">
        <f t="shared" si="1"/>
        <v>29</v>
      </c>
      <c r="S17" s="101">
        <v>7.0</v>
      </c>
      <c r="T17" s="101">
        <v>1.0</v>
      </c>
      <c r="U17" s="101">
        <v>2.0</v>
      </c>
      <c r="Y17" s="101">
        <f t="shared" si="2"/>
        <v>10</v>
      </c>
      <c r="Z17" s="101">
        <v>11.0</v>
      </c>
      <c r="AA17" s="101">
        <v>1.0</v>
      </c>
      <c r="AF17" s="101">
        <f t="shared" si="3"/>
        <v>12</v>
      </c>
      <c r="AM17" s="101">
        <f t="shared" si="4"/>
        <v>0</v>
      </c>
      <c r="AT17" s="101">
        <f t="shared" si="5"/>
        <v>0</v>
      </c>
      <c r="AU17" s="101">
        <v>1.0</v>
      </c>
      <c r="AW17" s="101">
        <v>4.0</v>
      </c>
      <c r="BA17" s="101">
        <f t="shared" si="6"/>
        <v>5</v>
      </c>
      <c r="BC17" s="101">
        <v>1.0</v>
      </c>
      <c r="BH17" s="101">
        <f t="shared" si="7"/>
        <v>1</v>
      </c>
      <c r="BI17" s="101">
        <v>2.0</v>
      </c>
      <c r="BJ17" s="101">
        <v>14.0</v>
      </c>
      <c r="BK17" s="101">
        <v>4.0</v>
      </c>
      <c r="BL17" s="101">
        <v>1.0</v>
      </c>
      <c r="BO17" s="101">
        <f t="shared" si="8"/>
        <v>21</v>
      </c>
      <c r="BR17" s="101">
        <v>1.0</v>
      </c>
      <c r="BV17" s="101">
        <f t="shared" si="9"/>
        <v>1</v>
      </c>
      <c r="CC17" s="101">
        <f t="shared" si="10"/>
        <v>0</v>
      </c>
      <c r="CJ17" s="101">
        <f t="shared" si="11"/>
        <v>0</v>
      </c>
      <c r="CQ17" s="101">
        <f t="shared" si="12"/>
        <v>0</v>
      </c>
      <c r="CX17" s="101">
        <f t="shared" si="13"/>
        <v>0</v>
      </c>
      <c r="DE17" s="101">
        <f t="shared" si="14"/>
        <v>0</v>
      </c>
      <c r="DL17" s="101">
        <f t="shared" si="15"/>
        <v>0</v>
      </c>
      <c r="DS17" s="101">
        <f t="shared" si="16"/>
        <v>0</v>
      </c>
      <c r="DZ17" s="101">
        <f t="shared" si="17"/>
        <v>0</v>
      </c>
    </row>
    <row r="18">
      <c r="A18" s="102">
        <v>45376.0</v>
      </c>
      <c r="B18" s="101" t="s">
        <v>41</v>
      </c>
      <c r="C18" s="101">
        <v>12.0</v>
      </c>
      <c r="D18" s="101">
        <v>10.0</v>
      </c>
      <c r="E18" s="101">
        <v>30.0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13.0</v>
      </c>
      <c r="M18" s="101">
        <v>6.0</v>
      </c>
      <c r="N18" s="101">
        <v>5.0</v>
      </c>
      <c r="R18" s="101">
        <f t="shared" si="1"/>
        <v>24</v>
      </c>
      <c r="S18" s="101">
        <v>3.0</v>
      </c>
      <c r="T18" s="101">
        <v>2.0</v>
      </c>
      <c r="Y18" s="101">
        <f t="shared" si="2"/>
        <v>5</v>
      </c>
      <c r="Z18" s="101">
        <v>4.0</v>
      </c>
      <c r="AA18" s="101">
        <v>8.0</v>
      </c>
      <c r="AF18" s="101">
        <f t="shared" si="3"/>
        <v>12</v>
      </c>
      <c r="AJ18" s="101">
        <v>1.0</v>
      </c>
      <c r="AM18" s="101">
        <f t="shared" si="4"/>
        <v>1</v>
      </c>
      <c r="AP18" s="101">
        <v>1.0</v>
      </c>
      <c r="AT18" s="101">
        <f t="shared" si="5"/>
        <v>1</v>
      </c>
      <c r="AW18" s="101">
        <v>4.0</v>
      </c>
      <c r="AX18" s="101">
        <v>1.0</v>
      </c>
      <c r="BA18" s="101">
        <f t="shared" si="6"/>
        <v>5</v>
      </c>
      <c r="BC18" s="101">
        <v>2.0</v>
      </c>
      <c r="BD18" s="101">
        <v>1.0</v>
      </c>
      <c r="BH18" s="101">
        <f t="shared" si="7"/>
        <v>3</v>
      </c>
      <c r="BI18" s="101">
        <v>6.0</v>
      </c>
      <c r="BJ18" s="101">
        <v>3.0</v>
      </c>
      <c r="BK18" s="101">
        <v>2.0</v>
      </c>
      <c r="BL18" s="101">
        <v>1.0</v>
      </c>
      <c r="BO18" s="101">
        <f t="shared" si="8"/>
        <v>12</v>
      </c>
      <c r="BR18" s="101">
        <v>1.0</v>
      </c>
      <c r="BV18" s="101">
        <f t="shared" si="9"/>
        <v>1</v>
      </c>
      <c r="CC18" s="101">
        <f t="shared" si="10"/>
        <v>0</v>
      </c>
      <c r="CJ18" s="101">
        <f t="shared" si="11"/>
        <v>0</v>
      </c>
      <c r="CQ18" s="101">
        <f t="shared" si="12"/>
        <v>0</v>
      </c>
      <c r="CX18" s="101">
        <f t="shared" si="13"/>
        <v>0</v>
      </c>
      <c r="DE18" s="101">
        <f t="shared" si="14"/>
        <v>0</v>
      </c>
      <c r="DL18" s="101">
        <f t="shared" si="15"/>
        <v>0</v>
      </c>
      <c r="DS18" s="101">
        <f t="shared" si="16"/>
        <v>0</v>
      </c>
      <c r="DZ18" s="101">
        <f t="shared" si="17"/>
        <v>0</v>
      </c>
    </row>
    <row r="19">
      <c r="A19" s="102">
        <v>45376.0</v>
      </c>
      <c r="B19" s="101" t="s">
        <v>42</v>
      </c>
      <c r="C19" s="101">
        <v>10.0</v>
      </c>
      <c r="D19" s="101">
        <v>8.0</v>
      </c>
      <c r="E19" s="101">
        <v>30.0</v>
      </c>
      <c r="F19" s="101">
        <v>0.0</v>
      </c>
      <c r="G19" s="101">
        <v>0.0</v>
      </c>
      <c r="H19" s="101">
        <v>10.0</v>
      </c>
      <c r="I19" s="101">
        <v>5.0</v>
      </c>
      <c r="J19" s="101">
        <v>15.0</v>
      </c>
      <c r="K19" s="101">
        <v>0.0</v>
      </c>
      <c r="L19" s="101">
        <v>4.0</v>
      </c>
      <c r="M19" s="101">
        <v>14.0</v>
      </c>
      <c r="N19" s="101">
        <v>10.0</v>
      </c>
      <c r="O19" s="101">
        <v>1.0</v>
      </c>
      <c r="R19" s="101">
        <f t="shared" si="1"/>
        <v>29</v>
      </c>
      <c r="S19" s="101">
        <v>4.0</v>
      </c>
      <c r="T19" s="101">
        <v>3.0</v>
      </c>
      <c r="U19" s="101">
        <v>2.0</v>
      </c>
      <c r="Y19" s="101">
        <f t="shared" si="2"/>
        <v>9</v>
      </c>
      <c r="Z19" s="101">
        <v>20.0</v>
      </c>
      <c r="AA19" s="101">
        <v>19.0</v>
      </c>
      <c r="AF19" s="101">
        <f t="shared" si="3"/>
        <v>39</v>
      </c>
      <c r="AJ19" s="101">
        <v>1.0</v>
      </c>
      <c r="AK19" s="101">
        <v>1.0</v>
      </c>
      <c r="AM19" s="101">
        <f t="shared" si="4"/>
        <v>2</v>
      </c>
      <c r="AT19" s="101">
        <f t="shared" si="5"/>
        <v>0</v>
      </c>
      <c r="AV19" s="101">
        <v>2.0</v>
      </c>
      <c r="AW19" s="101">
        <v>1.0</v>
      </c>
      <c r="BA19" s="101">
        <f t="shared" si="6"/>
        <v>3</v>
      </c>
      <c r="BH19" s="101">
        <f t="shared" si="7"/>
        <v>0</v>
      </c>
      <c r="BI19" s="101">
        <v>1.0</v>
      </c>
      <c r="BJ19" s="101">
        <v>3.0</v>
      </c>
      <c r="BK19" s="101">
        <v>1.0</v>
      </c>
      <c r="BO19" s="101">
        <f t="shared" si="8"/>
        <v>5</v>
      </c>
      <c r="BR19" s="101">
        <v>2.0</v>
      </c>
      <c r="BV19" s="101">
        <f t="shared" si="9"/>
        <v>2</v>
      </c>
      <c r="CC19" s="101">
        <f t="shared" si="10"/>
        <v>0</v>
      </c>
      <c r="CJ19" s="101">
        <f t="shared" si="11"/>
        <v>0</v>
      </c>
      <c r="CQ19" s="101">
        <f t="shared" si="12"/>
        <v>0</v>
      </c>
      <c r="CX19" s="101">
        <f t="shared" si="13"/>
        <v>0</v>
      </c>
      <c r="DE19" s="101">
        <f t="shared" si="14"/>
        <v>0</v>
      </c>
      <c r="DL19" s="101">
        <f t="shared" si="15"/>
        <v>0</v>
      </c>
      <c r="DS19" s="101">
        <f t="shared" si="16"/>
        <v>0</v>
      </c>
      <c r="DZ19" s="101">
        <f t="shared" si="17"/>
        <v>0</v>
      </c>
    </row>
    <row r="20">
      <c r="A20" s="102">
        <v>45377.0</v>
      </c>
      <c r="B20" s="101" t="s">
        <v>42</v>
      </c>
      <c r="C20" s="101">
        <v>7.0</v>
      </c>
      <c r="D20" s="101">
        <v>11.0</v>
      </c>
      <c r="E20" s="101">
        <v>32.0</v>
      </c>
      <c r="F20" s="101">
        <v>5.0</v>
      </c>
      <c r="G20" s="101">
        <v>0.0</v>
      </c>
      <c r="H20" s="101">
        <v>0.0</v>
      </c>
      <c r="I20" s="101">
        <v>10.0</v>
      </c>
      <c r="J20" s="101">
        <v>0.0</v>
      </c>
      <c r="K20" s="101">
        <v>0.0</v>
      </c>
      <c r="L20" s="101">
        <v>8.0</v>
      </c>
      <c r="M20" s="101">
        <v>8.0</v>
      </c>
      <c r="N20" s="101">
        <v>4.0</v>
      </c>
      <c r="R20" s="101">
        <f t="shared" si="1"/>
        <v>20</v>
      </c>
      <c r="S20" s="101">
        <v>5.0</v>
      </c>
      <c r="T20" s="101">
        <v>1.0</v>
      </c>
      <c r="Y20" s="101">
        <f t="shared" si="2"/>
        <v>6</v>
      </c>
      <c r="Z20" s="101">
        <v>39.0</v>
      </c>
      <c r="AA20" s="101">
        <v>3.0</v>
      </c>
      <c r="AF20" s="101">
        <f t="shared" si="3"/>
        <v>42</v>
      </c>
      <c r="AI20" s="101">
        <v>1.0</v>
      </c>
      <c r="AJ20" s="101">
        <v>2.0</v>
      </c>
      <c r="AM20" s="101">
        <f t="shared" si="4"/>
        <v>3</v>
      </c>
      <c r="AP20" s="101">
        <v>1.0</v>
      </c>
      <c r="AT20" s="101">
        <f t="shared" si="5"/>
        <v>1</v>
      </c>
      <c r="AW20" s="101">
        <v>1.0</v>
      </c>
      <c r="BA20" s="101">
        <f t="shared" si="6"/>
        <v>1</v>
      </c>
      <c r="BH20" s="101">
        <f t="shared" si="7"/>
        <v>0</v>
      </c>
      <c r="BI20" s="101">
        <v>1.0</v>
      </c>
      <c r="BJ20" s="101">
        <v>2.0</v>
      </c>
      <c r="BK20" s="101">
        <v>2.0</v>
      </c>
      <c r="BO20" s="101">
        <f t="shared" si="8"/>
        <v>5</v>
      </c>
      <c r="BQ20" s="101">
        <v>1.0</v>
      </c>
      <c r="BR20" s="101">
        <v>3.0</v>
      </c>
      <c r="BV20" s="101">
        <f t="shared" si="9"/>
        <v>4</v>
      </c>
      <c r="CC20" s="101">
        <f t="shared" si="10"/>
        <v>0</v>
      </c>
      <c r="CJ20" s="101">
        <f t="shared" si="11"/>
        <v>0</v>
      </c>
      <c r="CQ20" s="101">
        <f t="shared" si="12"/>
        <v>0</v>
      </c>
      <c r="CX20" s="101">
        <f t="shared" si="13"/>
        <v>0</v>
      </c>
      <c r="DE20" s="101">
        <f t="shared" si="14"/>
        <v>0</v>
      </c>
      <c r="DL20" s="101">
        <f t="shared" si="15"/>
        <v>0</v>
      </c>
      <c r="DS20" s="101">
        <f t="shared" si="16"/>
        <v>0</v>
      </c>
      <c r="DZ20" s="101">
        <f t="shared" si="17"/>
        <v>0</v>
      </c>
    </row>
    <row r="21">
      <c r="A21" s="102">
        <v>45377.0</v>
      </c>
      <c r="B21" s="101" t="s">
        <v>41</v>
      </c>
      <c r="C21" s="101">
        <v>10.0</v>
      </c>
      <c r="D21" s="101">
        <v>10.0</v>
      </c>
      <c r="E21" s="101">
        <v>30.0</v>
      </c>
      <c r="F21" s="101">
        <v>0.0</v>
      </c>
      <c r="G21" s="101">
        <v>0.0</v>
      </c>
      <c r="H21" s="101">
        <v>10.0</v>
      </c>
      <c r="I21" s="101">
        <v>0.0</v>
      </c>
      <c r="J21" s="101">
        <v>0.0</v>
      </c>
      <c r="K21" s="101">
        <v>25.0</v>
      </c>
      <c r="L21" s="101">
        <v>30.0</v>
      </c>
      <c r="M21" s="101">
        <v>8.0</v>
      </c>
      <c r="N21" s="101">
        <v>4.0</v>
      </c>
      <c r="O21" s="101">
        <v>2.0</v>
      </c>
      <c r="P21" s="101">
        <v>1.0</v>
      </c>
      <c r="R21" s="101">
        <f t="shared" si="1"/>
        <v>45</v>
      </c>
      <c r="S21" s="101">
        <v>3.0</v>
      </c>
      <c r="U21" s="101">
        <v>2.0</v>
      </c>
      <c r="Y21" s="101">
        <f t="shared" si="2"/>
        <v>5</v>
      </c>
      <c r="Z21" s="101">
        <v>27.0</v>
      </c>
      <c r="AA21" s="101">
        <v>7.0</v>
      </c>
      <c r="AF21" s="101">
        <f t="shared" si="3"/>
        <v>34</v>
      </c>
      <c r="AM21" s="101">
        <f t="shared" si="4"/>
        <v>0</v>
      </c>
      <c r="AQ21" s="101">
        <v>1.0</v>
      </c>
      <c r="AT21" s="101">
        <f t="shared" si="5"/>
        <v>1</v>
      </c>
      <c r="AW21" s="101">
        <v>3.0</v>
      </c>
      <c r="BA21" s="101">
        <f t="shared" si="6"/>
        <v>3</v>
      </c>
      <c r="BH21" s="101">
        <f t="shared" si="7"/>
        <v>0</v>
      </c>
      <c r="BI21" s="101">
        <v>10.0</v>
      </c>
      <c r="BJ21" s="101">
        <v>10.0</v>
      </c>
      <c r="BK21" s="101">
        <v>2.0</v>
      </c>
      <c r="BO21" s="101">
        <f t="shared" si="8"/>
        <v>22</v>
      </c>
      <c r="BQ21" s="101">
        <v>1.0</v>
      </c>
      <c r="BR21" s="101">
        <v>3.0</v>
      </c>
      <c r="BV21" s="101">
        <f t="shared" si="9"/>
        <v>4</v>
      </c>
      <c r="CC21" s="101">
        <f t="shared" si="10"/>
        <v>0</v>
      </c>
      <c r="CJ21" s="101">
        <f t="shared" si="11"/>
        <v>0</v>
      </c>
      <c r="CQ21" s="101">
        <f t="shared" si="12"/>
        <v>0</v>
      </c>
      <c r="CX21" s="101">
        <f t="shared" si="13"/>
        <v>0</v>
      </c>
      <c r="DE21" s="101">
        <f t="shared" si="14"/>
        <v>0</v>
      </c>
      <c r="DL21" s="101">
        <f t="shared" si="15"/>
        <v>0</v>
      </c>
      <c r="DS21" s="101">
        <f t="shared" si="16"/>
        <v>0</v>
      </c>
      <c r="DZ21" s="101">
        <f t="shared" si="17"/>
        <v>0</v>
      </c>
    </row>
    <row r="22">
      <c r="A22" s="102">
        <v>45378.0</v>
      </c>
      <c r="B22" s="101" t="s">
        <v>43</v>
      </c>
      <c r="C22" s="101">
        <v>8.0</v>
      </c>
      <c r="D22" s="101">
        <v>8.0</v>
      </c>
      <c r="E22" s="101">
        <v>31.0</v>
      </c>
      <c r="F22" s="101">
        <v>20.0</v>
      </c>
      <c r="G22" s="101">
        <v>5.0</v>
      </c>
      <c r="H22" s="101">
        <v>5.0</v>
      </c>
      <c r="I22" s="101">
        <v>2.0</v>
      </c>
      <c r="J22" s="101">
        <v>2.0</v>
      </c>
      <c r="K22" s="101">
        <v>0.0</v>
      </c>
      <c r="L22" s="101">
        <v>36.0</v>
      </c>
      <c r="M22" s="101">
        <v>7.0</v>
      </c>
      <c r="N22" s="101">
        <v>6.0</v>
      </c>
      <c r="O22" s="101">
        <v>2.0</v>
      </c>
      <c r="R22" s="101">
        <f t="shared" si="1"/>
        <v>51</v>
      </c>
      <c r="T22" s="101">
        <v>1.0</v>
      </c>
      <c r="U22" s="101">
        <v>1.0</v>
      </c>
      <c r="Y22" s="101">
        <f t="shared" si="2"/>
        <v>2</v>
      </c>
      <c r="Z22" s="101">
        <v>21.0</v>
      </c>
      <c r="AA22" s="101">
        <v>9.0</v>
      </c>
      <c r="AF22" s="101">
        <f t="shared" si="3"/>
        <v>30</v>
      </c>
      <c r="AL22" s="101">
        <v>1.0</v>
      </c>
      <c r="AM22" s="101">
        <f t="shared" si="4"/>
        <v>1</v>
      </c>
      <c r="AP22" s="101">
        <v>1.0</v>
      </c>
      <c r="AT22" s="101">
        <f t="shared" si="5"/>
        <v>1</v>
      </c>
      <c r="AW22" s="101">
        <v>1.0</v>
      </c>
      <c r="BA22" s="101">
        <f t="shared" si="6"/>
        <v>1</v>
      </c>
      <c r="BH22" s="101">
        <f t="shared" si="7"/>
        <v>0</v>
      </c>
      <c r="BI22" s="101">
        <v>1.0</v>
      </c>
      <c r="BJ22" s="101">
        <v>1.0</v>
      </c>
      <c r="BO22" s="101">
        <f t="shared" si="8"/>
        <v>2</v>
      </c>
      <c r="BR22" s="101">
        <v>3.0</v>
      </c>
      <c r="BV22" s="101">
        <f t="shared" si="9"/>
        <v>3</v>
      </c>
      <c r="CC22" s="101">
        <f t="shared" si="10"/>
        <v>0</v>
      </c>
      <c r="CJ22" s="101">
        <f t="shared" si="11"/>
        <v>0</v>
      </c>
      <c r="CQ22" s="101">
        <f t="shared" si="12"/>
        <v>0</v>
      </c>
      <c r="CX22" s="101">
        <f t="shared" si="13"/>
        <v>0</v>
      </c>
      <c r="DE22" s="101">
        <f t="shared" si="14"/>
        <v>0</v>
      </c>
      <c r="DL22" s="101">
        <f t="shared" si="15"/>
        <v>0</v>
      </c>
      <c r="DS22" s="101">
        <f t="shared" si="16"/>
        <v>0</v>
      </c>
      <c r="DZ22" s="101">
        <f t="shared" si="17"/>
        <v>0</v>
      </c>
    </row>
    <row r="23">
      <c r="A23" s="102">
        <v>45378.0</v>
      </c>
      <c r="B23" s="101" t="s">
        <v>43</v>
      </c>
      <c r="C23" s="101">
        <v>8.0</v>
      </c>
      <c r="D23" s="101">
        <v>8.0</v>
      </c>
      <c r="E23" s="101">
        <v>31.0</v>
      </c>
      <c r="F23" s="101">
        <v>50.0</v>
      </c>
      <c r="G23" s="101">
        <v>0.0</v>
      </c>
      <c r="H23" s="101">
        <v>0.0</v>
      </c>
      <c r="I23" s="101">
        <v>0.0</v>
      </c>
      <c r="J23" s="101">
        <v>2.0</v>
      </c>
      <c r="K23" s="101">
        <v>20.0</v>
      </c>
      <c r="L23" s="101">
        <v>3.0</v>
      </c>
      <c r="M23" s="101">
        <v>18.0</v>
      </c>
      <c r="N23" s="101">
        <v>10.0</v>
      </c>
      <c r="O23" s="101">
        <v>2.0</v>
      </c>
      <c r="R23" s="101">
        <f t="shared" si="1"/>
        <v>33</v>
      </c>
      <c r="S23" s="101">
        <v>2.0</v>
      </c>
      <c r="T23" s="101">
        <v>2.0</v>
      </c>
      <c r="Y23" s="101">
        <f t="shared" si="2"/>
        <v>4</v>
      </c>
      <c r="Z23" s="101">
        <v>19.0</v>
      </c>
      <c r="AA23" s="101">
        <v>14.0</v>
      </c>
      <c r="AF23" s="101">
        <f t="shared" si="3"/>
        <v>33</v>
      </c>
      <c r="AM23" s="101">
        <f t="shared" si="4"/>
        <v>0</v>
      </c>
      <c r="AT23" s="101">
        <f t="shared" si="5"/>
        <v>0</v>
      </c>
      <c r="BA23" s="101">
        <f t="shared" si="6"/>
        <v>0</v>
      </c>
      <c r="BH23" s="101">
        <f t="shared" si="7"/>
        <v>0</v>
      </c>
      <c r="BJ23" s="101">
        <v>1.0</v>
      </c>
      <c r="BO23" s="101">
        <f t="shared" si="8"/>
        <v>1</v>
      </c>
      <c r="BQ23" s="101">
        <v>3.0</v>
      </c>
      <c r="BR23" s="101">
        <v>5.0</v>
      </c>
      <c r="BV23" s="101">
        <f t="shared" si="9"/>
        <v>8</v>
      </c>
      <c r="CC23" s="101">
        <f t="shared" si="10"/>
        <v>0</v>
      </c>
      <c r="CJ23" s="101">
        <f t="shared" si="11"/>
        <v>0</v>
      </c>
      <c r="CQ23" s="101">
        <f t="shared" si="12"/>
        <v>0</v>
      </c>
      <c r="CX23" s="101">
        <f t="shared" si="13"/>
        <v>0</v>
      </c>
      <c r="DE23" s="101">
        <f t="shared" si="14"/>
        <v>0</v>
      </c>
      <c r="DL23" s="101">
        <f t="shared" si="15"/>
        <v>0</v>
      </c>
      <c r="DS23" s="101">
        <f t="shared" si="16"/>
        <v>0</v>
      </c>
      <c r="DZ23" s="101">
        <f t="shared" si="17"/>
        <v>0</v>
      </c>
    </row>
    <row r="24">
      <c r="A24" s="102">
        <v>45379.0</v>
      </c>
      <c r="B24" s="101" t="s">
        <v>42</v>
      </c>
      <c r="C24" s="101">
        <v>10.0</v>
      </c>
      <c r="D24" s="101">
        <v>8.0</v>
      </c>
      <c r="E24" s="101">
        <v>29.0</v>
      </c>
      <c r="F24" s="101">
        <v>0.0</v>
      </c>
      <c r="G24" s="101">
        <v>0.0</v>
      </c>
      <c r="H24" s="101">
        <v>0.0</v>
      </c>
      <c r="I24" s="101">
        <v>0.0</v>
      </c>
      <c r="J24" s="101">
        <v>10.0</v>
      </c>
      <c r="K24" s="101">
        <v>30.0</v>
      </c>
      <c r="L24" s="101">
        <v>5.0</v>
      </c>
      <c r="M24" s="101">
        <v>13.0</v>
      </c>
      <c r="N24" s="101">
        <v>4.0</v>
      </c>
      <c r="R24" s="101">
        <f t="shared" si="1"/>
        <v>22</v>
      </c>
      <c r="S24" s="101">
        <v>1.0</v>
      </c>
      <c r="T24" s="101">
        <v>1.0</v>
      </c>
      <c r="U24" s="101">
        <v>1.0</v>
      </c>
      <c r="Y24" s="101">
        <f t="shared" si="2"/>
        <v>3</v>
      </c>
      <c r="Z24" s="101">
        <v>23.0</v>
      </c>
      <c r="AA24" s="101">
        <v>9.0</v>
      </c>
      <c r="AB24" s="101">
        <v>1.0</v>
      </c>
      <c r="AF24" s="101">
        <f t="shared" si="3"/>
        <v>33</v>
      </c>
      <c r="AM24" s="101">
        <f t="shared" si="4"/>
        <v>0</v>
      </c>
      <c r="AQ24" s="101">
        <v>1.0</v>
      </c>
      <c r="AR24" s="101">
        <v>2.0</v>
      </c>
      <c r="AT24" s="101">
        <f t="shared" si="5"/>
        <v>3</v>
      </c>
      <c r="AV24" s="101">
        <v>1.0</v>
      </c>
      <c r="BA24" s="101">
        <f t="shared" si="6"/>
        <v>1</v>
      </c>
      <c r="BH24" s="101">
        <f t="shared" si="7"/>
        <v>0</v>
      </c>
      <c r="BI24" s="101">
        <v>2.0</v>
      </c>
      <c r="BO24" s="101">
        <f t="shared" si="8"/>
        <v>2</v>
      </c>
      <c r="BQ24" s="101">
        <v>1.0</v>
      </c>
      <c r="BR24" s="101">
        <v>1.0</v>
      </c>
      <c r="BS24" s="101">
        <v>1.0</v>
      </c>
      <c r="BV24" s="101">
        <f t="shared" si="9"/>
        <v>3</v>
      </c>
      <c r="CC24" s="101">
        <f t="shared" si="10"/>
        <v>0</v>
      </c>
      <c r="CJ24" s="101">
        <f t="shared" si="11"/>
        <v>0</v>
      </c>
      <c r="CQ24" s="101">
        <f t="shared" si="12"/>
        <v>0</v>
      </c>
      <c r="CX24" s="101">
        <f t="shared" si="13"/>
        <v>0</v>
      </c>
      <c r="DE24" s="101">
        <f t="shared" si="14"/>
        <v>0</v>
      </c>
      <c r="DL24" s="101">
        <f t="shared" si="15"/>
        <v>0</v>
      </c>
      <c r="DS24" s="101">
        <f t="shared" si="16"/>
        <v>0</v>
      </c>
      <c r="DZ24" s="101">
        <f t="shared" si="17"/>
        <v>0</v>
      </c>
    </row>
    <row r="25">
      <c r="A25" s="102">
        <v>45383.0</v>
      </c>
      <c r="B25" s="101" t="s">
        <v>44</v>
      </c>
      <c r="C25" s="101">
        <v>13.0</v>
      </c>
      <c r="D25" s="101">
        <v>13.0</v>
      </c>
      <c r="E25" s="101">
        <v>30.0</v>
      </c>
      <c r="F25" s="101">
        <v>40.0</v>
      </c>
      <c r="G25" s="101">
        <v>20.0</v>
      </c>
      <c r="H25" s="101">
        <v>30.0</v>
      </c>
      <c r="I25" s="101">
        <v>0.0</v>
      </c>
      <c r="J25" s="101">
        <v>5.0</v>
      </c>
      <c r="K25" s="101">
        <v>0.0</v>
      </c>
      <c r="L25" s="101">
        <v>8.0</v>
      </c>
      <c r="M25" s="101">
        <v>10.0</v>
      </c>
      <c r="N25" s="101">
        <v>8.0</v>
      </c>
      <c r="O25" s="101">
        <v>3.0</v>
      </c>
      <c r="P25" s="101">
        <v>1.0</v>
      </c>
      <c r="R25" s="101">
        <f t="shared" si="1"/>
        <v>30</v>
      </c>
      <c r="Y25" s="101">
        <f t="shared" si="2"/>
        <v>0</v>
      </c>
      <c r="Z25" s="101">
        <v>11.0</v>
      </c>
      <c r="AA25" s="101">
        <v>19.0</v>
      </c>
      <c r="AB25" s="101">
        <v>5.0</v>
      </c>
      <c r="AF25" s="101">
        <f t="shared" si="3"/>
        <v>35</v>
      </c>
      <c r="AI25" s="101">
        <v>1.0</v>
      </c>
      <c r="AJ25" s="101">
        <v>3.0</v>
      </c>
      <c r="AM25" s="101">
        <f t="shared" si="4"/>
        <v>4</v>
      </c>
      <c r="AP25" s="101">
        <v>22.0</v>
      </c>
      <c r="AQ25" s="101">
        <v>5.0</v>
      </c>
      <c r="AT25" s="101">
        <f t="shared" si="5"/>
        <v>27</v>
      </c>
      <c r="AV25" s="101">
        <v>1.0</v>
      </c>
      <c r="AW25" s="101">
        <v>2.0</v>
      </c>
      <c r="BA25" s="101">
        <f t="shared" si="6"/>
        <v>3</v>
      </c>
      <c r="BH25" s="101">
        <f t="shared" si="7"/>
        <v>0</v>
      </c>
      <c r="BJ25" s="101">
        <v>1.0</v>
      </c>
      <c r="BO25" s="101">
        <f t="shared" si="8"/>
        <v>1</v>
      </c>
      <c r="BQ25" s="101">
        <v>1.0</v>
      </c>
      <c r="BR25" s="101">
        <v>3.0</v>
      </c>
      <c r="BS25" s="101">
        <v>1.0</v>
      </c>
      <c r="BV25" s="101">
        <f t="shared" si="9"/>
        <v>5</v>
      </c>
      <c r="CC25" s="101">
        <f t="shared" si="10"/>
        <v>0</v>
      </c>
      <c r="CJ25" s="101">
        <f t="shared" si="11"/>
        <v>0</v>
      </c>
      <c r="CQ25" s="101">
        <f t="shared" si="12"/>
        <v>0</v>
      </c>
      <c r="CT25" s="101">
        <v>1.0</v>
      </c>
      <c r="CX25" s="101">
        <f t="shared" si="13"/>
        <v>1</v>
      </c>
      <c r="DE25" s="101">
        <f t="shared" si="14"/>
        <v>0</v>
      </c>
      <c r="DL25" s="101">
        <f t="shared" si="15"/>
        <v>0</v>
      </c>
      <c r="DS25" s="101">
        <f t="shared" si="16"/>
        <v>0</v>
      </c>
      <c r="DZ25" s="101">
        <f t="shared" si="17"/>
        <v>0</v>
      </c>
    </row>
    <row r="26">
      <c r="A26" s="102">
        <v>45383.0</v>
      </c>
      <c r="B26" s="101" t="s">
        <v>44</v>
      </c>
      <c r="C26" s="101">
        <v>14.0</v>
      </c>
      <c r="D26" s="101">
        <v>13.0</v>
      </c>
      <c r="E26" s="101">
        <v>30.0</v>
      </c>
      <c r="F26" s="101">
        <v>0.0</v>
      </c>
      <c r="G26" s="101">
        <v>50.0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12.0</v>
      </c>
      <c r="M26" s="101">
        <v>12.0</v>
      </c>
      <c r="N26" s="101">
        <v>12.0</v>
      </c>
      <c r="O26" s="101">
        <v>4.0</v>
      </c>
      <c r="R26" s="101">
        <f t="shared" si="1"/>
        <v>40</v>
      </c>
      <c r="T26" s="101">
        <v>2.0</v>
      </c>
      <c r="Y26" s="101">
        <f t="shared" si="2"/>
        <v>2</v>
      </c>
      <c r="Z26" s="101">
        <v>21.0</v>
      </c>
      <c r="AA26" s="101">
        <v>18.0</v>
      </c>
      <c r="AF26" s="101">
        <f t="shared" si="3"/>
        <v>39</v>
      </c>
      <c r="AI26" s="101">
        <v>1.0</v>
      </c>
      <c r="AJ26" s="101">
        <v>5.0</v>
      </c>
      <c r="AM26" s="101">
        <f t="shared" si="4"/>
        <v>6</v>
      </c>
      <c r="AP26" s="101">
        <v>25.0</v>
      </c>
      <c r="AQ26" s="101">
        <v>6.0</v>
      </c>
      <c r="AT26" s="101">
        <f t="shared" si="5"/>
        <v>31</v>
      </c>
      <c r="AW26" s="101">
        <v>1.0</v>
      </c>
      <c r="BA26" s="101">
        <f t="shared" si="6"/>
        <v>1</v>
      </c>
      <c r="BH26" s="101">
        <f t="shared" si="7"/>
        <v>0</v>
      </c>
      <c r="BO26" s="101">
        <f t="shared" si="8"/>
        <v>0</v>
      </c>
      <c r="BQ26" s="101">
        <v>2.0</v>
      </c>
      <c r="BR26" s="101">
        <v>6.0</v>
      </c>
      <c r="BV26" s="101">
        <f t="shared" si="9"/>
        <v>8</v>
      </c>
      <c r="CC26" s="101">
        <f t="shared" si="10"/>
        <v>0</v>
      </c>
      <c r="CJ26" s="101">
        <f t="shared" si="11"/>
        <v>0</v>
      </c>
      <c r="CQ26" s="101">
        <f t="shared" si="12"/>
        <v>0</v>
      </c>
      <c r="CX26" s="101">
        <f t="shared" si="13"/>
        <v>0</v>
      </c>
      <c r="DE26" s="101">
        <f t="shared" si="14"/>
        <v>0</v>
      </c>
      <c r="DJ26" s="101">
        <v>1.0</v>
      </c>
      <c r="DL26" s="101">
        <f t="shared" si="15"/>
        <v>1</v>
      </c>
      <c r="DS26" s="101">
        <f t="shared" si="16"/>
        <v>0</v>
      </c>
      <c r="DZ26" s="101">
        <f t="shared" si="17"/>
        <v>0</v>
      </c>
    </row>
    <row r="27">
      <c r="A27" s="102">
        <v>45384.0</v>
      </c>
      <c r="B27" s="101" t="s">
        <v>41</v>
      </c>
      <c r="C27" s="101">
        <v>10.0</v>
      </c>
      <c r="D27" s="101">
        <v>10.0</v>
      </c>
      <c r="E27" s="101">
        <v>31.0</v>
      </c>
      <c r="F27" s="101">
        <v>0.0</v>
      </c>
      <c r="G27" s="101">
        <v>0.0</v>
      </c>
      <c r="H27" s="101">
        <v>30.0</v>
      </c>
      <c r="I27" s="101">
        <v>0.0</v>
      </c>
      <c r="J27" s="101">
        <v>0.0</v>
      </c>
      <c r="K27" s="101">
        <v>20.0</v>
      </c>
      <c r="L27" s="101">
        <v>14.0</v>
      </c>
      <c r="M27" s="101">
        <v>12.0</v>
      </c>
      <c r="N27" s="101">
        <v>10.0</v>
      </c>
      <c r="O27" s="101">
        <v>1.0</v>
      </c>
      <c r="P27" s="101">
        <v>1.0</v>
      </c>
      <c r="R27" s="101">
        <f t="shared" si="1"/>
        <v>38</v>
      </c>
      <c r="S27" s="101">
        <v>1.0</v>
      </c>
      <c r="T27" s="101">
        <v>3.0</v>
      </c>
      <c r="Y27" s="101">
        <f t="shared" si="2"/>
        <v>4</v>
      </c>
      <c r="Z27" s="101">
        <v>4.0</v>
      </c>
      <c r="AA27" s="101">
        <v>3.0</v>
      </c>
      <c r="AF27" s="101">
        <f t="shared" si="3"/>
        <v>7</v>
      </c>
      <c r="AJ27" s="101">
        <v>1.0</v>
      </c>
      <c r="AM27" s="101">
        <f t="shared" si="4"/>
        <v>1</v>
      </c>
      <c r="AP27" s="101">
        <v>2.0</v>
      </c>
      <c r="AQ27" s="101">
        <v>2.0</v>
      </c>
      <c r="AT27" s="101">
        <f t="shared" si="5"/>
        <v>4</v>
      </c>
      <c r="AV27" s="101">
        <v>2.0</v>
      </c>
      <c r="BA27" s="101">
        <f t="shared" si="6"/>
        <v>2</v>
      </c>
      <c r="BH27" s="101">
        <f t="shared" si="7"/>
        <v>0</v>
      </c>
      <c r="BK27" s="101">
        <v>3.0</v>
      </c>
      <c r="BO27" s="101">
        <f t="shared" si="8"/>
        <v>3</v>
      </c>
      <c r="BR27" s="101">
        <v>1.0</v>
      </c>
      <c r="BV27" s="101">
        <f t="shared" si="9"/>
        <v>1</v>
      </c>
      <c r="CC27" s="101">
        <f t="shared" si="10"/>
        <v>0</v>
      </c>
      <c r="CJ27" s="101">
        <f t="shared" si="11"/>
        <v>0</v>
      </c>
      <c r="CQ27" s="101">
        <f t="shared" si="12"/>
        <v>0</v>
      </c>
      <c r="CX27" s="101">
        <f t="shared" si="13"/>
        <v>0</v>
      </c>
      <c r="DE27" s="101">
        <f t="shared" si="14"/>
        <v>0</v>
      </c>
      <c r="DL27" s="101">
        <f t="shared" si="15"/>
        <v>0</v>
      </c>
      <c r="DS27" s="101">
        <f t="shared" si="16"/>
        <v>0</v>
      </c>
      <c r="DZ27" s="101">
        <f t="shared" si="17"/>
        <v>0</v>
      </c>
    </row>
    <row r="28">
      <c r="A28" s="102">
        <v>45384.0</v>
      </c>
      <c r="B28" s="101" t="s">
        <v>41</v>
      </c>
      <c r="C28" s="101">
        <v>12.0</v>
      </c>
      <c r="D28" s="101">
        <v>12.0</v>
      </c>
      <c r="E28" s="101">
        <v>31.0</v>
      </c>
      <c r="F28" s="101">
        <v>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5.0</v>
      </c>
      <c r="L28" s="101">
        <v>36.0</v>
      </c>
      <c r="M28" s="101">
        <v>14.0</v>
      </c>
      <c r="N28" s="101">
        <v>10.0</v>
      </c>
      <c r="R28" s="101">
        <f t="shared" si="1"/>
        <v>60</v>
      </c>
      <c r="S28" s="101">
        <v>1.0</v>
      </c>
      <c r="T28" s="101">
        <v>4.0</v>
      </c>
      <c r="Y28" s="101">
        <f t="shared" si="2"/>
        <v>5</v>
      </c>
      <c r="Z28" s="101">
        <v>18.0</v>
      </c>
      <c r="AA28" s="101">
        <v>5.0</v>
      </c>
      <c r="AB28" s="101">
        <v>1.0</v>
      </c>
      <c r="AF28" s="101">
        <f t="shared" si="3"/>
        <v>24</v>
      </c>
      <c r="AJ28" s="101">
        <v>2.0</v>
      </c>
      <c r="AK28" s="101">
        <v>1.0</v>
      </c>
      <c r="AM28" s="101">
        <f t="shared" si="4"/>
        <v>3</v>
      </c>
      <c r="AQ28" s="101">
        <v>2.0</v>
      </c>
      <c r="AT28" s="101">
        <f t="shared" si="5"/>
        <v>2</v>
      </c>
      <c r="AW28" s="101">
        <v>4.0</v>
      </c>
      <c r="BA28" s="101">
        <f t="shared" si="6"/>
        <v>4</v>
      </c>
      <c r="BH28" s="101">
        <f t="shared" si="7"/>
        <v>0</v>
      </c>
      <c r="BI28" s="101">
        <v>2.0</v>
      </c>
      <c r="BJ28" s="101">
        <v>2.0</v>
      </c>
      <c r="BK28" s="101">
        <v>5.0</v>
      </c>
      <c r="BO28" s="101">
        <f t="shared" si="8"/>
        <v>9</v>
      </c>
      <c r="BR28" s="101">
        <v>2.0</v>
      </c>
      <c r="BV28" s="101">
        <f t="shared" si="9"/>
        <v>2</v>
      </c>
      <c r="CC28" s="101">
        <f t="shared" si="10"/>
        <v>0</v>
      </c>
      <c r="CJ28" s="101">
        <f t="shared" si="11"/>
        <v>0</v>
      </c>
      <c r="CQ28" s="101">
        <f t="shared" si="12"/>
        <v>0</v>
      </c>
      <c r="CX28" s="101">
        <f t="shared" si="13"/>
        <v>0</v>
      </c>
      <c r="DE28" s="101">
        <f t="shared" si="14"/>
        <v>0</v>
      </c>
      <c r="DL28" s="101">
        <f t="shared" si="15"/>
        <v>0</v>
      </c>
      <c r="DS28" s="101">
        <f t="shared" si="16"/>
        <v>0</v>
      </c>
      <c r="DZ28" s="101">
        <f t="shared" si="17"/>
        <v>0</v>
      </c>
    </row>
    <row r="29">
      <c r="A29" s="102">
        <v>45385.0</v>
      </c>
      <c r="B29" s="101" t="s">
        <v>43</v>
      </c>
      <c r="C29" s="101">
        <v>9.0</v>
      </c>
      <c r="D29" s="101">
        <v>9.0</v>
      </c>
      <c r="E29" s="101">
        <v>30.0</v>
      </c>
      <c r="F29" s="101">
        <v>10.0</v>
      </c>
      <c r="G29" s="101">
        <v>15.0</v>
      </c>
      <c r="H29" s="101">
        <v>0.0</v>
      </c>
      <c r="I29" s="101">
        <v>10.0</v>
      </c>
      <c r="J29" s="101">
        <v>45.0</v>
      </c>
      <c r="K29" s="101">
        <v>10.0</v>
      </c>
      <c r="L29" s="101">
        <v>3.0</v>
      </c>
      <c r="M29" s="101">
        <v>7.0</v>
      </c>
      <c r="N29" s="101">
        <v>11.0</v>
      </c>
      <c r="R29" s="101">
        <f t="shared" si="1"/>
        <v>21</v>
      </c>
      <c r="S29" s="101">
        <v>1.0</v>
      </c>
      <c r="T29" s="101">
        <v>2.0</v>
      </c>
      <c r="Y29" s="101">
        <f t="shared" si="2"/>
        <v>3</v>
      </c>
      <c r="Z29" s="101">
        <v>13.0</v>
      </c>
      <c r="AA29" s="101">
        <v>17.0</v>
      </c>
      <c r="AB29" s="101">
        <v>3.0</v>
      </c>
      <c r="AF29" s="101">
        <f t="shared" si="3"/>
        <v>33</v>
      </c>
      <c r="AM29" s="101">
        <f t="shared" si="4"/>
        <v>0</v>
      </c>
      <c r="AP29" s="101">
        <v>3.0</v>
      </c>
      <c r="AQ29" s="101">
        <v>1.0</v>
      </c>
      <c r="AT29" s="101">
        <f t="shared" si="5"/>
        <v>4</v>
      </c>
      <c r="BA29" s="101">
        <f t="shared" si="6"/>
        <v>0</v>
      </c>
      <c r="BH29" s="101">
        <f t="shared" si="7"/>
        <v>0</v>
      </c>
      <c r="BO29" s="101">
        <f t="shared" si="8"/>
        <v>0</v>
      </c>
      <c r="BR29" s="101">
        <v>5.0</v>
      </c>
      <c r="BV29" s="101">
        <f t="shared" si="9"/>
        <v>5</v>
      </c>
      <c r="CC29" s="101">
        <f t="shared" si="10"/>
        <v>0</v>
      </c>
      <c r="CJ29" s="101">
        <f t="shared" si="11"/>
        <v>0</v>
      </c>
      <c r="CQ29" s="101">
        <f t="shared" si="12"/>
        <v>0</v>
      </c>
      <c r="CX29" s="101">
        <f t="shared" si="13"/>
        <v>0</v>
      </c>
      <c r="DE29" s="101">
        <f t="shared" si="14"/>
        <v>0</v>
      </c>
      <c r="DL29" s="101">
        <f t="shared" si="15"/>
        <v>0</v>
      </c>
      <c r="DS29" s="101">
        <f t="shared" si="16"/>
        <v>0</v>
      </c>
      <c r="DZ29" s="101">
        <f t="shared" si="17"/>
        <v>0</v>
      </c>
    </row>
    <row r="30">
      <c r="A30" s="102">
        <v>45385.0</v>
      </c>
      <c r="B30" s="101" t="s">
        <v>43</v>
      </c>
      <c r="C30" s="101">
        <v>11.0</v>
      </c>
      <c r="D30" s="101">
        <v>9.0</v>
      </c>
      <c r="E30" s="101">
        <v>30.0</v>
      </c>
      <c r="F30" s="101">
        <v>90.0</v>
      </c>
      <c r="G30" s="101">
        <v>5.0</v>
      </c>
      <c r="H30" s="101">
        <v>0.0</v>
      </c>
      <c r="I30" s="101">
        <v>20.0</v>
      </c>
      <c r="J30" s="101">
        <v>25.0</v>
      </c>
      <c r="K30" s="101">
        <v>45.0</v>
      </c>
      <c r="L30" s="101">
        <v>13.0</v>
      </c>
      <c r="M30" s="101">
        <v>15.0</v>
      </c>
      <c r="N30" s="101">
        <v>14.0</v>
      </c>
      <c r="O30" s="101">
        <v>3.0</v>
      </c>
      <c r="R30" s="101">
        <f t="shared" si="1"/>
        <v>45</v>
      </c>
      <c r="U30" s="101">
        <v>2.0</v>
      </c>
      <c r="Y30" s="101">
        <f t="shared" si="2"/>
        <v>2</v>
      </c>
      <c r="Z30" s="101">
        <v>15.0</v>
      </c>
      <c r="AA30" s="101">
        <v>20.0</v>
      </c>
      <c r="AF30" s="101">
        <f t="shared" si="3"/>
        <v>35</v>
      </c>
      <c r="AI30" s="101">
        <v>1.0</v>
      </c>
      <c r="AM30" s="101">
        <f t="shared" si="4"/>
        <v>1</v>
      </c>
      <c r="AO30" s="101">
        <v>1.0</v>
      </c>
      <c r="AQ30" s="101">
        <v>2.0</v>
      </c>
      <c r="AT30" s="101">
        <f t="shared" si="5"/>
        <v>3</v>
      </c>
      <c r="AV30" s="101">
        <v>1.0</v>
      </c>
      <c r="BA30" s="101">
        <f t="shared" si="6"/>
        <v>1</v>
      </c>
      <c r="BH30" s="101">
        <f t="shared" si="7"/>
        <v>0</v>
      </c>
      <c r="BO30" s="101">
        <f t="shared" si="8"/>
        <v>0</v>
      </c>
      <c r="BR30" s="101">
        <v>6.0</v>
      </c>
      <c r="BS30" s="101">
        <v>6.0</v>
      </c>
      <c r="BV30" s="101">
        <f t="shared" si="9"/>
        <v>12</v>
      </c>
      <c r="CC30" s="101">
        <f t="shared" si="10"/>
        <v>0</v>
      </c>
      <c r="CJ30" s="101">
        <f t="shared" si="11"/>
        <v>0</v>
      </c>
      <c r="CQ30" s="101">
        <f t="shared" si="12"/>
        <v>0</v>
      </c>
      <c r="CX30" s="101">
        <f t="shared" si="13"/>
        <v>0</v>
      </c>
      <c r="DE30" s="101">
        <f t="shared" si="14"/>
        <v>0</v>
      </c>
      <c r="DL30" s="101">
        <f t="shared" si="15"/>
        <v>0</v>
      </c>
      <c r="DS30" s="101">
        <f t="shared" si="16"/>
        <v>0</v>
      </c>
      <c r="DZ30" s="101">
        <f t="shared" si="17"/>
        <v>0</v>
      </c>
    </row>
    <row r="31">
      <c r="A31" s="102">
        <v>45386.0</v>
      </c>
      <c r="B31" s="101" t="s">
        <v>42</v>
      </c>
      <c r="C31" s="101">
        <v>6.0</v>
      </c>
      <c r="D31" s="101">
        <v>7.0</v>
      </c>
      <c r="E31" s="101">
        <v>31.0</v>
      </c>
      <c r="F31" s="101">
        <v>20.0</v>
      </c>
      <c r="G31" s="101">
        <v>0.0</v>
      </c>
      <c r="H31" s="101">
        <v>10.0</v>
      </c>
      <c r="I31" s="101">
        <v>0.0</v>
      </c>
      <c r="J31" s="101">
        <v>10.0</v>
      </c>
      <c r="K31" s="101">
        <v>5.0</v>
      </c>
      <c r="M31" s="101">
        <v>17.0</v>
      </c>
      <c r="N31" s="101">
        <v>7.0</v>
      </c>
      <c r="O31" s="101">
        <v>6.0</v>
      </c>
      <c r="R31" s="101">
        <f t="shared" si="1"/>
        <v>30</v>
      </c>
      <c r="T31" s="101">
        <v>5.0</v>
      </c>
      <c r="Y31" s="101">
        <f t="shared" si="2"/>
        <v>5</v>
      </c>
      <c r="Z31" s="101">
        <v>17.0</v>
      </c>
      <c r="AA31" s="101">
        <v>6.0</v>
      </c>
      <c r="AF31" s="101">
        <f t="shared" si="3"/>
        <v>23</v>
      </c>
      <c r="AJ31" s="101">
        <v>2.0</v>
      </c>
      <c r="AM31" s="101">
        <f t="shared" si="4"/>
        <v>2</v>
      </c>
      <c r="AO31" s="101">
        <v>1.0</v>
      </c>
      <c r="AP31" s="101">
        <v>7.0</v>
      </c>
      <c r="AQ31" s="101">
        <v>10.0</v>
      </c>
      <c r="AR31" s="101">
        <v>2.0</v>
      </c>
      <c r="AT31" s="101">
        <f t="shared" si="5"/>
        <v>20</v>
      </c>
      <c r="AW31" s="101">
        <v>1.0</v>
      </c>
      <c r="BA31" s="101">
        <f t="shared" si="6"/>
        <v>1</v>
      </c>
      <c r="BH31" s="101">
        <f t="shared" si="7"/>
        <v>0</v>
      </c>
      <c r="BK31" s="101">
        <v>2.0</v>
      </c>
      <c r="BO31" s="101">
        <f t="shared" si="8"/>
        <v>2</v>
      </c>
      <c r="BR31" s="101">
        <v>1.0</v>
      </c>
      <c r="BV31" s="101">
        <f t="shared" si="9"/>
        <v>1</v>
      </c>
      <c r="CC31" s="101">
        <f t="shared" si="10"/>
        <v>0</v>
      </c>
      <c r="CJ31" s="101">
        <f t="shared" si="11"/>
        <v>0</v>
      </c>
      <c r="CQ31" s="101">
        <f t="shared" si="12"/>
        <v>0</v>
      </c>
      <c r="CX31" s="101">
        <f t="shared" si="13"/>
        <v>0</v>
      </c>
      <c r="DE31" s="101">
        <f t="shared" si="14"/>
        <v>0</v>
      </c>
      <c r="DL31" s="101">
        <f t="shared" si="15"/>
        <v>0</v>
      </c>
      <c r="DS31" s="101">
        <f t="shared" si="16"/>
        <v>0</v>
      </c>
      <c r="DZ31" s="101">
        <f t="shared" si="17"/>
        <v>0</v>
      </c>
    </row>
    <row r="32">
      <c r="A32" s="102">
        <v>45386.0</v>
      </c>
      <c r="B32" s="101" t="s">
        <v>42</v>
      </c>
      <c r="C32" s="101">
        <v>8.0</v>
      </c>
      <c r="D32" s="101">
        <v>7.0</v>
      </c>
      <c r="E32" s="101">
        <v>31.0</v>
      </c>
      <c r="F32" s="101">
        <v>0.0</v>
      </c>
      <c r="G32" s="101">
        <v>0.0</v>
      </c>
      <c r="H32" s="101">
        <v>5.0</v>
      </c>
      <c r="I32" s="101">
        <v>15.0</v>
      </c>
      <c r="J32" s="101">
        <v>0.0</v>
      </c>
      <c r="K32" s="101">
        <v>5.0</v>
      </c>
      <c r="L32" s="101">
        <v>5.0</v>
      </c>
      <c r="M32" s="101">
        <v>25.0</v>
      </c>
      <c r="N32" s="101">
        <v>5.0</v>
      </c>
      <c r="R32" s="101">
        <f t="shared" si="1"/>
        <v>35</v>
      </c>
      <c r="S32" s="101">
        <v>1.0</v>
      </c>
      <c r="T32" s="101">
        <v>3.0</v>
      </c>
      <c r="Y32" s="101">
        <f t="shared" si="2"/>
        <v>4</v>
      </c>
      <c r="Z32" s="101">
        <v>10.0</v>
      </c>
      <c r="AA32" s="101">
        <v>15.0</v>
      </c>
      <c r="AF32" s="101">
        <f t="shared" si="3"/>
        <v>25</v>
      </c>
      <c r="AM32" s="101">
        <f t="shared" si="4"/>
        <v>0</v>
      </c>
      <c r="AQ32" s="101">
        <v>1.0</v>
      </c>
      <c r="AT32" s="101">
        <f t="shared" si="5"/>
        <v>1</v>
      </c>
      <c r="AV32" s="101">
        <v>1.0</v>
      </c>
      <c r="BA32" s="101">
        <f t="shared" si="6"/>
        <v>1</v>
      </c>
      <c r="BD32" s="101">
        <v>1.0</v>
      </c>
      <c r="BH32" s="101">
        <f t="shared" si="7"/>
        <v>1</v>
      </c>
      <c r="BK32" s="101">
        <v>2.0</v>
      </c>
      <c r="BO32" s="101">
        <f t="shared" si="8"/>
        <v>2</v>
      </c>
      <c r="BR32" s="101">
        <v>1.0</v>
      </c>
      <c r="BV32" s="101">
        <f t="shared" si="9"/>
        <v>1</v>
      </c>
      <c r="CC32" s="101">
        <f t="shared" si="10"/>
        <v>0</v>
      </c>
      <c r="CJ32" s="101">
        <f t="shared" si="11"/>
        <v>0</v>
      </c>
      <c r="CQ32" s="101">
        <f t="shared" si="12"/>
        <v>0</v>
      </c>
      <c r="CX32" s="101">
        <f t="shared" si="13"/>
        <v>0</v>
      </c>
      <c r="DE32" s="101">
        <f t="shared" si="14"/>
        <v>0</v>
      </c>
      <c r="DL32" s="101">
        <f t="shared" si="15"/>
        <v>0</v>
      </c>
      <c r="DS32" s="101">
        <f t="shared" si="16"/>
        <v>0</v>
      </c>
      <c r="DZ32" s="101">
        <f t="shared" si="17"/>
        <v>0</v>
      </c>
    </row>
    <row r="33">
      <c r="A33" s="102">
        <v>45387.0</v>
      </c>
      <c r="B33" s="101" t="s">
        <v>42</v>
      </c>
      <c r="C33" s="101">
        <v>8.0</v>
      </c>
      <c r="D33" s="101">
        <v>7.0</v>
      </c>
      <c r="E33" s="101">
        <v>31.0</v>
      </c>
      <c r="F33" s="101">
        <v>0.0</v>
      </c>
      <c r="G33" s="101">
        <v>10.0</v>
      </c>
      <c r="H33" s="101">
        <v>0.0</v>
      </c>
      <c r="I33" s="101">
        <v>5.0</v>
      </c>
      <c r="J33" s="101">
        <v>10.0</v>
      </c>
      <c r="K33" s="101">
        <v>0.0</v>
      </c>
      <c r="L33" s="101">
        <v>2.0</v>
      </c>
      <c r="M33" s="101">
        <v>24.0</v>
      </c>
      <c r="N33" s="101">
        <v>8.0</v>
      </c>
      <c r="O33" s="101">
        <v>1.0</v>
      </c>
      <c r="R33" s="101">
        <f t="shared" si="1"/>
        <v>35</v>
      </c>
      <c r="S33" s="101">
        <v>2.0</v>
      </c>
      <c r="T33" s="101">
        <v>8.0</v>
      </c>
      <c r="Y33" s="101">
        <f t="shared" si="2"/>
        <v>10</v>
      </c>
      <c r="Z33" s="101">
        <v>13.0</v>
      </c>
      <c r="AA33" s="101">
        <v>29.0</v>
      </c>
      <c r="AB33" s="101">
        <v>1.0</v>
      </c>
      <c r="AF33" s="101">
        <f t="shared" si="3"/>
        <v>43</v>
      </c>
      <c r="AM33" s="101">
        <f t="shared" si="4"/>
        <v>0</v>
      </c>
      <c r="AP33" s="101">
        <v>2.0</v>
      </c>
      <c r="AQ33" s="101">
        <v>20.0</v>
      </c>
      <c r="AR33" s="101">
        <v>1.0</v>
      </c>
      <c r="AT33" s="101">
        <f t="shared" si="5"/>
        <v>23</v>
      </c>
      <c r="AV33" s="101">
        <v>2.0</v>
      </c>
      <c r="AW33" s="101">
        <v>4.0</v>
      </c>
      <c r="BA33" s="101">
        <f t="shared" si="6"/>
        <v>6</v>
      </c>
      <c r="BH33" s="101">
        <f t="shared" si="7"/>
        <v>0</v>
      </c>
      <c r="BI33" s="101">
        <v>2.0</v>
      </c>
      <c r="BK33" s="101">
        <v>1.0</v>
      </c>
      <c r="BO33" s="101">
        <f t="shared" si="8"/>
        <v>3</v>
      </c>
      <c r="BR33" s="101">
        <v>1.0</v>
      </c>
      <c r="BV33" s="101">
        <f t="shared" si="9"/>
        <v>1</v>
      </c>
      <c r="CC33" s="101">
        <f t="shared" si="10"/>
        <v>0</v>
      </c>
      <c r="CJ33" s="101">
        <f t="shared" si="11"/>
        <v>0</v>
      </c>
      <c r="CQ33" s="101">
        <f t="shared" si="12"/>
        <v>0</v>
      </c>
      <c r="CX33" s="101">
        <f t="shared" si="13"/>
        <v>0</v>
      </c>
      <c r="DB33" s="101">
        <v>1.0</v>
      </c>
      <c r="DE33" s="101">
        <f t="shared" si="14"/>
        <v>1</v>
      </c>
      <c r="DJ33" s="101">
        <v>3.0</v>
      </c>
      <c r="DL33" s="101">
        <f t="shared" si="15"/>
        <v>3</v>
      </c>
      <c r="DS33" s="101">
        <f t="shared" si="16"/>
        <v>0</v>
      </c>
      <c r="DZ33" s="101">
        <f t="shared" si="17"/>
        <v>0</v>
      </c>
    </row>
    <row r="34">
      <c r="A34" s="102">
        <v>45387.0</v>
      </c>
      <c r="B34" s="101" t="s">
        <v>42</v>
      </c>
      <c r="C34" s="101">
        <v>6.0</v>
      </c>
      <c r="D34" s="101">
        <v>6.0</v>
      </c>
      <c r="E34" s="101">
        <v>31.0</v>
      </c>
      <c r="F34" s="101">
        <v>0.0</v>
      </c>
      <c r="G34" s="101">
        <v>0.0</v>
      </c>
      <c r="H34" s="101">
        <v>0.0</v>
      </c>
      <c r="I34" s="101">
        <v>0.0</v>
      </c>
      <c r="J34" s="101">
        <v>20.0</v>
      </c>
      <c r="K34" s="101">
        <v>0.0</v>
      </c>
      <c r="L34" s="101">
        <v>1.0</v>
      </c>
      <c r="M34" s="101">
        <v>16.0</v>
      </c>
      <c r="N34" s="101">
        <v>3.0</v>
      </c>
      <c r="R34" s="101">
        <f t="shared" si="1"/>
        <v>20</v>
      </c>
      <c r="S34" s="101">
        <v>1.0</v>
      </c>
      <c r="U34" s="101">
        <v>2.0</v>
      </c>
      <c r="Y34" s="101">
        <f t="shared" si="2"/>
        <v>3</v>
      </c>
      <c r="Z34" s="101">
        <v>5.0</v>
      </c>
      <c r="AA34" s="101">
        <v>6.0</v>
      </c>
      <c r="AF34" s="101">
        <f t="shared" si="3"/>
        <v>11</v>
      </c>
      <c r="AK34" s="101">
        <v>1.0</v>
      </c>
      <c r="AM34" s="101">
        <f t="shared" si="4"/>
        <v>1</v>
      </c>
      <c r="AP34" s="101">
        <v>2.0</v>
      </c>
      <c r="AQ34" s="101">
        <v>3.0</v>
      </c>
      <c r="AT34" s="101">
        <f t="shared" si="5"/>
        <v>5</v>
      </c>
      <c r="AW34" s="101">
        <v>34.0</v>
      </c>
      <c r="BA34" s="101">
        <f t="shared" si="6"/>
        <v>34</v>
      </c>
      <c r="BD34" s="101">
        <v>1.0</v>
      </c>
      <c r="BH34" s="101">
        <f t="shared" si="7"/>
        <v>1</v>
      </c>
      <c r="BI34" s="101">
        <v>7.0</v>
      </c>
      <c r="BJ34" s="101">
        <v>6.0</v>
      </c>
      <c r="BK34" s="101">
        <v>3.0</v>
      </c>
      <c r="BO34" s="101">
        <f t="shared" si="8"/>
        <v>16</v>
      </c>
      <c r="BP34" s="101">
        <v>1.0</v>
      </c>
      <c r="BV34" s="101">
        <f t="shared" si="9"/>
        <v>1</v>
      </c>
      <c r="CC34" s="101">
        <f t="shared" si="10"/>
        <v>0</v>
      </c>
      <c r="CJ34" s="101">
        <f t="shared" si="11"/>
        <v>0</v>
      </c>
      <c r="CQ34" s="101">
        <f t="shared" si="12"/>
        <v>0</v>
      </c>
      <c r="CX34" s="101">
        <f t="shared" si="13"/>
        <v>0</v>
      </c>
      <c r="DE34" s="101">
        <f t="shared" si="14"/>
        <v>0</v>
      </c>
      <c r="DL34" s="101">
        <f t="shared" si="15"/>
        <v>0</v>
      </c>
      <c r="DS34" s="101">
        <f t="shared" si="16"/>
        <v>0</v>
      </c>
      <c r="DZ34" s="101">
        <f t="shared" si="17"/>
        <v>0</v>
      </c>
    </row>
    <row r="35">
      <c r="A35" s="102">
        <v>45397.0</v>
      </c>
      <c r="B35" s="101" t="s">
        <v>42</v>
      </c>
      <c r="C35" s="101">
        <v>6.0</v>
      </c>
      <c r="D35" s="101">
        <v>6.0</v>
      </c>
      <c r="E35" s="101">
        <v>29.0</v>
      </c>
      <c r="F35" s="101">
        <v>0.0</v>
      </c>
      <c r="G35" s="101">
        <v>0.0</v>
      </c>
      <c r="H35" s="101">
        <v>0.0</v>
      </c>
      <c r="I35" s="101">
        <v>0.0</v>
      </c>
      <c r="J35" s="101">
        <v>20.0</v>
      </c>
      <c r="K35" s="101">
        <v>0.0</v>
      </c>
      <c r="L35" s="101">
        <v>13.0</v>
      </c>
      <c r="M35" s="101">
        <v>19.0</v>
      </c>
      <c r="N35" s="101">
        <v>4.0</v>
      </c>
      <c r="R35" s="101">
        <f t="shared" si="1"/>
        <v>36</v>
      </c>
      <c r="T35" s="101">
        <v>8.0</v>
      </c>
      <c r="Y35" s="101">
        <f t="shared" si="2"/>
        <v>8</v>
      </c>
      <c r="Z35" s="101">
        <v>16.0</v>
      </c>
      <c r="AF35" s="101">
        <f t="shared" si="3"/>
        <v>16</v>
      </c>
      <c r="AH35" s="101">
        <v>1.0</v>
      </c>
      <c r="AJ35" s="101">
        <v>4.0</v>
      </c>
      <c r="AM35" s="101">
        <f t="shared" si="4"/>
        <v>5</v>
      </c>
      <c r="AO35" s="101">
        <v>1.0</v>
      </c>
      <c r="AP35" s="101">
        <v>3.0</v>
      </c>
      <c r="AQ35" s="101">
        <v>1.0</v>
      </c>
      <c r="AT35" s="101">
        <f t="shared" si="5"/>
        <v>5</v>
      </c>
      <c r="AV35" s="101">
        <v>4.0</v>
      </c>
      <c r="AW35" s="101">
        <v>5.0</v>
      </c>
      <c r="BA35" s="101">
        <f t="shared" si="6"/>
        <v>9</v>
      </c>
      <c r="BH35" s="101">
        <f t="shared" si="7"/>
        <v>0</v>
      </c>
      <c r="BO35" s="101">
        <f t="shared" si="8"/>
        <v>0</v>
      </c>
      <c r="BR35" s="101">
        <v>1.0</v>
      </c>
      <c r="BV35" s="101">
        <f t="shared" si="9"/>
        <v>1</v>
      </c>
      <c r="CC35" s="101">
        <f t="shared" si="10"/>
        <v>0</v>
      </c>
      <c r="CJ35" s="101">
        <f t="shared" si="11"/>
        <v>0</v>
      </c>
      <c r="CQ35" s="101">
        <f t="shared" si="12"/>
        <v>0</v>
      </c>
      <c r="CX35" s="101">
        <f t="shared" si="13"/>
        <v>0</v>
      </c>
      <c r="DE35" s="101">
        <f t="shared" si="14"/>
        <v>0</v>
      </c>
      <c r="DL35" s="101">
        <f t="shared" si="15"/>
        <v>0</v>
      </c>
      <c r="DS35" s="101">
        <f t="shared" si="16"/>
        <v>0</v>
      </c>
      <c r="DZ35" s="101">
        <f t="shared" si="17"/>
        <v>0</v>
      </c>
    </row>
    <row r="36">
      <c r="A36" s="102">
        <v>45397.0</v>
      </c>
      <c r="B36" s="101" t="s">
        <v>42</v>
      </c>
      <c r="C36" s="101">
        <v>6.0</v>
      </c>
      <c r="D36" s="101">
        <v>6.0</v>
      </c>
      <c r="E36" s="101">
        <v>29.0</v>
      </c>
      <c r="F36" s="101">
        <v>20.0</v>
      </c>
      <c r="G36" s="101">
        <v>0.0</v>
      </c>
      <c r="H36" s="101">
        <v>15.0</v>
      </c>
      <c r="I36" s="101">
        <v>25.0</v>
      </c>
      <c r="J36" s="101">
        <v>10.0</v>
      </c>
      <c r="K36" s="101">
        <v>0.0</v>
      </c>
      <c r="L36" s="101">
        <v>29.0</v>
      </c>
      <c r="M36" s="101">
        <v>6.0</v>
      </c>
      <c r="N36" s="101">
        <v>1.0</v>
      </c>
      <c r="R36" s="101">
        <f t="shared" si="1"/>
        <v>36</v>
      </c>
      <c r="S36" s="101">
        <v>1.0</v>
      </c>
      <c r="T36" s="101">
        <v>12.0</v>
      </c>
      <c r="Y36" s="101">
        <f t="shared" si="2"/>
        <v>13</v>
      </c>
      <c r="Z36" s="101">
        <v>7.0</v>
      </c>
      <c r="AA36" s="101">
        <v>2.0</v>
      </c>
      <c r="AF36" s="101">
        <f t="shared" si="3"/>
        <v>9</v>
      </c>
      <c r="AH36" s="101">
        <v>1.0</v>
      </c>
      <c r="AM36" s="101">
        <f t="shared" si="4"/>
        <v>1</v>
      </c>
      <c r="AO36" s="101">
        <v>2.0</v>
      </c>
      <c r="AP36" s="101">
        <v>4.0</v>
      </c>
      <c r="AQ36" s="101">
        <v>1.0</v>
      </c>
      <c r="AT36" s="101">
        <f t="shared" si="5"/>
        <v>7</v>
      </c>
      <c r="AV36" s="101">
        <v>4.0</v>
      </c>
      <c r="BA36" s="101">
        <f t="shared" si="6"/>
        <v>4</v>
      </c>
      <c r="BH36" s="101">
        <f t="shared" si="7"/>
        <v>0</v>
      </c>
      <c r="BK36" s="101">
        <v>1.0</v>
      </c>
      <c r="BO36" s="101">
        <f t="shared" si="8"/>
        <v>1</v>
      </c>
      <c r="BQ36" s="101">
        <v>1.0</v>
      </c>
      <c r="BV36" s="101">
        <f t="shared" si="9"/>
        <v>1</v>
      </c>
      <c r="CC36" s="101">
        <f t="shared" si="10"/>
        <v>0</v>
      </c>
      <c r="CJ36" s="101">
        <f t="shared" si="11"/>
        <v>0</v>
      </c>
      <c r="CQ36" s="101">
        <f t="shared" si="12"/>
        <v>0</v>
      </c>
      <c r="CX36" s="101">
        <f t="shared" si="13"/>
        <v>0</v>
      </c>
      <c r="DE36" s="101">
        <f t="shared" si="14"/>
        <v>0</v>
      </c>
      <c r="DL36" s="101">
        <f t="shared" si="15"/>
        <v>0</v>
      </c>
      <c r="DS36" s="101">
        <f t="shared" si="16"/>
        <v>0</v>
      </c>
      <c r="DZ36" s="101">
        <f t="shared" si="17"/>
        <v>0</v>
      </c>
    </row>
    <row r="37">
      <c r="A37" s="102">
        <v>45544.0</v>
      </c>
      <c r="B37" s="101" t="s">
        <v>42</v>
      </c>
      <c r="C37" s="101">
        <v>10.0</v>
      </c>
      <c r="D37" s="101">
        <v>7.0</v>
      </c>
      <c r="E37" s="101">
        <v>30.0</v>
      </c>
      <c r="F37" s="101">
        <v>15.0</v>
      </c>
      <c r="G37" s="101">
        <v>30.0</v>
      </c>
      <c r="H37" s="101">
        <v>0.0</v>
      </c>
      <c r="I37" s="101">
        <v>25.0</v>
      </c>
      <c r="J37" s="101">
        <v>30.0</v>
      </c>
      <c r="K37" s="101">
        <v>5.0</v>
      </c>
      <c r="L37" s="101">
        <v>13.0</v>
      </c>
      <c r="M37" s="101">
        <v>8.0</v>
      </c>
      <c r="N37" s="101">
        <v>5.0</v>
      </c>
      <c r="O37" s="101">
        <v>1.0</v>
      </c>
      <c r="R37" s="101">
        <f t="shared" si="1"/>
        <v>27</v>
      </c>
      <c r="T37" s="101">
        <v>1.0</v>
      </c>
      <c r="U37" s="101">
        <v>1.0</v>
      </c>
      <c r="Y37" s="101">
        <f t="shared" si="2"/>
        <v>2</v>
      </c>
      <c r="Z37" s="101">
        <v>15.0</v>
      </c>
      <c r="AA37" s="101">
        <v>22.0</v>
      </c>
      <c r="AB37" s="101">
        <v>1.0</v>
      </c>
      <c r="AF37" s="101">
        <f t="shared" si="3"/>
        <v>38</v>
      </c>
      <c r="AH37" s="101">
        <v>1.0</v>
      </c>
      <c r="AM37" s="101">
        <f t="shared" si="4"/>
        <v>1</v>
      </c>
      <c r="AO37" s="101">
        <v>1.0</v>
      </c>
      <c r="AP37" s="101">
        <v>1.0</v>
      </c>
      <c r="AT37" s="101">
        <f t="shared" si="5"/>
        <v>2</v>
      </c>
      <c r="AV37" s="101">
        <v>1.0</v>
      </c>
      <c r="BA37" s="101">
        <f t="shared" si="6"/>
        <v>1</v>
      </c>
      <c r="BH37" s="101">
        <f t="shared" si="7"/>
        <v>0</v>
      </c>
      <c r="BO37" s="101">
        <f t="shared" si="8"/>
        <v>0</v>
      </c>
      <c r="BQ37" s="101">
        <v>1.0</v>
      </c>
      <c r="BV37" s="101">
        <f t="shared" si="9"/>
        <v>1</v>
      </c>
      <c r="CC37" s="101">
        <f t="shared" si="10"/>
        <v>0</v>
      </c>
      <c r="CJ37" s="101">
        <f t="shared" si="11"/>
        <v>0</v>
      </c>
      <c r="CQ37" s="101">
        <f t="shared" si="12"/>
        <v>0</v>
      </c>
      <c r="CX37" s="101">
        <f t="shared" si="13"/>
        <v>0</v>
      </c>
      <c r="DE37" s="101">
        <f t="shared" si="14"/>
        <v>0</v>
      </c>
      <c r="DL37" s="101">
        <f t="shared" si="15"/>
        <v>0</v>
      </c>
      <c r="DS37" s="101">
        <f t="shared" si="16"/>
        <v>0</v>
      </c>
      <c r="DZ37" s="101">
        <f t="shared" si="17"/>
        <v>0</v>
      </c>
    </row>
    <row r="38">
      <c r="A38" s="102">
        <v>45544.0</v>
      </c>
      <c r="B38" s="101" t="s">
        <v>41</v>
      </c>
      <c r="C38" s="101">
        <v>9.0</v>
      </c>
      <c r="D38" s="101">
        <v>10.0</v>
      </c>
      <c r="E38" s="101">
        <v>30.0</v>
      </c>
      <c r="F38" s="101">
        <v>0.0</v>
      </c>
      <c r="G38" s="101">
        <v>0.0</v>
      </c>
      <c r="H38" s="101">
        <v>0.0</v>
      </c>
      <c r="I38" s="101">
        <v>5.0</v>
      </c>
      <c r="J38" s="101">
        <v>0.0</v>
      </c>
      <c r="K38" s="101">
        <v>0.0</v>
      </c>
      <c r="L38" s="101">
        <v>11.0</v>
      </c>
      <c r="M38" s="101">
        <v>10.0</v>
      </c>
      <c r="N38" s="101">
        <v>5.0</v>
      </c>
      <c r="R38" s="101">
        <f t="shared" si="1"/>
        <v>26</v>
      </c>
      <c r="U38" s="101">
        <v>1.0</v>
      </c>
      <c r="Y38" s="101">
        <f t="shared" si="2"/>
        <v>1</v>
      </c>
      <c r="Z38" s="101">
        <v>8.0</v>
      </c>
      <c r="AA38" s="101">
        <v>5.0</v>
      </c>
      <c r="AB38" s="101">
        <v>1.0</v>
      </c>
      <c r="AF38" s="101">
        <f t="shared" si="3"/>
        <v>14</v>
      </c>
      <c r="AM38" s="101">
        <f t="shared" si="4"/>
        <v>0</v>
      </c>
      <c r="AO38" s="101">
        <v>1.0</v>
      </c>
      <c r="AT38" s="101">
        <f t="shared" si="5"/>
        <v>1</v>
      </c>
      <c r="BA38" s="101">
        <f t="shared" si="6"/>
        <v>0</v>
      </c>
      <c r="BH38" s="101">
        <f t="shared" si="7"/>
        <v>0</v>
      </c>
      <c r="BJ38" s="101">
        <v>1.0</v>
      </c>
      <c r="BO38" s="101">
        <f t="shared" si="8"/>
        <v>1</v>
      </c>
      <c r="BV38" s="101">
        <f t="shared" si="9"/>
        <v>0</v>
      </c>
      <c r="CC38" s="101">
        <f t="shared" si="10"/>
        <v>0</v>
      </c>
      <c r="CJ38" s="101">
        <f t="shared" si="11"/>
        <v>0</v>
      </c>
      <c r="CL38" s="101">
        <v>1.0</v>
      </c>
      <c r="CQ38" s="101">
        <f t="shared" si="12"/>
        <v>1</v>
      </c>
      <c r="CX38" s="101">
        <f t="shared" si="13"/>
        <v>0</v>
      </c>
      <c r="DE38" s="101">
        <f t="shared" si="14"/>
        <v>0</v>
      </c>
      <c r="DL38" s="101">
        <f t="shared" si="15"/>
        <v>0</v>
      </c>
      <c r="DS38" s="101">
        <f t="shared" si="16"/>
        <v>0</v>
      </c>
      <c r="DZ38" s="101">
        <f t="shared" si="17"/>
        <v>0</v>
      </c>
    </row>
    <row r="39">
      <c r="A39" s="102">
        <v>45546.0</v>
      </c>
      <c r="B39" s="101" t="s">
        <v>44</v>
      </c>
      <c r="C39" s="101">
        <v>12.0</v>
      </c>
      <c r="D39" s="101">
        <v>14.0</v>
      </c>
      <c r="E39" s="101">
        <v>30.0</v>
      </c>
      <c r="F39" s="101">
        <v>0.0</v>
      </c>
      <c r="G39" s="101">
        <v>0.0</v>
      </c>
      <c r="H39" s="101">
        <v>40.0</v>
      </c>
      <c r="I39" s="101">
        <v>5.0</v>
      </c>
      <c r="J39" s="101">
        <v>0.0</v>
      </c>
      <c r="K39" s="101">
        <v>15.0</v>
      </c>
      <c r="L39" s="101">
        <v>0.0</v>
      </c>
      <c r="M39" s="101">
        <v>11.0</v>
      </c>
      <c r="N39" s="101">
        <v>10.0</v>
      </c>
      <c r="O39" s="101">
        <v>1.0</v>
      </c>
      <c r="P39" s="101">
        <v>1.0</v>
      </c>
      <c r="Q39" s="101">
        <v>1.0</v>
      </c>
      <c r="R39" s="101">
        <f t="shared" si="1"/>
        <v>24</v>
      </c>
      <c r="U39" s="101">
        <v>1.0</v>
      </c>
      <c r="Y39" s="101">
        <f t="shared" si="2"/>
        <v>1</v>
      </c>
      <c r="Z39" s="101">
        <v>4.0</v>
      </c>
      <c r="AA39" s="101">
        <v>11.0</v>
      </c>
      <c r="AB39" s="101">
        <v>3.0</v>
      </c>
      <c r="AF39" s="101">
        <f t="shared" si="3"/>
        <v>18</v>
      </c>
      <c r="AJ39" s="101">
        <v>2.0</v>
      </c>
      <c r="AM39" s="101">
        <f t="shared" si="4"/>
        <v>2</v>
      </c>
      <c r="AP39" s="101">
        <v>3.0</v>
      </c>
      <c r="AQ39" s="101">
        <v>2.0</v>
      </c>
      <c r="AT39" s="101">
        <f t="shared" si="5"/>
        <v>5</v>
      </c>
      <c r="BA39" s="101">
        <f t="shared" si="6"/>
        <v>0</v>
      </c>
      <c r="BH39" s="101">
        <f t="shared" si="7"/>
        <v>0</v>
      </c>
      <c r="BO39" s="101">
        <f t="shared" si="8"/>
        <v>0</v>
      </c>
      <c r="BS39" s="101">
        <v>2.0</v>
      </c>
      <c r="BV39" s="101">
        <f t="shared" si="9"/>
        <v>2</v>
      </c>
      <c r="CC39" s="101">
        <f t="shared" si="10"/>
        <v>0</v>
      </c>
      <c r="CJ39" s="101">
        <f t="shared" si="11"/>
        <v>0</v>
      </c>
      <c r="CQ39" s="101">
        <f t="shared" si="12"/>
        <v>0</v>
      </c>
      <c r="CX39" s="101">
        <f t="shared" si="13"/>
        <v>0</v>
      </c>
      <c r="DE39" s="101">
        <f t="shared" si="14"/>
        <v>0</v>
      </c>
      <c r="DL39" s="101">
        <f t="shared" si="15"/>
        <v>0</v>
      </c>
      <c r="DS39" s="101">
        <f t="shared" si="16"/>
        <v>0</v>
      </c>
      <c r="DZ39" s="101">
        <f t="shared" si="17"/>
        <v>0</v>
      </c>
    </row>
    <row r="40">
      <c r="A40" s="102">
        <v>45546.0</v>
      </c>
      <c r="B40" s="101" t="s">
        <v>43</v>
      </c>
      <c r="C40" s="101">
        <v>10.0</v>
      </c>
      <c r="D40" s="101">
        <v>11.0</v>
      </c>
      <c r="E40" s="101">
        <v>30.0</v>
      </c>
      <c r="F40" s="101">
        <v>40.0</v>
      </c>
      <c r="G40" s="101">
        <v>40.0</v>
      </c>
      <c r="H40" s="101">
        <v>45.0</v>
      </c>
      <c r="I40" s="101">
        <v>0.0</v>
      </c>
      <c r="J40" s="101">
        <v>45.0</v>
      </c>
      <c r="K40" s="101">
        <v>50.0</v>
      </c>
      <c r="L40" s="101">
        <v>5.0</v>
      </c>
      <c r="M40" s="101">
        <v>6.0</v>
      </c>
      <c r="N40" s="101">
        <v>10.0</v>
      </c>
      <c r="R40" s="101">
        <f t="shared" si="1"/>
        <v>21</v>
      </c>
      <c r="T40" s="101">
        <v>1.0</v>
      </c>
      <c r="Y40" s="101">
        <f t="shared" si="2"/>
        <v>1</v>
      </c>
      <c r="Z40" s="101">
        <v>6.0</v>
      </c>
      <c r="AA40" s="101">
        <v>26.0</v>
      </c>
      <c r="AB40" s="101">
        <v>1.0</v>
      </c>
      <c r="AF40" s="101">
        <f t="shared" si="3"/>
        <v>33</v>
      </c>
      <c r="AM40" s="101">
        <f t="shared" si="4"/>
        <v>0</v>
      </c>
      <c r="AP40" s="101">
        <v>11.0</v>
      </c>
      <c r="AR40" s="101">
        <v>1.0</v>
      </c>
      <c r="AT40" s="101">
        <f t="shared" si="5"/>
        <v>12</v>
      </c>
      <c r="BA40" s="101">
        <f t="shared" si="6"/>
        <v>0</v>
      </c>
      <c r="BH40" s="101">
        <f t="shared" si="7"/>
        <v>0</v>
      </c>
      <c r="BO40" s="101">
        <f t="shared" si="8"/>
        <v>0</v>
      </c>
      <c r="BQ40" s="101">
        <v>1.0</v>
      </c>
      <c r="BR40" s="101">
        <v>7.0</v>
      </c>
      <c r="BV40" s="101">
        <f t="shared" si="9"/>
        <v>8</v>
      </c>
      <c r="CC40" s="101">
        <f t="shared" si="10"/>
        <v>0</v>
      </c>
      <c r="CJ40" s="101">
        <f t="shared" si="11"/>
        <v>0</v>
      </c>
      <c r="CQ40" s="101">
        <f t="shared" si="12"/>
        <v>0</v>
      </c>
      <c r="CX40" s="101">
        <f t="shared" si="13"/>
        <v>0</v>
      </c>
      <c r="DE40" s="101">
        <f t="shared" si="14"/>
        <v>0</v>
      </c>
      <c r="DL40" s="101">
        <f t="shared" si="15"/>
        <v>0</v>
      </c>
      <c r="DS40" s="101">
        <f t="shared" si="16"/>
        <v>0</v>
      </c>
      <c r="DZ40" s="101">
        <f t="shared" si="17"/>
        <v>0</v>
      </c>
    </row>
    <row r="41">
      <c r="A41" s="102">
        <v>45547.0</v>
      </c>
      <c r="B41" s="101" t="s">
        <v>45</v>
      </c>
      <c r="C41" s="101">
        <v>11.0</v>
      </c>
      <c r="D41" s="101">
        <v>11.0</v>
      </c>
      <c r="E41" s="101">
        <v>30.0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5.0</v>
      </c>
      <c r="K41" s="101">
        <v>30.0</v>
      </c>
      <c r="L41" s="101">
        <v>16.0</v>
      </c>
      <c r="M41" s="101">
        <v>7.0</v>
      </c>
      <c r="N41" s="101">
        <v>12.0</v>
      </c>
      <c r="O41" s="101">
        <v>2.0</v>
      </c>
      <c r="R41" s="101">
        <f t="shared" si="1"/>
        <v>37</v>
      </c>
      <c r="T41" s="101">
        <v>3.0</v>
      </c>
      <c r="Y41" s="101">
        <f t="shared" si="2"/>
        <v>3</v>
      </c>
      <c r="Z41" s="101">
        <v>5.0</v>
      </c>
      <c r="AA41" s="101">
        <v>23.0</v>
      </c>
      <c r="AB41" s="101">
        <v>1.0</v>
      </c>
      <c r="AF41" s="101">
        <f t="shared" si="3"/>
        <v>29</v>
      </c>
      <c r="AM41" s="101">
        <f t="shared" si="4"/>
        <v>0</v>
      </c>
      <c r="AT41" s="101">
        <f t="shared" si="5"/>
        <v>0</v>
      </c>
      <c r="BA41" s="101">
        <f t="shared" si="6"/>
        <v>0</v>
      </c>
      <c r="BH41" s="101">
        <f t="shared" si="7"/>
        <v>0</v>
      </c>
      <c r="BJ41" s="101">
        <v>1.0</v>
      </c>
      <c r="BK41" s="101">
        <v>1.0</v>
      </c>
      <c r="BO41" s="101">
        <f t="shared" si="8"/>
        <v>2</v>
      </c>
      <c r="BR41" s="101">
        <v>1.0</v>
      </c>
      <c r="BS41" s="101">
        <v>1.0</v>
      </c>
      <c r="BV41" s="101">
        <f t="shared" si="9"/>
        <v>2</v>
      </c>
      <c r="CC41" s="101">
        <f t="shared" si="10"/>
        <v>0</v>
      </c>
      <c r="CJ41" s="101">
        <f t="shared" si="11"/>
        <v>0</v>
      </c>
      <c r="CQ41" s="101">
        <f t="shared" si="12"/>
        <v>0</v>
      </c>
      <c r="CX41" s="101">
        <f t="shared" si="13"/>
        <v>0</v>
      </c>
      <c r="DE41" s="101">
        <f t="shared" si="14"/>
        <v>0</v>
      </c>
      <c r="DL41" s="101">
        <f t="shared" si="15"/>
        <v>0</v>
      </c>
      <c r="DS41" s="101">
        <f t="shared" si="16"/>
        <v>0</v>
      </c>
      <c r="DZ41" s="101">
        <f t="shared" si="17"/>
        <v>0</v>
      </c>
    </row>
    <row r="42">
      <c r="A42" s="102">
        <v>45547.0</v>
      </c>
      <c r="B42" s="101" t="s">
        <v>42</v>
      </c>
      <c r="C42" s="101">
        <v>10.0</v>
      </c>
      <c r="D42" s="101">
        <v>9.0</v>
      </c>
      <c r="E42" s="101">
        <v>30.0</v>
      </c>
      <c r="F42" s="101">
        <v>5.0</v>
      </c>
      <c r="G42" s="101">
        <v>0.0</v>
      </c>
      <c r="H42" s="101">
        <v>0.0</v>
      </c>
      <c r="I42" s="101">
        <v>0.0</v>
      </c>
      <c r="J42" s="101">
        <v>0.0</v>
      </c>
      <c r="K42" s="101">
        <v>5.0</v>
      </c>
      <c r="L42" s="101">
        <v>15.0</v>
      </c>
      <c r="M42" s="101">
        <v>14.0</v>
      </c>
      <c r="N42" s="101">
        <v>8.0</v>
      </c>
      <c r="O42" s="101">
        <v>2.0</v>
      </c>
      <c r="R42" s="101">
        <f t="shared" si="1"/>
        <v>39</v>
      </c>
      <c r="T42" s="101">
        <v>2.0</v>
      </c>
      <c r="U42" s="101">
        <v>2.0</v>
      </c>
      <c r="Y42" s="101">
        <f t="shared" si="2"/>
        <v>4</v>
      </c>
      <c r="Z42" s="101">
        <v>7.0</v>
      </c>
      <c r="AA42" s="101">
        <v>10.0</v>
      </c>
      <c r="AB42" s="101">
        <v>2.0</v>
      </c>
      <c r="AF42" s="101">
        <f t="shared" si="3"/>
        <v>19</v>
      </c>
      <c r="AM42" s="101">
        <f t="shared" si="4"/>
        <v>0</v>
      </c>
      <c r="AT42" s="101">
        <f t="shared" si="5"/>
        <v>0</v>
      </c>
      <c r="AW42" s="101">
        <v>2.0</v>
      </c>
      <c r="BA42" s="101">
        <f t="shared" si="6"/>
        <v>2</v>
      </c>
      <c r="BH42" s="101">
        <f t="shared" si="7"/>
        <v>0</v>
      </c>
      <c r="BK42" s="101">
        <v>2.0</v>
      </c>
      <c r="BO42" s="101">
        <f t="shared" si="8"/>
        <v>2</v>
      </c>
      <c r="BR42" s="101">
        <v>2.0</v>
      </c>
      <c r="BS42" s="101">
        <v>1.0</v>
      </c>
      <c r="BT42" s="101">
        <v>1.0</v>
      </c>
      <c r="BV42" s="101">
        <f t="shared" si="9"/>
        <v>4</v>
      </c>
      <c r="CC42" s="101">
        <f t="shared" si="10"/>
        <v>0</v>
      </c>
      <c r="CJ42" s="101">
        <f t="shared" si="11"/>
        <v>0</v>
      </c>
      <c r="CQ42" s="101">
        <f t="shared" si="12"/>
        <v>0</v>
      </c>
      <c r="CX42" s="101">
        <f t="shared" si="13"/>
        <v>0</v>
      </c>
      <c r="DE42" s="101">
        <f t="shared" si="14"/>
        <v>0</v>
      </c>
      <c r="DL42" s="101">
        <f t="shared" si="15"/>
        <v>0</v>
      </c>
      <c r="DS42" s="101">
        <f t="shared" si="16"/>
        <v>0</v>
      </c>
      <c r="DZ42" s="101">
        <f t="shared" si="17"/>
        <v>0</v>
      </c>
    </row>
    <row r="43">
      <c r="A43" s="102">
        <v>45548.0</v>
      </c>
      <c r="B43" s="101" t="s">
        <v>44</v>
      </c>
      <c r="C43" s="101">
        <v>14.0</v>
      </c>
      <c r="D43" s="101">
        <v>14.0</v>
      </c>
      <c r="E43" s="101">
        <v>30.0</v>
      </c>
      <c r="F43" s="101">
        <v>0.0</v>
      </c>
      <c r="G43" s="101">
        <v>20.0</v>
      </c>
      <c r="H43" s="101">
        <v>30.0</v>
      </c>
      <c r="I43" s="101">
        <v>30.0</v>
      </c>
      <c r="J43" s="101">
        <v>40.0</v>
      </c>
      <c r="K43" s="101">
        <v>50.0</v>
      </c>
      <c r="M43" s="101">
        <v>4.0</v>
      </c>
      <c r="N43" s="101">
        <v>7.0</v>
      </c>
      <c r="O43" s="101">
        <v>1.0</v>
      </c>
      <c r="R43" s="101">
        <f t="shared" si="1"/>
        <v>12</v>
      </c>
      <c r="S43" s="101">
        <v>1.0</v>
      </c>
      <c r="Y43" s="101">
        <f t="shared" si="2"/>
        <v>1</v>
      </c>
      <c r="Z43" s="101">
        <v>4.0</v>
      </c>
      <c r="AA43" s="101">
        <v>5.0</v>
      </c>
      <c r="AF43" s="101">
        <f t="shared" si="3"/>
        <v>9</v>
      </c>
      <c r="AI43" s="101">
        <v>1.0</v>
      </c>
      <c r="AM43" s="101">
        <f t="shared" si="4"/>
        <v>1</v>
      </c>
      <c r="AP43" s="101">
        <v>9.0</v>
      </c>
      <c r="AQ43" s="101">
        <v>3.0</v>
      </c>
      <c r="AT43" s="101">
        <f t="shared" si="5"/>
        <v>12</v>
      </c>
      <c r="AV43" s="101">
        <v>1.0</v>
      </c>
      <c r="BA43" s="101">
        <f t="shared" si="6"/>
        <v>1</v>
      </c>
      <c r="BD43" s="101">
        <v>1.0</v>
      </c>
      <c r="BH43" s="101">
        <f t="shared" si="7"/>
        <v>1</v>
      </c>
      <c r="BJ43" s="101">
        <v>1.0</v>
      </c>
      <c r="BK43" s="101">
        <v>4.0</v>
      </c>
      <c r="BL43" s="101">
        <v>2.0</v>
      </c>
      <c r="BO43" s="101">
        <f t="shared" si="8"/>
        <v>7</v>
      </c>
      <c r="BV43" s="101">
        <f t="shared" si="9"/>
        <v>0</v>
      </c>
      <c r="CC43" s="101">
        <f t="shared" si="10"/>
        <v>0</v>
      </c>
      <c r="CJ43" s="101">
        <f t="shared" si="11"/>
        <v>0</v>
      </c>
      <c r="CQ43" s="101">
        <f t="shared" si="12"/>
        <v>0</v>
      </c>
      <c r="CX43" s="101">
        <f t="shared" si="13"/>
        <v>0</v>
      </c>
      <c r="DE43" s="101">
        <f t="shared" si="14"/>
        <v>0</v>
      </c>
      <c r="DL43" s="101">
        <f t="shared" si="15"/>
        <v>0</v>
      </c>
      <c r="DS43" s="101">
        <f t="shared" si="16"/>
        <v>0</v>
      </c>
      <c r="DZ43" s="101">
        <f t="shared" si="17"/>
        <v>0</v>
      </c>
    </row>
    <row r="44">
      <c r="A44" s="102">
        <v>45548.0</v>
      </c>
      <c r="B44" s="101" t="s">
        <v>43</v>
      </c>
      <c r="C44" s="101">
        <v>9.0</v>
      </c>
      <c r="D44" s="101">
        <v>8.0</v>
      </c>
      <c r="E44" s="101">
        <v>30.0</v>
      </c>
      <c r="F44" s="101">
        <v>15.0</v>
      </c>
      <c r="G44" s="101">
        <v>0.0</v>
      </c>
      <c r="H44" s="101">
        <v>0.0</v>
      </c>
      <c r="I44" s="101">
        <v>0.0</v>
      </c>
      <c r="J44" s="101">
        <v>10.0</v>
      </c>
      <c r="K44" s="101">
        <v>0.0</v>
      </c>
      <c r="L44" s="101">
        <v>11.0</v>
      </c>
      <c r="M44" s="101">
        <v>11.0</v>
      </c>
      <c r="N44" s="101">
        <v>5.0</v>
      </c>
      <c r="R44" s="101">
        <f t="shared" si="1"/>
        <v>27</v>
      </c>
      <c r="T44" s="101">
        <v>1.0</v>
      </c>
      <c r="U44" s="101">
        <v>1.0</v>
      </c>
      <c r="Y44" s="101">
        <f t="shared" si="2"/>
        <v>2</v>
      </c>
      <c r="Z44" s="101">
        <v>8.0</v>
      </c>
      <c r="AA44" s="101">
        <v>8.0</v>
      </c>
      <c r="AB44" s="101">
        <v>1.0</v>
      </c>
      <c r="AF44" s="101">
        <f t="shared" si="3"/>
        <v>17</v>
      </c>
      <c r="AI44" s="101">
        <v>1.0</v>
      </c>
      <c r="AM44" s="101">
        <f t="shared" si="4"/>
        <v>1</v>
      </c>
      <c r="AT44" s="101">
        <f t="shared" si="5"/>
        <v>0</v>
      </c>
      <c r="BA44" s="101">
        <f t="shared" si="6"/>
        <v>0</v>
      </c>
      <c r="BH44" s="101">
        <f t="shared" si="7"/>
        <v>0</v>
      </c>
      <c r="BO44" s="101">
        <f t="shared" si="8"/>
        <v>0</v>
      </c>
      <c r="BR44" s="101">
        <v>9.0</v>
      </c>
      <c r="BS44" s="101">
        <v>1.0</v>
      </c>
      <c r="BV44" s="101">
        <f t="shared" si="9"/>
        <v>10</v>
      </c>
      <c r="CC44" s="101">
        <f t="shared" si="10"/>
        <v>0</v>
      </c>
      <c r="CJ44" s="101">
        <f t="shared" si="11"/>
        <v>0</v>
      </c>
      <c r="CQ44" s="101">
        <f t="shared" si="12"/>
        <v>0</v>
      </c>
      <c r="CX44" s="101">
        <f t="shared" si="13"/>
        <v>0</v>
      </c>
      <c r="DE44" s="101">
        <f t="shared" si="14"/>
        <v>0</v>
      </c>
      <c r="DL44" s="101">
        <f t="shared" si="15"/>
        <v>0</v>
      </c>
      <c r="DS44" s="101">
        <f t="shared" si="16"/>
        <v>0</v>
      </c>
      <c r="DZ44" s="101">
        <f t="shared" si="17"/>
        <v>0</v>
      </c>
    </row>
    <row r="45">
      <c r="A45" s="102">
        <v>45594.0</v>
      </c>
      <c r="B45" s="101" t="s">
        <v>43</v>
      </c>
      <c r="C45" s="101">
        <v>8.0</v>
      </c>
      <c r="D45" s="101">
        <v>7.0</v>
      </c>
      <c r="E45" s="101">
        <v>29.0</v>
      </c>
      <c r="F45" s="101">
        <v>10.0</v>
      </c>
      <c r="G45" s="101">
        <v>10.0</v>
      </c>
      <c r="H45" s="101">
        <v>20.0</v>
      </c>
      <c r="I45" s="101">
        <v>0.0</v>
      </c>
      <c r="J45" s="101">
        <v>15.0</v>
      </c>
      <c r="K45" s="101">
        <v>0.0</v>
      </c>
      <c r="L45" s="101">
        <v>3.0</v>
      </c>
      <c r="M45" s="101">
        <v>15.0</v>
      </c>
      <c r="N45" s="101">
        <v>5.0</v>
      </c>
      <c r="O45" s="101">
        <v>1.0</v>
      </c>
      <c r="R45" s="101">
        <f t="shared" si="1"/>
        <v>24</v>
      </c>
      <c r="T45" s="101">
        <v>2.0</v>
      </c>
      <c r="Y45" s="101">
        <f t="shared" si="2"/>
        <v>2</v>
      </c>
      <c r="Z45" s="101">
        <v>8.0</v>
      </c>
      <c r="AA45" s="101">
        <v>12.0</v>
      </c>
      <c r="AF45" s="101">
        <f t="shared" si="3"/>
        <v>20</v>
      </c>
      <c r="AH45" s="101">
        <v>2.0</v>
      </c>
      <c r="AI45" s="101">
        <v>2.0</v>
      </c>
      <c r="AM45" s="101">
        <f t="shared" si="4"/>
        <v>4</v>
      </c>
      <c r="AP45" s="101">
        <v>2.0</v>
      </c>
      <c r="AT45" s="101">
        <f t="shared" si="5"/>
        <v>2</v>
      </c>
      <c r="BA45" s="101">
        <f t="shared" si="6"/>
        <v>0</v>
      </c>
      <c r="BH45" s="101">
        <f t="shared" si="7"/>
        <v>0</v>
      </c>
      <c r="BJ45" s="101">
        <v>1.0</v>
      </c>
      <c r="BO45" s="101">
        <f t="shared" si="8"/>
        <v>1</v>
      </c>
      <c r="BQ45" s="101">
        <v>2.0</v>
      </c>
      <c r="BR45" s="101">
        <v>1.0</v>
      </c>
      <c r="BV45" s="101">
        <f t="shared" si="9"/>
        <v>3</v>
      </c>
      <c r="CC45" s="101">
        <f t="shared" si="10"/>
        <v>0</v>
      </c>
      <c r="CJ45" s="101">
        <f t="shared" si="11"/>
        <v>0</v>
      </c>
      <c r="CQ45" s="101">
        <f t="shared" si="12"/>
        <v>0</v>
      </c>
      <c r="CX45" s="101">
        <f t="shared" si="13"/>
        <v>0</v>
      </c>
      <c r="DE45" s="101">
        <f t="shared" si="14"/>
        <v>0</v>
      </c>
      <c r="DL45" s="101">
        <f t="shared" si="15"/>
        <v>0</v>
      </c>
      <c r="DS45" s="101">
        <f t="shared" si="16"/>
        <v>0</v>
      </c>
      <c r="DZ45" s="101">
        <f t="shared" si="17"/>
        <v>0</v>
      </c>
    </row>
    <row r="46">
      <c r="A46" s="102">
        <v>45594.0</v>
      </c>
      <c r="B46" s="101" t="s">
        <v>42</v>
      </c>
      <c r="C46" s="101">
        <v>7.0</v>
      </c>
      <c r="D46" s="101">
        <v>8.0</v>
      </c>
      <c r="E46" s="101">
        <v>29.0</v>
      </c>
      <c r="F46" s="101">
        <v>0.0</v>
      </c>
      <c r="G46" s="101">
        <v>10.0</v>
      </c>
      <c r="H46" s="101">
        <v>20.0</v>
      </c>
      <c r="I46" s="101">
        <v>0.0</v>
      </c>
      <c r="J46" s="101">
        <v>0.0</v>
      </c>
      <c r="K46" s="101">
        <v>0.0</v>
      </c>
      <c r="L46" s="101">
        <v>4.0</v>
      </c>
      <c r="M46" s="101">
        <v>5.0</v>
      </c>
      <c r="N46" s="101">
        <v>5.0</v>
      </c>
      <c r="R46" s="101">
        <f t="shared" si="1"/>
        <v>14</v>
      </c>
      <c r="T46" s="101">
        <v>7.0</v>
      </c>
      <c r="Y46" s="101">
        <f t="shared" si="2"/>
        <v>7</v>
      </c>
      <c r="Z46" s="101">
        <v>19.0</v>
      </c>
      <c r="AA46" s="101">
        <v>25.0</v>
      </c>
      <c r="AB46" s="101">
        <v>4.0</v>
      </c>
      <c r="AF46" s="101">
        <f t="shared" si="3"/>
        <v>48</v>
      </c>
      <c r="AI46" s="101">
        <v>1.0</v>
      </c>
      <c r="AM46" s="101">
        <f t="shared" si="4"/>
        <v>1</v>
      </c>
      <c r="AQ46" s="101">
        <v>1.0</v>
      </c>
      <c r="AT46" s="101">
        <f t="shared" si="5"/>
        <v>1</v>
      </c>
      <c r="BA46" s="101">
        <f t="shared" si="6"/>
        <v>0</v>
      </c>
      <c r="BH46" s="101">
        <f t="shared" si="7"/>
        <v>0</v>
      </c>
      <c r="BO46" s="101">
        <f t="shared" si="8"/>
        <v>0</v>
      </c>
      <c r="BQ46" s="101">
        <v>1.0</v>
      </c>
      <c r="BR46" s="101">
        <v>6.0</v>
      </c>
      <c r="BV46" s="101">
        <f t="shared" si="9"/>
        <v>7</v>
      </c>
      <c r="CC46" s="101">
        <f t="shared" si="10"/>
        <v>0</v>
      </c>
      <c r="CJ46" s="101">
        <f t="shared" si="11"/>
        <v>0</v>
      </c>
      <c r="CQ46" s="101">
        <f t="shared" si="12"/>
        <v>0</v>
      </c>
      <c r="CX46" s="101">
        <f t="shared" si="13"/>
        <v>0</v>
      </c>
      <c r="DE46" s="101">
        <f t="shared" si="14"/>
        <v>0</v>
      </c>
      <c r="DH46" s="101">
        <v>1.0</v>
      </c>
      <c r="DL46" s="101">
        <f t="shared" si="15"/>
        <v>1</v>
      </c>
      <c r="DS46" s="101">
        <f t="shared" si="16"/>
        <v>0</v>
      </c>
      <c r="DZ46" s="101">
        <f t="shared" si="17"/>
        <v>0</v>
      </c>
    </row>
    <row r="47">
      <c r="A47" s="102">
        <v>45595.0</v>
      </c>
      <c r="B47" s="101" t="s">
        <v>41</v>
      </c>
      <c r="C47" s="101">
        <v>10.0</v>
      </c>
      <c r="D47" s="101">
        <v>13.0</v>
      </c>
      <c r="E47" s="101">
        <v>29.0</v>
      </c>
      <c r="F47" s="101">
        <v>0.0</v>
      </c>
      <c r="G47" s="101">
        <v>0.0</v>
      </c>
      <c r="H47" s="101">
        <v>10.0</v>
      </c>
      <c r="I47" s="101">
        <v>0.0</v>
      </c>
      <c r="J47" s="101">
        <v>40.0</v>
      </c>
      <c r="K47" s="101">
        <v>0.0</v>
      </c>
      <c r="L47" s="101">
        <v>16.0</v>
      </c>
      <c r="M47" s="101">
        <v>16.0</v>
      </c>
      <c r="N47" s="101">
        <v>10.0</v>
      </c>
      <c r="R47" s="101">
        <f t="shared" si="1"/>
        <v>42</v>
      </c>
      <c r="S47" s="101">
        <v>1.0</v>
      </c>
      <c r="T47" s="101">
        <v>3.0</v>
      </c>
      <c r="Y47" s="101">
        <f t="shared" si="2"/>
        <v>4</v>
      </c>
      <c r="AA47" s="101">
        <v>7.0</v>
      </c>
      <c r="AF47" s="101">
        <f t="shared" si="3"/>
        <v>7</v>
      </c>
      <c r="AH47" s="101">
        <v>2.0</v>
      </c>
      <c r="AI47" s="101">
        <v>1.0</v>
      </c>
      <c r="AM47" s="101">
        <f t="shared" si="4"/>
        <v>3</v>
      </c>
      <c r="AO47" s="101">
        <v>1.0</v>
      </c>
      <c r="AQ47" s="101">
        <v>2.0</v>
      </c>
      <c r="AT47" s="101">
        <f t="shared" si="5"/>
        <v>3</v>
      </c>
      <c r="AV47" s="101">
        <v>1.0</v>
      </c>
      <c r="AW47" s="101">
        <v>1.0</v>
      </c>
      <c r="BA47" s="101">
        <f t="shared" si="6"/>
        <v>2</v>
      </c>
      <c r="BH47" s="101">
        <f t="shared" si="7"/>
        <v>0</v>
      </c>
      <c r="BJ47" s="101">
        <v>1.0</v>
      </c>
      <c r="BK47" s="101">
        <v>2.0</v>
      </c>
      <c r="BO47" s="101">
        <f t="shared" si="8"/>
        <v>3</v>
      </c>
      <c r="BR47" s="101">
        <v>1.0</v>
      </c>
      <c r="BV47" s="101">
        <f t="shared" si="9"/>
        <v>1</v>
      </c>
      <c r="CC47" s="101">
        <f t="shared" si="10"/>
        <v>0</v>
      </c>
      <c r="CJ47" s="101">
        <f t="shared" si="11"/>
        <v>0</v>
      </c>
      <c r="CQ47" s="101">
        <f t="shared" si="12"/>
        <v>0</v>
      </c>
      <c r="CX47" s="101">
        <f t="shared" si="13"/>
        <v>0</v>
      </c>
      <c r="DE47" s="101">
        <f t="shared" si="14"/>
        <v>0</v>
      </c>
      <c r="DL47" s="101">
        <f t="shared" si="15"/>
        <v>0</v>
      </c>
      <c r="DS47" s="101">
        <f t="shared" si="16"/>
        <v>0</v>
      </c>
      <c r="DZ47" s="101">
        <f t="shared" si="17"/>
        <v>0</v>
      </c>
    </row>
    <row r="48">
      <c r="A48" s="102">
        <v>45595.0</v>
      </c>
      <c r="B48" s="101" t="s">
        <v>42</v>
      </c>
      <c r="C48" s="101">
        <v>6.0</v>
      </c>
      <c r="D48" s="101">
        <v>7.0</v>
      </c>
      <c r="E48" s="101">
        <v>29.0</v>
      </c>
      <c r="F48" s="101">
        <v>5.0</v>
      </c>
      <c r="G48" s="101">
        <v>0.0</v>
      </c>
      <c r="H48" s="101">
        <v>0.0</v>
      </c>
      <c r="I48" s="101">
        <v>0.0</v>
      </c>
      <c r="J48" s="101">
        <v>0.0</v>
      </c>
      <c r="K48" s="101">
        <v>5.0</v>
      </c>
      <c r="L48" s="101">
        <v>11.0</v>
      </c>
      <c r="M48" s="101">
        <v>17.0</v>
      </c>
      <c r="N48" s="101">
        <v>8.0</v>
      </c>
      <c r="O48" s="101">
        <v>1.0</v>
      </c>
      <c r="R48" s="101">
        <f t="shared" si="1"/>
        <v>37</v>
      </c>
      <c r="T48" s="101">
        <v>6.0</v>
      </c>
      <c r="U48" s="101">
        <v>2.0</v>
      </c>
      <c r="Y48" s="101">
        <f t="shared" si="2"/>
        <v>8</v>
      </c>
      <c r="Z48" s="101">
        <v>26.0</v>
      </c>
      <c r="AA48" s="101">
        <v>22.0</v>
      </c>
      <c r="AB48" s="101">
        <v>3.0</v>
      </c>
      <c r="AF48" s="101">
        <f t="shared" si="3"/>
        <v>51</v>
      </c>
      <c r="AM48" s="101">
        <f t="shared" si="4"/>
        <v>0</v>
      </c>
      <c r="AO48" s="101">
        <v>1.0</v>
      </c>
      <c r="AP48" s="101">
        <v>2.0</v>
      </c>
      <c r="AT48" s="101">
        <f t="shared" si="5"/>
        <v>3</v>
      </c>
      <c r="AV48" s="101">
        <v>1.0</v>
      </c>
      <c r="BA48" s="101">
        <f t="shared" si="6"/>
        <v>1</v>
      </c>
      <c r="BH48" s="101">
        <f t="shared" si="7"/>
        <v>0</v>
      </c>
      <c r="BO48" s="101">
        <f t="shared" si="8"/>
        <v>0</v>
      </c>
      <c r="BQ48" s="101">
        <v>1.0</v>
      </c>
      <c r="BR48" s="101">
        <v>2.0</v>
      </c>
      <c r="BV48" s="101">
        <f t="shared" si="9"/>
        <v>3</v>
      </c>
      <c r="CC48" s="101">
        <f t="shared" si="10"/>
        <v>0</v>
      </c>
      <c r="CJ48" s="101">
        <f t="shared" si="11"/>
        <v>0</v>
      </c>
      <c r="CQ48" s="101">
        <f t="shared" si="12"/>
        <v>0</v>
      </c>
      <c r="CX48" s="101">
        <f t="shared" si="13"/>
        <v>0</v>
      </c>
      <c r="DE48" s="101">
        <f t="shared" si="14"/>
        <v>0</v>
      </c>
      <c r="DL48" s="101">
        <f t="shared" si="15"/>
        <v>0</v>
      </c>
      <c r="DS48" s="101">
        <f t="shared" si="16"/>
        <v>0</v>
      </c>
      <c r="DZ48" s="101">
        <f t="shared" si="17"/>
        <v>0</v>
      </c>
    </row>
    <row r="49">
      <c r="A49" s="102">
        <v>45596.0</v>
      </c>
      <c r="B49" s="101" t="s">
        <v>41</v>
      </c>
      <c r="C49" s="101">
        <v>11.0</v>
      </c>
      <c r="D49" s="101">
        <v>10.0</v>
      </c>
      <c r="E49" s="101">
        <v>30.0</v>
      </c>
      <c r="F49" s="101">
        <v>5.0</v>
      </c>
      <c r="G49" s="101">
        <v>5.0</v>
      </c>
      <c r="H49" s="101">
        <v>0.0</v>
      </c>
      <c r="I49" s="101">
        <v>0.0</v>
      </c>
      <c r="J49" s="101">
        <v>0.0</v>
      </c>
      <c r="K49" s="101">
        <v>0.0</v>
      </c>
      <c r="L49" s="101">
        <v>17.0</v>
      </c>
      <c r="M49" s="101">
        <v>25.0</v>
      </c>
      <c r="N49" s="101">
        <v>7.0</v>
      </c>
      <c r="O49" s="101">
        <v>1.0</v>
      </c>
      <c r="R49" s="101">
        <f t="shared" si="1"/>
        <v>50</v>
      </c>
      <c r="T49" s="101">
        <v>4.0</v>
      </c>
      <c r="Y49" s="101">
        <f t="shared" si="2"/>
        <v>4</v>
      </c>
      <c r="Z49" s="101">
        <v>6.0</v>
      </c>
      <c r="AA49" s="101">
        <v>10.0</v>
      </c>
      <c r="AB49" s="101">
        <v>2.0</v>
      </c>
      <c r="AF49" s="101">
        <f t="shared" si="3"/>
        <v>18</v>
      </c>
      <c r="AM49" s="101">
        <f t="shared" si="4"/>
        <v>0</v>
      </c>
      <c r="AO49" s="101">
        <v>1.0</v>
      </c>
      <c r="AP49" s="101">
        <v>4.0</v>
      </c>
      <c r="AQ49" s="101">
        <v>2.0</v>
      </c>
      <c r="AT49" s="101">
        <f t="shared" si="5"/>
        <v>7</v>
      </c>
      <c r="AW49" s="101">
        <v>6.0</v>
      </c>
      <c r="BA49" s="101">
        <f t="shared" si="6"/>
        <v>6</v>
      </c>
      <c r="BH49" s="101">
        <f t="shared" si="7"/>
        <v>0</v>
      </c>
      <c r="BJ49" s="101">
        <v>2.0</v>
      </c>
      <c r="BO49" s="101">
        <f t="shared" si="8"/>
        <v>2</v>
      </c>
      <c r="BQ49" s="101">
        <v>4.0</v>
      </c>
      <c r="BV49" s="101">
        <f t="shared" si="9"/>
        <v>4</v>
      </c>
      <c r="CC49" s="101">
        <f t="shared" si="10"/>
        <v>0</v>
      </c>
      <c r="CJ49" s="101">
        <f t="shared" si="11"/>
        <v>0</v>
      </c>
      <c r="CQ49" s="101">
        <f t="shared" si="12"/>
        <v>0</v>
      </c>
      <c r="CX49" s="101">
        <f t="shared" si="13"/>
        <v>0</v>
      </c>
      <c r="DE49" s="101">
        <f t="shared" si="14"/>
        <v>0</v>
      </c>
      <c r="DL49" s="101">
        <f t="shared" si="15"/>
        <v>0</v>
      </c>
      <c r="DS49" s="101">
        <f t="shared" si="16"/>
        <v>0</v>
      </c>
      <c r="DZ49" s="101">
        <f t="shared" si="17"/>
        <v>0</v>
      </c>
    </row>
    <row r="50">
      <c r="A50" s="102">
        <v>45596.0</v>
      </c>
      <c r="B50" s="101" t="s">
        <v>44</v>
      </c>
      <c r="C50" s="101">
        <v>14.0</v>
      </c>
      <c r="D50" s="101">
        <v>14.0</v>
      </c>
      <c r="E50" s="101">
        <v>30.0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11.0</v>
      </c>
      <c r="M50" s="101">
        <v>12.0</v>
      </c>
      <c r="N50" s="101">
        <v>8.0</v>
      </c>
      <c r="O50" s="101">
        <v>1.0</v>
      </c>
      <c r="R50" s="101">
        <f t="shared" si="1"/>
        <v>32</v>
      </c>
      <c r="T50" s="101">
        <v>4.0</v>
      </c>
      <c r="Y50" s="101">
        <f t="shared" si="2"/>
        <v>4</v>
      </c>
      <c r="Z50" s="101">
        <v>15.0</v>
      </c>
      <c r="AA50" s="101">
        <v>20.0</v>
      </c>
      <c r="AB50" s="101">
        <v>1.0</v>
      </c>
      <c r="AF50" s="101">
        <f t="shared" si="3"/>
        <v>36</v>
      </c>
      <c r="AM50" s="101">
        <f t="shared" si="4"/>
        <v>0</v>
      </c>
      <c r="AT50" s="101">
        <f t="shared" si="5"/>
        <v>0</v>
      </c>
      <c r="AV50" s="101">
        <v>1.0</v>
      </c>
      <c r="BA50" s="101">
        <f t="shared" si="6"/>
        <v>1</v>
      </c>
      <c r="BH50" s="101">
        <f t="shared" si="7"/>
        <v>0</v>
      </c>
      <c r="BJ50" s="101">
        <v>2.0</v>
      </c>
      <c r="BO50" s="101">
        <f t="shared" si="8"/>
        <v>2</v>
      </c>
      <c r="BQ50" s="101">
        <v>1.0</v>
      </c>
      <c r="BV50" s="101">
        <f t="shared" si="9"/>
        <v>1</v>
      </c>
      <c r="CC50" s="101">
        <f t="shared" si="10"/>
        <v>0</v>
      </c>
      <c r="CJ50" s="101">
        <f t="shared" si="11"/>
        <v>0</v>
      </c>
      <c r="CQ50" s="101">
        <f t="shared" si="12"/>
        <v>0</v>
      </c>
      <c r="CX50" s="101">
        <f t="shared" si="13"/>
        <v>0</v>
      </c>
      <c r="DE50" s="101">
        <f t="shared" si="14"/>
        <v>0</v>
      </c>
      <c r="DL50" s="101">
        <f t="shared" si="15"/>
        <v>0</v>
      </c>
      <c r="DS50" s="101">
        <f t="shared" si="16"/>
        <v>0</v>
      </c>
      <c r="DZ50" s="101">
        <f t="shared" si="17"/>
        <v>0</v>
      </c>
    </row>
    <row r="51">
      <c r="A51" s="102">
        <v>45597.0</v>
      </c>
      <c r="B51" s="101" t="s">
        <v>45</v>
      </c>
      <c r="C51" s="101">
        <v>14.0</v>
      </c>
      <c r="D51" s="101">
        <v>12.0</v>
      </c>
      <c r="E51" s="101">
        <v>30.0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19.0</v>
      </c>
      <c r="M51" s="101">
        <v>52.0</v>
      </c>
      <c r="N51" s="101">
        <v>13.0</v>
      </c>
      <c r="O51" s="101">
        <v>2.0</v>
      </c>
      <c r="R51" s="101">
        <f t="shared" si="1"/>
        <v>86</v>
      </c>
      <c r="T51" s="101">
        <v>8.0</v>
      </c>
      <c r="Y51" s="101">
        <f t="shared" si="2"/>
        <v>8</v>
      </c>
      <c r="Z51" s="101">
        <v>11.0</v>
      </c>
      <c r="AA51" s="101">
        <v>18.0</v>
      </c>
      <c r="AF51" s="101">
        <f t="shared" si="3"/>
        <v>29</v>
      </c>
      <c r="AM51" s="101">
        <f t="shared" si="4"/>
        <v>0</v>
      </c>
      <c r="AT51" s="101">
        <f t="shared" si="5"/>
        <v>0</v>
      </c>
      <c r="BA51" s="101">
        <f t="shared" si="6"/>
        <v>0</v>
      </c>
      <c r="BH51" s="101">
        <f t="shared" si="7"/>
        <v>0</v>
      </c>
      <c r="BJ51" s="101">
        <v>2.0</v>
      </c>
      <c r="BO51" s="101">
        <f t="shared" si="8"/>
        <v>2</v>
      </c>
      <c r="BQ51" s="101">
        <v>1.0</v>
      </c>
      <c r="BR51" s="101">
        <v>1.0</v>
      </c>
      <c r="BV51" s="101">
        <f t="shared" si="9"/>
        <v>2</v>
      </c>
      <c r="CC51" s="101">
        <f t="shared" si="10"/>
        <v>0</v>
      </c>
      <c r="CJ51" s="101">
        <f t="shared" si="11"/>
        <v>0</v>
      </c>
      <c r="CQ51" s="101">
        <f t="shared" si="12"/>
        <v>0</v>
      </c>
      <c r="CX51" s="101">
        <f t="shared" si="13"/>
        <v>0</v>
      </c>
      <c r="DE51" s="101">
        <f t="shared" si="14"/>
        <v>0</v>
      </c>
      <c r="DL51" s="101">
        <f t="shared" si="15"/>
        <v>0</v>
      </c>
      <c r="DS51" s="101">
        <f t="shared" si="16"/>
        <v>0</v>
      </c>
      <c r="DZ51" s="101">
        <f t="shared" si="17"/>
        <v>0</v>
      </c>
    </row>
    <row r="52">
      <c r="A52" s="102">
        <v>45597.0</v>
      </c>
      <c r="B52" s="101" t="s">
        <v>42</v>
      </c>
      <c r="C52" s="101">
        <v>5.0</v>
      </c>
      <c r="D52" s="101">
        <v>7.0</v>
      </c>
      <c r="E52" s="101">
        <v>30.0</v>
      </c>
      <c r="F52" s="101">
        <v>0.0</v>
      </c>
      <c r="G52" s="101">
        <v>0.0</v>
      </c>
      <c r="H52" s="101">
        <v>40.0</v>
      </c>
      <c r="I52" s="101">
        <v>20.0</v>
      </c>
      <c r="J52" s="101">
        <v>10.0</v>
      </c>
      <c r="K52" s="101">
        <v>15.0</v>
      </c>
      <c r="L52" s="101">
        <v>7.0</v>
      </c>
      <c r="M52" s="101">
        <v>26.0</v>
      </c>
      <c r="N52" s="101">
        <v>6.0</v>
      </c>
      <c r="O52" s="101">
        <v>1.0</v>
      </c>
      <c r="R52" s="101">
        <f t="shared" si="1"/>
        <v>40</v>
      </c>
      <c r="T52" s="101">
        <v>5.0</v>
      </c>
      <c r="Y52" s="101">
        <f t="shared" si="2"/>
        <v>5</v>
      </c>
      <c r="Z52" s="101">
        <v>18.0</v>
      </c>
      <c r="AA52" s="101">
        <v>20.0</v>
      </c>
      <c r="AB52" s="101">
        <v>5.0</v>
      </c>
      <c r="AF52" s="101">
        <f t="shared" si="3"/>
        <v>43</v>
      </c>
      <c r="AM52" s="101">
        <f t="shared" si="4"/>
        <v>0</v>
      </c>
      <c r="AT52" s="101">
        <f t="shared" si="5"/>
        <v>0</v>
      </c>
      <c r="BA52" s="101">
        <f t="shared" si="6"/>
        <v>0</v>
      </c>
      <c r="BH52" s="101">
        <f t="shared" si="7"/>
        <v>0</v>
      </c>
      <c r="BO52" s="101">
        <f t="shared" si="8"/>
        <v>0</v>
      </c>
      <c r="BQ52" s="101">
        <v>1.0</v>
      </c>
      <c r="BR52" s="101">
        <v>3.0</v>
      </c>
      <c r="BV52" s="101">
        <f t="shared" si="9"/>
        <v>4</v>
      </c>
      <c r="CC52" s="101">
        <f t="shared" si="10"/>
        <v>0</v>
      </c>
      <c r="CJ52" s="101">
        <f t="shared" si="11"/>
        <v>0</v>
      </c>
      <c r="CQ52" s="101">
        <f t="shared" si="12"/>
        <v>0</v>
      </c>
      <c r="CX52" s="101">
        <f t="shared" si="13"/>
        <v>0</v>
      </c>
      <c r="DE52" s="101">
        <f t="shared" si="14"/>
        <v>0</v>
      </c>
      <c r="DL52" s="101">
        <f t="shared" si="15"/>
        <v>0</v>
      </c>
      <c r="DS52" s="101">
        <f t="shared" si="16"/>
        <v>0</v>
      </c>
      <c r="DZ52" s="101">
        <f t="shared" si="17"/>
        <v>0</v>
      </c>
    </row>
    <row r="53">
      <c r="A53" s="102">
        <v>45598.0</v>
      </c>
      <c r="B53" s="101" t="s">
        <v>45</v>
      </c>
      <c r="C53" s="101">
        <v>10.0</v>
      </c>
      <c r="D53" s="101">
        <v>10.0</v>
      </c>
      <c r="E53" s="101">
        <v>30.0</v>
      </c>
      <c r="F53" s="101">
        <v>0.0</v>
      </c>
      <c r="G53" s="101">
        <v>0.0</v>
      </c>
      <c r="H53" s="101">
        <v>0.0</v>
      </c>
      <c r="I53" s="101">
        <v>0.0</v>
      </c>
      <c r="J53" s="101">
        <v>0.0</v>
      </c>
      <c r="K53" s="101">
        <v>0.0</v>
      </c>
      <c r="L53" s="101">
        <v>9.0</v>
      </c>
      <c r="M53" s="101">
        <v>28.0</v>
      </c>
      <c r="N53" s="101">
        <v>8.0</v>
      </c>
      <c r="O53" s="101">
        <v>2.0</v>
      </c>
      <c r="R53" s="101">
        <f t="shared" si="1"/>
        <v>47</v>
      </c>
      <c r="T53" s="101">
        <v>4.0</v>
      </c>
      <c r="Y53" s="101">
        <f t="shared" si="2"/>
        <v>4</v>
      </c>
      <c r="Z53" s="101">
        <v>10.0</v>
      </c>
      <c r="AA53" s="101">
        <v>14.0</v>
      </c>
      <c r="AF53" s="101">
        <f t="shared" si="3"/>
        <v>24</v>
      </c>
      <c r="AM53" s="101">
        <f t="shared" si="4"/>
        <v>0</v>
      </c>
      <c r="AT53" s="101">
        <f t="shared" si="5"/>
        <v>0</v>
      </c>
      <c r="BA53" s="101">
        <f t="shared" si="6"/>
        <v>0</v>
      </c>
      <c r="BH53" s="101">
        <f t="shared" si="7"/>
        <v>0</v>
      </c>
      <c r="BJ53" s="101">
        <v>1.0</v>
      </c>
      <c r="BO53" s="101">
        <f t="shared" si="8"/>
        <v>1</v>
      </c>
      <c r="BQ53" s="101">
        <v>3.0</v>
      </c>
      <c r="BR53" s="101">
        <v>1.0</v>
      </c>
      <c r="BV53" s="101">
        <f t="shared" si="9"/>
        <v>4</v>
      </c>
      <c r="CC53" s="101">
        <f t="shared" si="10"/>
        <v>0</v>
      </c>
      <c r="CJ53" s="101">
        <f t="shared" si="11"/>
        <v>0</v>
      </c>
      <c r="CQ53" s="101">
        <f t="shared" si="12"/>
        <v>0</v>
      </c>
      <c r="CX53" s="101">
        <f t="shared" si="13"/>
        <v>0</v>
      </c>
      <c r="DE53" s="101">
        <f t="shared" si="14"/>
        <v>0</v>
      </c>
      <c r="DL53" s="101">
        <f t="shared" si="15"/>
        <v>0</v>
      </c>
      <c r="DS53" s="101">
        <f t="shared" si="16"/>
        <v>0</v>
      </c>
      <c r="DZ53" s="101">
        <f t="shared" si="17"/>
        <v>0</v>
      </c>
    </row>
    <row r="54">
      <c r="A54" s="102">
        <v>45598.0</v>
      </c>
      <c r="B54" s="101" t="s">
        <v>43</v>
      </c>
      <c r="C54" s="101">
        <v>11.0</v>
      </c>
      <c r="D54" s="101">
        <v>9.0</v>
      </c>
      <c r="E54" s="101">
        <v>30.0</v>
      </c>
      <c r="F54" s="101">
        <v>0.0</v>
      </c>
      <c r="G54" s="101">
        <v>70.0</v>
      </c>
      <c r="H54" s="101">
        <v>0.0</v>
      </c>
      <c r="I54" s="101">
        <v>30.0</v>
      </c>
      <c r="J54" s="101">
        <v>0.0</v>
      </c>
      <c r="K54" s="101">
        <v>10.0</v>
      </c>
      <c r="L54" s="101">
        <v>17.0</v>
      </c>
      <c r="M54" s="101">
        <v>15.0</v>
      </c>
      <c r="N54" s="101">
        <v>3.0</v>
      </c>
      <c r="O54" s="101">
        <v>1.0</v>
      </c>
      <c r="R54" s="101">
        <f t="shared" si="1"/>
        <v>36</v>
      </c>
      <c r="S54" s="101">
        <v>1.0</v>
      </c>
      <c r="T54" s="101">
        <v>2.0</v>
      </c>
      <c r="Y54" s="101">
        <f t="shared" si="2"/>
        <v>3</v>
      </c>
      <c r="Z54" s="101">
        <v>9.0</v>
      </c>
      <c r="AA54" s="101">
        <v>13.0</v>
      </c>
      <c r="AF54" s="101">
        <f t="shared" si="3"/>
        <v>22</v>
      </c>
      <c r="AM54" s="101">
        <f t="shared" si="4"/>
        <v>0</v>
      </c>
      <c r="AO54" s="101">
        <v>1.0</v>
      </c>
      <c r="AP54" s="101">
        <v>1.0</v>
      </c>
      <c r="AT54" s="101">
        <f t="shared" si="5"/>
        <v>2</v>
      </c>
      <c r="AV54" s="101">
        <v>1.0</v>
      </c>
      <c r="BA54" s="101">
        <f t="shared" si="6"/>
        <v>1</v>
      </c>
      <c r="BH54" s="101">
        <f t="shared" si="7"/>
        <v>0</v>
      </c>
      <c r="BJ54" s="101">
        <v>2.0</v>
      </c>
      <c r="BO54" s="101">
        <f t="shared" si="8"/>
        <v>2</v>
      </c>
      <c r="BQ54" s="101">
        <v>2.0</v>
      </c>
      <c r="BR54" s="101">
        <v>2.0</v>
      </c>
      <c r="BV54" s="101">
        <f t="shared" si="9"/>
        <v>4</v>
      </c>
      <c r="CC54" s="101">
        <f t="shared" si="10"/>
        <v>0</v>
      </c>
      <c r="CJ54" s="101">
        <f t="shared" si="11"/>
        <v>0</v>
      </c>
      <c r="CQ54" s="101">
        <f t="shared" si="12"/>
        <v>0</v>
      </c>
      <c r="CX54" s="101">
        <f t="shared" si="13"/>
        <v>0</v>
      </c>
      <c r="DE54" s="101">
        <f t="shared" si="14"/>
        <v>0</v>
      </c>
      <c r="DL54" s="101">
        <f t="shared" si="15"/>
        <v>0</v>
      </c>
      <c r="DS54" s="101">
        <f t="shared" si="16"/>
        <v>0</v>
      </c>
      <c r="DZ54" s="101">
        <f t="shared" si="17"/>
        <v>0</v>
      </c>
    </row>
    <row r="55">
      <c r="A55" s="102">
        <v>45601.0</v>
      </c>
      <c r="B55" s="101" t="s">
        <v>41</v>
      </c>
      <c r="C55" s="101">
        <v>11.0</v>
      </c>
      <c r="D55" s="101">
        <v>10.0</v>
      </c>
      <c r="E55" s="101">
        <v>30.0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0.0</v>
      </c>
      <c r="L55" s="101">
        <v>26.0</v>
      </c>
      <c r="M55" s="101">
        <v>13.0</v>
      </c>
      <c r="N55" s="101">
        <v>6.0</v>
      </c>
      <c r="O55" s="101">
        <v>4.0</v>
      </c>
      <c r="R55" s="101">
        <f t="shared" si="1"/>
        <v>49</v>
      </c>
      <c r="T55" s="101">
        <v>4.0</v>
      </c>
      <c r="Y55" s="101">
        <f t="shared" si="2"/>
        <v>4</v>
      </c>
      <c r="Z55" s="101">
        <v>6.0</v>
      </c>
      <c r="AA55" s="101">
        <v>8.0</v>
      </c>
      <c r="AF55" s="101">
        <f t="shared" si="3"/>
        <v>14</v>
      </c>
      <c r="AM55" s="101">
        <f t="shared" si="4"/>
        <v>0</v>
      </c>
      <c r="AO55" s="101">
        <v>11.0</v>
      </c>
      <c r="AP55" s="101">
        <v>4.0</v>
      </c>
      <c r="AQ55" s="101">
        <v>1.0</v>
      </c>
      <c r="AT55" s="101">
        <f t="shared" si="5"/>
        <v>16</v>
      </c>
      <c r="AW55" s="101">
        <v>1.0</v>
      </c>
      <c r="BA55" s="101">
        <f t="shared" si="6"/>
        <v>1</v>
      </c>
      <c r="BH55" s="101">
        <f t="shared" si="7"/>
        <v>0</v>
      </c>
      <c r="BJ55" s="101">
        <v>1.0</v>
      </c>
      <c r="BO55" s="101">
        <f t="shared" si="8"/>
        <v>1</v>
      </c>
      <c r="BQ55" s="101">
        <v>1.0</v>
      </c>
      <c r="BR55" s="101">
        <v>1.0</v>
      </c>
      <c r="BV55" s="101">
        <f t="shared" si="9"/>
        <v>2</v>
      </c>
      <c r="CC55" s="101">
        <f t="shared" si="10"/>
        <v>0</v>
      </c>
      <c r="CJ55" s="101">
        <f t="shared" si="11"/>
        <v>0</v>
      </c>
      <c r="CQ55" s="101">
        <f t="shared" si="12"/>
        <v>0</v>
      </c>
      <c r="CX55" s="101">
        <f t="shared" si="13"/>
        <v>0</v>
      </c>
      <c r="DE55" s="101">
        <f t="shared" si="14"/>
        <v>0</v>
      </c>
      <c r="DL55" s="101">
        <f t="shared" si="15"/>
        <v>0</v>
      </c>
      <c r="DS55" s="101">
        <f t="shared" si="16"/>
        <v>0</v>
      </c>
      <c r="DZ55" s="101">
        <f t="shared" si="17"/>
        <v>0</v>
      </c>
    </row>
    <row r="56">
      <c r="A56" s="102">
        <v>45601.0</v>
      </c>
      <c r="B56" s="101" t="s">
        <v>42</v>
      </c>
      <c r="C56" s="101">
        <v>5.0</v>
      </c>
      <c r="D56" s="101">
        <v>5.0</v>
      </c>
      <c r="E56" s="101">
        <v>30.0</v>
      </c>
      <c r="F56" s="101">
        <v>0.0</v>
      </c>
      <c r="G56" s="101">
        <v>5.0</v>
      </c>
      <c r="H56" s="101">
        <v>5.0</v>
      </c>
      <c r="I56" s="101">
        <v>0.0</v>
      </c>
      <c r="J56" s="101">
        <v>0.0</v>
      </c>
      <c r="K56" s="101">
        <v>0.0</v>
      </c>
      <c r="L56" s="101">
        <v>2.0</v>
      </c>
      <c r="M56" s="101">
        <v>14.0</v>
      </c>
      <c r="N56" s="101">
        <v>11.0</v>
      </c>
      <c r="O56" s="101">
        <v>1.0</v>
      </c>
      <c r="R56" s="101">
        <f t="shared" si="1"/>
        <v>28</v>
      </c>
      <c r="T56" s="101">
        <v>8.0</v>
      </c>
      <c r="Y56" s="101">
        <f t="shared" si="2"/>
        <v>8</v>
      </c>
      <c r="Z56" s="101">
        <v>3.0</v>
      </c>
      <c r="AA56" s="101">
        <v>12.0</v>
      </c>
      <c r="AF56" s="101">
        <f t="shared" si="3"/>
        <v>15</v>
      </c>
      <c r="AM56" s="101">
        <f t="shared" si="4"/>
        <v>0</v>
      </c>
      <c r="AO56" s="101">
        <v>5.0</v>
      </c>
      <c r="AP56" s="101">
        <v>2.0</v>
      </c>
      <c r="AQ56" s="101">
        <v>4.0</v>
      </c>
      <c r="AT56" s="101">
        <f t="shared" si="5"/>
        <v>11</v>
      </c>
      <c r="BA56" s="101">
        <f t="shared" si="6"/>
        <v>0</v>
      </c>
      <c r="BH56" s="101">
        <f t="shared" si="7"/>
        <v>0</v>
      </c>
      <c r="BK56" s="101">
        <v>1.0</v>
      </c>
      <c r="BO56" s="101">
        <f t="shared" si="8"/>
        <v>1</v>
      </c>
      <c r="BV56" s="101">
        <f t="shared" si="9"/>
        <v>0</v>
      </c>
      <c r="CC56" s="101">
        <f t="shared" si="10"/>
        <v>0</v>
      </c>
      <c r="CJ56" s="101">
        <f t="shared" si="11"/>
        <v>0</v>
      </c>
      <c r="CQ56" s="101">
        <f t="shared" si="12"/>
        <v>0</v>
      </c>
      <c r="CX56" s="101">
        <f t="shared" si="13"/>
        <v>0</v>
      </c>
      <c r="DE56" s="101">
        <f t="shared" si="14"/>
        <v>0</v>
      </c>
      <c r="DL56" s="101">
        <f t="shared" si="15"/>
        <v>0</v>
      </c>
      <c r="DS56" s="101">
        <f t="shared" si="16"/>
        <v>0</v>
      </c>
      <c r="DZ56" s="101">
        <f t="shared" si="17"/>
        <v>0</v>
      </c>
    </row>
    <row r="57">
      <c r="A57" s="102">
        <v>45602.0</v>
      </c>
      <c r="B57" s="101" t="s">
        <v>45</v>
      </c>
      <c r="C57" s="101">
        <v>14.0</v>
      </c>
      <c r="D57" s="101">
        <v>12.0</v>
      </c>
      <c r="E57" s="101">
        <v>29.0</v>
      </c>
      <c r="F57" s="101">
        <v>20.0</v>
      </c>
      <c r="G57" s="101">
        <v>65.0</v>
      </c>
      <c r="H57" s="101">
        <v>30.0</v>
      </c>
      <c r="I57" s="101">
        <v>0.0</v>
      </c>
      <c r="J57" s="101">
        <v>70.0</v>
      </c>
      <c r="K57" s="101">
        <v>5.0</v>
      </c>
      <c r="L57" s="101">
        <v>4.0</v>
      </c>
      <c r="M57" s="101">
        <v>9.0</v>
      </c>
      <c r="N57" s="101">
        <v>8.0</v>
      </c>
      <c r="R57" s="101">
        <f t="shared" si="1"/>
        <v>21</v>
      </c>
      <c r="S57" s="101">
        <v>3.0</v>
      </c>
      <c r="T57" s="101">
        <v>4.0</v>
      </c>
      <c r="Y57" s="101">
        <f t="shared" si="2"/>
        <v>7</v>
      </c>
      <c r="Z57" s="101">
        <v>5.0</v>
      </c>
      <c r="AA57" s="101">
        <v>11.0</v>
      </c>
      <c r="AF57" s="101">
        <f t="shared" si="3"/>
        <v>16</v>
      </c>
      <c r="AH57" s="101">
        <v>1.0</v>
      </c>
      <c r="AI57" s="101">
        <v>3.0</v>
      </c>
      <c r="AM57" s="101">
        <f t="shared" si="4"/>
        <v>4</v>
      </c>
      <c r="AO57" s="101">
        <v>1.0</v>
      </c>
      <c r="AP57" s="101">
        <v>2.0</v>
      </c>
      <c r="AQ57" s="101">
        <v>2.0</v>
      </c>
      <c r="AT57" s="101">
        <f t="shared" si="5"/>
        <v>5</v>
      </c>
      <c r="BA57" s="101">
        <f t="shared" si="6"/>
        <v>0</v>
      </c>
      <c r="BH57" s="101">
        <f t="shared" si="7"/>
        <v>0</v>
      </c>
      <c r="BO57" s="101">
        <f t="shared" si="8"/>
        <v>0</v>
      </c>
      <c r="BQ57" s="101">
        <v>5.0</v>
      </c>
      <c r="BR57" s="101">
        <v>1.0</v>
      </c>
      <c r="BV57" s="101">
        <f t="shared" si="9"/>
        <v>6</v>
      </c>
      <c r="CC57" s="101">
        <f t="shared" si="10"/>
        <v>0</v>
      </c>
      <c r="CJ57" s="101">
        <f t="shared" si="11"/>
        <v>0</v>
      </c>
      <c r="CQ57" s="101">
        <f t="shared" si="12"/>
        <v>0</v>
      </c>
      <c r="CX57" s="101">
        <f t="shared" si="13"/>
        <v>0</v>
      </c>
      <c r="DE57" s="101">
        <f t="shared" si="14"/>
        <v>0</v>
      </c>
      <c r="DL57" s="101">
        <f t="shared" si="15"/>
        <v>0</v>
      </c>
      <c r="DS57" s="101">
        <f t="shared" si="16"/>
        <v>0</v>
      </c>
      <c r="DZ57" s="101">
        <f t="shared" si="17"/>
        <v>0</v>
      </c>
    </row>
    <row r="58">
      <c r="A58" s="102">
        <v>45602.0</v>
      </c>
      <c r="B58" s="101" t="s">
        <v>44</v>
      </c>
      <c r="C58" s="101">
        <v>14.0</v>
      </c>
      <c r="D58" s="101">
        <v>13.0</v>
      </c>
      <c r="E58" s="101">
        <v>29.0</v>
      </c>
      <c r="F58" s="101">
        <v>0.0</v>
      </c>
      <c r="G58" s="101">
        <v>0.0</v>
      </c>
      <c r="H58" s="101">
        <v>20.0</v>
      </c>
      <c r="I58" s="101">
        <v>0.0</v>
      </c>
      <c r="J58" s="101">
        <v>5.0</v>
      </c>
      <c r="K58" s="101">
        <v>50.0</v>
      </c>
      <c r="M58" s="101">
        <v>4.0</v>
      </c>
      <c r="N58" s="101">
        <v>4.0</v>
      </c>
      <c r="R58" s="101">
        <f t="shared" si="1"/>
        <v>8</v>
      </c>
      <c r="S58" s="101">
        <v>1.0</v>
      </c>
      <c r="Y58" s="101">
        <f t="shared" si="2"/>
        <v>1</v>
      </c>
      <c r="Z58" s="101">
        <v>6.0</v>
      </c>
      <c r="AA58" s="101">
        <v>10.0</v>
      </c>
      <c r="AF58" s="101">
        <f t="shared" si="3"/>
        <v>16</v>
      </c>
      <c r="AJ58" s="101">
        <v>1.0</v>
      </c>
      <c r="AM58" s="101">
        <f t="shared" si="4"/>
        <v>1</v>
      </c>
      <c r="AO58" s="101">
        <v>5.0</v>
      </c>
      <c r="AP58" s="101">
        <v>19.0</v>
      </c>
      <c r="AQ58" s="101">
        <v>1.0</v>
      </c>
      <c r="AT58" s="101">
        <f t="shared" si="5"/>
        <v>25</v>
      </c>
      <c r="BA58" s="101">
        <f t="shared" si="6"/>
        <v>0</v>
      </c>
      <c r="BH58" s="101">
        <f t="shared" si="7"/>
        <v>0</v>
      </c>
      <c r="BO58" s="101">
        <f t="shared" si="8"/>
        <v>0</v>
      </c>
      <c r="BV58" s="101">
        <f t="shared" si="9"/>
        <v>0</v>
      </c>
      <c r="CC58" s="101">
        <f t="shared" si="10"/>
        <v>0</v>
      </c>
      <c r="CJ58" s="101">
        <f t="shared" si="11"/>
        <v>0</v>
      </c>
      <c r="CQ58" s="101">
        <f t="shared" si="12"/>
        <v>0</v>
      </c>
      <c r="CX58" s="101">
        <f t="shared" si="13"/>
        <v>0</v>
      </c>
      <c r="DE58" s="101">
        <f t="shared" si="14"/>
        <v>0</v>
      </c>
      <c r="DH58" s="101">
        <v>3.0</v>
      </c>
      <c r="DL58" s="101">
        <f t="shared" si="15"/>
        <v>3</v>
      </c>
      <c r="DS58" s="101">
        <f t="shared" si="16"/>
        <v>0</v>
      </c>
      <c r="DZ58" s="101">
        <f t="shared" si="17"/>
        <v>0</v>
      </c>
    </row>
    <row r="59">
      <c r="A59" s="102">
        <v>45603.0</v>
      </c>
      <c r="B59" s="101" t="s">
        <v>44</v>
      </c>
      <c r="C59" s="101">
        <v>13.0</v>
      </c>
      <c r="D59" s="101">
        <v>12.0</v>
      </c>
      <c r="E59" s="101">
        <v>29.0</v>
      </c>
      <c r="F59" s="101">
        <v>65.0</v>
      </c>
      <c r="G59" s="101">
        <v>65.0</v>
      </c>
      <c r="H59" s="101">
        <v>60.0</v>
      </c>
      <c r="I59" s="101">
        <v>0.0</v>
      </c>
      <c r="J59" s="101">
        <v>20.0</v>
      </c>
      <c r="K59" s="101">
        <v>0.0</v>
      </c>
      <c r="L59" s="101">
        <v>3.0</v>
      </c>
      <c r="M59" s="101">
        <v>13.0</v>
      </c>
      <c r="N59" s="101">
        <v>7.0</v>
      </c>
      <c r="R59" s="101">
        <f t="shared" si="1"/>
        <v>23</v>
      </c>
      <c r="S59" s="101">
        <v>2.0</v>
      </c>
      <c r="T59" s="101">
        <v>3.0</v>
      </c>
      <c r="Y59" s="101">
        <f t="shared" si="2"/>
        <v>5</v>
      </c>
      <c r="Z59" s="101">
        <v>9.0</v>
      </c>
      <c r="AA59" s="101">
        <v>15.0</v>
      </c>
      <c r="AF59" s="101">
        <f t="shared" si="3"/>
        <v>24</v>
      </c>
      <c r="AH59" s="101">
        <v>12.0</v>
      </c>
      <c r="AJ59" s="101">
        <v>1.0</v>
      </c>
      <c r="AM59" s="101">
        <f t="shared" si="4"/>
        <v>13</v>
      </c>
      <c r="AO59" s="101">
        <v>33.0</v>
      </c>
      <c r="AP59" s="101">
        <v>15.0</v>
      </c>
      <c r="AT59" s="101">
        <f t="shared" si="5"/>
        <v>48</v>
      </c>
      <c r="AV59" s="101">
        <v>1.0</v>
      </c>
      <c r="AW59" s="101">
        <v>1.0</v>
      </c>
      <c r="BA59" s="101">
        <f t="shared" si="6"/>
        <v>2</v>
      </c>
      <c r="BH59" s="101">
        <f t="shared" si="7"/>
        <v>0</v>
      </c>
      <c r="BO59" s="101">
        <f t="shared" si="8"/>
        <v>0</v>
      </c>
      <c r="BQ59" s="101">
        <v>9.0</v>
      </c>
      <c r="BV59" s="101">
        <f t="shared" si="9"/>
        <v>9</v>
      </c>
      <c r="CC59" s="101">
        <f t="shared" si="10"/>
        <v>0</v>
      </c>
      <c r="CJ59" s="101">
        <f t="shared" si="11"/>
        <v>0</v>
      </c>
      <c r="CQ59" s="101">
        <f t="shared" si="12"/>
        <v>0</v>
      </c>
      <c r="CX59" s="101">
        <f t="shared" si="13"/>
        <v>0</v>
      </c>
      <c r="DE59" s="101">
        <f t="shared" si="14"/>
        <v>0</v>
      </c>
      <c r="DL59" s="101">
        <f t="shared" si="15"/>
        <v>0</v>
      </c>
      <c r="DS59" s="101">
        <f t="shared" si="16"/>
        <v>0</v>
      </c>
      <c r="DZ59" s="101">
        <f t="shared" si="17"/>
        <v>0</v>
      </c>
    </row>
    <row r="60">
      <c r="A60" s="102">
        <v>45603.0</v>
      </c>
      <c r="B60" s="101" t="s">
        <v>42</v>
      </c>
      <c r="C60" s="101">
        <v>5.0</v>
      </c>
      <c r="D60" s="101">
        <v>7.0</v>
      </c>
      <c r="E60" s="101">
        <v>29.0</v>
      </c>
      <c r="F60" s="101">
        <v>0.0</v>
      </c>
      <c r="G60" s="101">
        <v>5.0</v>
      </c>
      <c r="H60" s="101">
        <v>0.0</v>
      </c>
      <c r="I60" s="101">
        <v>20.0</v>
      </c>
      <c r="J60" s="101">
        <v>0.0</v>
      </c>
      <c r="K60" s="101">
        <v>15.0</v>
      </c>
      <c r="L60" s="101">
        <v>37.0</v>
      </c>
      <c r="M60" s="101">
        <v>34.0</v>
      </c>
      <c r="N60" s="101">
        <v>10.0</v>
      </c>
      <c r="R60" s="101">
        <f t="shared" si="1"/>
        <v>81</v>
      </c>
      <c r="S60" s="101">
        <v>4.0</v>
      </c>
      <c r="T60" s="101">
        <v>8.0</v>
      </c>
      <c r="Y60" s="101">
        <f t="shared" si="2"/>
        <v>12</v>
      </c>
      <c r="Z60" s="101">
        <v>49.0</v>
      </c>
      <c r="AA60" s="101">
        <v>12.0</v>
      </c>
      <c r="AF60" s="101">
        <f t="shared" si="3"/>
        <v>61</v>
      </c>
      <c r="AM60" s="101">
        <f t="shared" si="4"/>
        <v>0</v>
      </c>
      <c r="AO60" s="101">
        <v>4.0</v>
      </c>
      <c r="AP60" s="101">
        <v>7.0</v>
      </c>
      <c r="AT60" s="101">
        <f t="shared" si="5"/>
        <v>11</v>
      </c>
      <c r="AU60" s="101">
        <v>1.0</v>
      </c>
      <c r="AV60" s="101">
        <v>8.0</v>
      </c>
      <c r="AW60" s="101">
        <v>5.0</v>
      </c>
      <c r="BA60" s="101">
        <f t="shared" si="6"/>
        <v>14</v>
      </c>
      <c r="BC60" s="101">
        <v>1.0</v>
      </c>
      <c r="BH60" s="101">
        <f t="shared" si="7"/>
        <v>1</v>
      </c>
      <c r="BI60" s="101">
        <v>3.0</v>
      </c>
      <c r="BJ60" s="101">
        <v>4.0</v>
      </c>
      <c r="BO60" s="101">
        <f t="shared" si="8"/>
        <v>7</v>
      </c>
      <c r="BQ60" s="101">
        <v>5.0</v>
      </c>
      <c r="BR60" s="101">
        <v>1.0</v>
      </c>
      <c r="BV60" s="101">
        <f t="shared" si="9"/>
        <v>6</v>
      </c>
      <c r="CC60" s="101">
        <f t="shared" si="10"/>
        <v>0</v>
      </c>
      <c r="CJ60" s="101">
        <f t="shared" si="11"/>
        <v>0</v>
      </c>
      <c r="CQ60" s="101">
        <f t="shared" si="12"/>
        <v>0</v>
      </c>
      <c r="CX60" s="101">
        <f t="shared" si="13"/>
        <v>0</v>
      </c>
      <c r="DE60" s="101">
        <f t="shared" si="14"/>
        <v>0</v>
      </c>
      <c r="DL60" s="101">
        <f t="shared" si="15"/>
        <v>0</v>
      </c>
      <c r="DS60" s="101">
        <f t="shared" si="16"/>
        <v>0</v>
      </c>
      <c r="DZ60" s="101">
        <f t="shared" si="17"/>
        <v>0</v>
      </c>
    </row>
    <row r="61">
      <c r="A61" s="102">
        <v>45673.0</v>
      </c>
      <c r="B61" s="101" t="s">
        <v>44</v>
      </c>
      <c r="C61" s="101">
        <v>8.8</v>
      </c>
      <c r="D61" s="101">
        <v>11.8</v>
      </c>
      <c r="E61" s="101">
        <v>26.0</v>
      </c>
      <c r="F61" s="101">
        <v>0.0</v>
      </c>
      <c r="G61" s="101">
        <v>35.0</v>
      </c>
      <c r="H61" s="101">
        <v>10.0</v>
      </c>
      <c r="I61" s="101">
        <v>0.0</v>
      </c>
      <c r="J61" s="101">
        <v>0.0</v>
      </c>
      <c r="K61" s="101">
        <v>0.0</v>
      </c>
      <c r="L61" s="101">
        <v>11.0</v>
      </c>
      <c r="M61" s="101">
        <v>19.0</v>
      </c>
      <c r="N61" s="101">
        <v>2.0</v>
      </c>
      <c r="R61" s="101">
        <f t="shared" si="1"/>
        <v>32</v>
      </c>
      <c r="S61" s="103">
        <v>3.0</v>
      </c>
      <c r="T61" s="36"/>
      <c r="U61" s="36"/>
      <c r="V61" s="36"/>
      <c r="W61" s="36"/>
      <c r="X61" s="36"/>
      <c r="Y61" s="101">
        <f t="shared" si="2"/>
        <v>3</v>
      </c>
      <c r="Z61" s="101">
        <v>10.0</v>
      </c>
      <c r="AA61" s="101">
        <v>8.0</v>
      </c>
      <c r="AF61" s="101">
        <f t="shared" si="3"/>
        <v>18</v>
      </c>
      <c r="AG61" s="36"/>
      <c r="AH61" s="36"/>
      <c r="AI61" s="103">
        <v>1.0</v>
      </c>
      <c r="AJ61" s="36"/>
      <c r="AK61" s="36"/>
      <c r="AL61" s="36"/>
      <c r="AM61" s="101">
        <f t="shared" si="4"/>
        <v>1</v>
      </c>
      <c r="AN61" s="36"/>
      <c r="AO61" s="103">
        <v>2.0</v>
      </c>
      <c r="AP61" s="103">
        <v>4.0</v>
      </c>
      <c r="AQ61" s="36"/>
      <c r="AR61" s="36"/>
      <c r="AS61" s="36"/>
      <c r="AT61" s="101">
        <f t="shared" si="5"/>
        <v>6</v>
      </c>
      <c r="AU61" s="36"/>
      <c r="AV61" s="36"/>
      <c r="AW61" s="36"/>
      <c r="AX61" s="36"/>
      <c r="AY61" s="36"/>
      <c r="AZ61" s="36"/>
      <c r="BA61" s="101">
        <f t="shared" si="6"/>
        <v>0</v>
      </c>
      <c r="BB61" s="36"/>
      <c r="BC61" s="36"/>
      <c r="BD61" s="36"/>
      <c r="BE61" s="36"/>
      <c r="BF61" s="36"/>
      <c r="BG61" s="36"/>
      <c r="BH61" s="101">
        <f t="shared" si="7"/>
        <v>0</v>
      </c>
      <c r="BI61" s="36"/>
      <c r="BJ61" s="103">
        <v>1.0</v>
      </c>
      <c r="BK61" s="36"/>
      <c r="BL61" s="36"/>
      <c r="BM61" s="36"/>
      <c r="BN61" s="36"/>
      <c r="BO61" s="101">
        <f t="shared" si="8"/>
        <v>1</v>
      </c>
      <c r="BP61" s="36"/>
      <c r="BQ61" s="103">
        <v>2.0</v>
      </c>
      <c r="BR61" s="103">
        <v>1.0</v>
      </c>
      <c r="BS61" s="36"/>
      <c r="BT61" s="36"/>
      <c r="BU61" s="36"/>
      <c r="BV61" s="101">
        <f t="shared" si="9"/>
        <v>3</v>
      </c>
      <c r="BW61" s="36"/>
      <c r="BX61" s="36"/>
      <c r="BY61" s="36"/>
      <c r="BZ61" s="36"/>
      <c r="CA61" s="36"/>
      <c r="CB61" s="36"/>
      <c r="CC61" s="101">
        <f t="shared" si="10"/>
        <v>0</v>
      </c>
      <c r="CD61" s="36"/>
      <c r="CE61" s="36"/>
      <c r="CF61" s="36"/>
      <c r="CG61" s="36"/>
      <c r="CH61" s="36"/>
      <c r="CI61" s="36"/>
      <c r="CJ61" s="101">
        <f t="shared" si="11"/>
        <v>0</v>
      </c>
      <c r="CQ61" s="101">
        <f t="shared" si="12"/>
        <v>0</v>
      </c>
      <c r="CR61" s="36"/>
      <c r="CS61" s="36"/>
      <c r="CT61" s="36"/>
      <c r="CU61" s="36"/>
      <c r="CV61" s="36"/>
      <c r="CW61" s="36"/>
      <c r="CX61" s="101">
        <f t="shared" si="13"/>
        <v>0</v>
      </c>
      <c r="CY61" s="36"/>
      <c r="CZ61" s="36"/>
      <c r="DA61" s="36"/>
      <c r="DB61" s="36"/>
      <c r="DC61" s="36"/>
      <c r="DD61" s="36"/>
      <c r="DE61" s="101">
        <f t="shared" si="14"/>
        <v>0</v>
      </c>
      <c r="DF61" s="36"/>
      <c r="DG61" s="36"/>
      <c r="DH61" s="36"/>
      <c r="DI61" s="36"/>
      <c r="DJ61" s="36"/>
      <c r="DK61" s="36"/>
      <c r="DL61" s="101">
        <f t="shared" si="15"/>
        <v>0</v>
      </c>
      <c r="DS61" s="101">
        <f t="shared" si="16"/>
        <v>0</v>
      </c>
      <c r="DZ61" s="101">
        <f t="shared" si="17"/>
        <v>0</v>
      </c>
    </row>
    <row r="62">
      <c r="A62" s="102">
        <v>45673.0</v>
      </c>
      <c r="B62" s="101" t="s">
        <v>45</v>
      </c>
      <c r="C62" s="101">
        <v>9.2</v>
      </c>
      <c r="D62" s="101">
        <v>10.1</v>
      </c>
      <c r="E62" s="101">
        <v>26.0</v>
      </c>
      <c r="F62" s="101">
        <v>10.0</v>
      </c>
      <c r="G62" s="101">
        <v>15.0</v>
      </c>
      <c r="H62" s="101">
        <v>0.0</v>
      </c>
      <c r="I62" s="101">
        <v>20.0</v>
      </c>
      <c r="J62" s="101">
        <v>15.0</v>
      </c>
      <c r="K62" s="101">
        <v>0.0</v>
      </c>
      <c r="L62" s="101">
        <v>22.0</v>
      </c>
      <c r="M62" s="101">
        <v>17.0</v>
      </c>
      <c r="N62" s="101">
        <v>8.0</v>
      </c>
      <c r="O62" s="101">
        <v>1.0</v>
      </c>
      <c r="R62" s="101">
        <f t="shared" si="1"/>
        <v>48</v>
      </c>
      <c r="S62" s="103">
        <v>1.0</v>
      </c>
      <c r="T62" s="103">
        <v>5.0</v>
      </c>
      <c r="U62" s="36"/>
      <c r="V62" s="36"/>
      <c r="W62" s="36"/>
      <c r="X62" s="36"/>
      <c r="Y62" s="101">
        <f t="shared" si="2"/>
        <v>6</v>
      </c>
      <c r="Z62" s="101">
        <v>6.0</v>
      </c>
      <c r="AA62" s="101">
        <v>9.0</v>
      </c>
      <c r="AB62" s="101">
        <v>1.0</v>
      </c>
      <c r="AF62" s="101">
        <f t="shared" si="3"/>
        <v>16</v>
      </c>
      <c r="AG62" s="36"/>
      <c r="AH62" s="36"/>
      <c r="AI62" s="36"/>
      <c r="AJ62" s="36"/>
      <c r="AK62" s="36"/>
      <c r="AL62" s="36"/>
      <c r="AM62" s="101">
        <f t="shared" si="4"/>
        <v>0</v>
      </c>
      <c r="AN62" s="36"/>
      <c r="AO62" s="36"/>
      <c r="AP62" s="36"/>
      <c r="AQ62" s="36"/>
      <c r="AR62" s="36"/>
      <c r="AS62" s="36"/>
      <c r="AT62" s="101">
        <f t="shared" si="5"/>
        <v>0</v>
      </c>
      <c r="AU62" s="36"/>
      <c r="AV62" s="36"/>
      <c r="AW62" s="36"/>
      <c r="AX62" s="36"/>
      <c r="AY62" s="36"/>
      <c r="AZ62" s="36"/>
      <c r="BA62" s="101">
        <f t="shared" si="6"/>
        <v>0</v>
      </c>
      <c r="BB62" s="36"/>
      <c r="BC62" s="36"/>
      <c r="BD62" s="36"/>
      <c r="BE62" s="36"/>
      <c r="BF62" s="36"/>
      <c r="BG62" s="36"/>
      <c r="BH62" s="101">
        <f t="shared" si="7"/>
        <v>0</v>
      </c>
      <c r="BI62" s="103">
        <v>1.0</v>
      </c>
      <c r="BJ62" s="103">
        <v>1.0</v>
      </c>
      <c r="BK62" s="36"/>
      <c r="BL62" s="36"/>
      <c r="BM62" s="36"/>
      <c r="BN62" s="36"/>
      <c r="BO62" s="101">
        <f t="shared" si="8"/>
        <v>2</v>
      </c>
      <c r="BP62" s="36"/>
      <c r="BQ62" s="36"/>
      <c r="BR62" s="103">
        <v>1.0</v>
      </c>
      <c r="BS62" s="36"/>
      <c r="BT62" s="36"/>
      <c r="BU62" s="36"/>
      <c r="BV62" s="101">
        <f t="shared" si="9"/>
        <v>1</v>
      </c>
      <c r="BW62" s="36"/>
      <c r="BX62" s="36"/>
      <c r="BY62" s="36"/>
      <c r="BZ62" s="36"/>
      <c r="CA62" s="36"/>
      <c r="CB62" s="36"/>
      <c r="CC62" s="101">
        <f t="shared" si="10"/>
        <v>0</v>
      </c>
      <c r="CD62" s="36"/>
      <c r="CE62" s="36"/>
      <c r="CF62" s="36"/>
      <c r="CG62" s="36"/>
      <c r="CH62" s="36"/>
      <c r="CI62" s="36"/>
      <c r="CJ62" s="101">
        <f t="shared" si="11"/>
        <v>0</v>
      </c>
      <c r="CQ62" s="101">
        <f t="shared" si="12"/>
        <v>0</v>
      </c>
      <c r="CR62" s="36"/>
      <c r="CS62" s="36"/>
      <c r="CT62" s="36"/>
      <c r="CU62" s="36"/>
      <c r="CV62" s="36"/>
      <c r="CW62" s="36"/>
      <c r="CX62" s="101">
        <f t="shared" si="13"/>
        <v>0</v>
      </c>
      <c r="CY62" s="36"/>
      <c r="CZ62" s="36"/>
      <c r="DA62" s="36"/>
      <c r="DB62" s="36"/>
      <c r="DC62" s="36"/>
      <c r="DD62" s="36"/>
      <c r="DE62" s="101">
        <f t="shared" si="14"/>
        <v>0</v>
      </c>
      <c r="DF62" s="36"/>
      <c r="DG62" s="36"/>
      <c r="DH62" s="36"/>
      <c r="DI62" s="36"/>
      <c r="DJ62" s="36"/>
      <c r="DK62" s="36"/>
      <c r="DL62" s="101">
        <f t="shared" si="15"/>
        <v>0</v>
      </c>
      <c r="DS62" s="101">
        <f t="shared" si="16"/>
        <v>0</v>
      </c>
      <c r="DZ62" s="101">
        <f t="shared" si="17"/>
        <v>0</v>
      </c>
    </row>
    <row r="63">
      <c r="A63" s="102">
        <v>45674.0</v>
      </c>
      <c r="B63" s="101" t="s">
        <v>42</v>
      </c>
      <c r="C63" s="101">
        <v>7.0</v>
      </c>
      <c r="D63" s="101">
        <v>6.6</v>
      </c>
      <c r="E63" s="101">
        <v>26.0</v>
      </c>
      <c r="F63" s="101">
        <v>0.0</v>
      </c>
      <c r="G63" s="101">
        <v>10.0</v>
      </c>
      <c r="H63" s="101">
        <v>5.0</v>
      </c>
      <c r="I63" s="101">
        <v>0.0</v>
      </c>
      <c r="J63" s="101">
        <v>0.0</v>
      </c>
      <c r="K63" s="101">
        <v>0.0</v>
      </c>
      <c r="L63" s="101">
        <v>12.0</v>
      </c>
      <c r="M63" s="101">
        <v>20.0</v>
      </c>
      <c r="N63" s="101">
        <v>10.0</v>
      </c>
      <c r="O63" s="101">
        <v>1.0</v>
      </c>
      <c r="R63" s="101">
        <f t="shared" si="1"/>
        <v>43</v>
      </c>
      <c r="S63" s="103">
        <v>4.0</v>
      </c>
      <c r="T63" s="103">
        <v>8.0</v>
      </c>
      <c r="U63" s="36"/>
      <c r="V63" s="36"/>
      <c r="W63" s="36"/>
      <c r="X63" s="36"/>
      <c r="Y63" s="101">
        <f t="shared" si="2"/>
        <v>12</v>
      </c>
      <c r="Z63" s="101">
        <v>8.0</v>
      </c>
      <c r="AA63" s="101">
        <v>5.0</v>
      </c>
      <c r="AF63" s="101">
        <f t="shared" si="3"/>
        <v>13</v>
      </c>
      <c r="AG63" s="36"/>
      <c r="AH63" s="36"/>
      <c r="AI63" s="36"/>
      <c r="AJ63" s="36"/>
      <c r="AK63" s="36"/>
      <c r="AL63" s="36"/>
      <c r="AM63" s="101">
        <f t="shared" si="4"/>
        <v>0</v>
      </c>
      <c r="AN63" s="36"/>
      <c r="AO63" s="36"/>
      <c r="AP63" s="103">
        <v>5.0</v>
      </c>
      <c r="AQ63" s="103">
        <v>1.0</v>
      </c>
      <c r="AR63" s="36"/>
      <c r="AS63" s="36"/>
      <c r="AT63" s="101">
        <f t="shared" si="5"/>
        <v>6</v>
      </c>
      <c r="AU63" s="36"/>
      <c r="AV63" s="36"/>
      <c r="AW63" s="36"/>
      <c r="AX63" s="36"/>
      <c r="AY63" s="36"/>
      <c r="AZ63" s="36"/>
      <c r="BA63" s="101">
        <f t="shared" si="6"/>
        <v>0</v>
      </c>
      <c r="BB63" s="36"/>
      <c r="BC63" s="36"/>
      <c r="BD63" s="36"/>
      <c r="BE63" s="36"/>
      <c r="BF63" s="36"/>
      <c r="BG63" s="36"/>
      <c r="BH63" s="101">
        <f t="shared" si="7"/>
        <v>0</v>
      </c>
      <c r="BI63" s="36"/>
      <c r="BJ63" s="103">
        <v>1.0</v>
      </c>
      <c r="BK63" s="36"/>
      <c r="BL63" s="36"/>
      <c r="BM63" s="36"/>
      <c r="BN63" s="36"/>
      <c r="BO63" s="101">
        <f t="shared" si="8"/>
        <v>1</v>
      </c>
      <c r="BP63" s="36"/>
      <c r="BQ63" s="103">
        <v>1.0</v>
      </c>
      <c r="BR63" s="36"/>
      <c r="BS63" s="36"/>
      <c r="BT63" s="36"/>
      <c r="BU63" s="36"/>
      <c r="BV63" s="101">
        <f t="shared" si="9"/>
        <v>1</v>
      </c>
      <c r="BW63" s="36"/>
      <c r="BX63" s="36"/>
      <c r="BY63" s="36"/>
      <c r="BZ63" s="36"/>
      <c r="CA63" s="36"/>
      <c r="CB63" s="36"/>
      <c r="CC63" s="101">
        <f t="shared" si="10"/>
        <v>0</v>
      </c>
      <c r="CD63" s="36"/>
      <c r="CE63" s="36"/>
      <c r="CF63" s="36"/>
      <c r="CG63" s="36"/>
      <c r="CH63" s="36"/>
      <c r="CI63" s="36"/>
      <c r="CJ63" s="101">
        <f t="shared" si="11"/>
        <v>0</v>
      </c>
      <c r="CQ63" s="101">
        <f t="shared" si="12"/>
        <v>0</v>
      </c>
      <c r="CR63" s="36"/>
      <c r="CS63" s="36"/>
      <c r="CT63" s="36"/>
      <c r="CU63" s="36"/>
      <c r="CV63" s="36"/>
      <c r="CW63" s="36"/>
      <c r="CX63" s="101">
        <f t="shared" si="13"/>
        <v>0</v>
      </c>
      <c r="CY63" s="36"/>
      <c r="CZ63" s="36"/>
      <c r="DA63" s="36"/>
      <c r="DB63" s="36"/>
      <c r="DC63" s="36"/>
      <c r="DD63" s="36"/>
      <c r="DE63" s="101">
        <f t="shared" si="14"/>
        <v>0</v>
      </c>
      <c r="DF63" s="36"/>
      <c r="DG63" s="36"/>
      <c r="DH63" s="36"/>
      <c r="DI63" s="36"/>
      <c r="DJ63" s="36"/>
      <c r="DK63" s="36"/>
      <c r="DL63" s="101">
        <f t="shared" si="15"/>
        <v>0</v>
      </c>
      <c r="DS63" s="101">
        <f t="shared" si="16"/>
        <v>0</v>
      </c>
      <c r="DZ63" s="101">
        <f t="shared" si="17"/>
        <v>0</v>
      </c>
    </row>
    <row r="64">
      <c r="A64" s="102">
        <v>45674.0</v>
      </c>
      <c r="B64" s="101" t="s">
        <v>45</v>
      </c>
      <c r="C64" s="101">
        <v>10.3</v>
      </c>
      <c r="D64" s="101">
        <v>9.8</v>
      </c>
      <c r="E64" s="101">
        <v>27.0</v>
      </c>
      <c r="F64" s="101">
        <v>0.0</v>
      </c>
      <c r="G64" s="101">
        <v>20.0</v>
      </c>
      <c r="H64" s="101">
        <v>25.0</v>
      </c>
      <c r="I64" s="101">
        <v>0.0</v>
      </c>
      <c r="J64" s="101">
        <v>0.0</v>
      </c>
      <c r="K64" s="101">
        <v>0.0</v>
      </c>
      <c r="L64" s="101">
        <v>8.0</v>
      </c>
      <c r="M64" s="101">
        <v>9.0</v>
      </c>
      <c r="N64" s="101">
        <v>5.0</v>
      </c>
      <c r="R64" s="101">
        <f t="shared" si="1"/>
        <v>22</v>
      </c>
      <c r="S64" s="103">
        <v>1.0</v>
      </c>
      <c r="T64" s="103">
        <v>6.0</v>
      </c>
      <c r="U64" s="36"/>
      <c r="V64" s="36"/>
      <c r="W64" s="36"/>
      <c r="X64" s="36"/>
      <c r="Y64" s="101">
        <f t="shared" si="2"/>
        <v>7</v>
      </c>
      <c r="Z64" s="101">
        <v>9.0</v>
      </c>
      <c r="AA64" s="101">
        <v>6.0</v>
      </c>
      <c r="AF64" s="101">
        <f t="shared" si="3"/>
        <v>15</v>
      </c>
      <c r="AG64" s="36"/>
      <c r="AH64" s="36"/>
      <c r="AI64" s="36"/>
      <c r="AJ64" s="36"/>
      <c r="AK64" s="36"/>
      <c r="AL64" s="36"/>
      <c r="AM64" s="101">
        <f t="shared" si="4"/>
        <v>0</v>
      </c>
      <c r="AN64" s="36"/>
      <c r="AO64" s="36"/>
      <c r="AP64" s="103">
        <v>1.0</v>
      </c>
      <c r="AQ64" s="36"/>
      <c r="AR64" s="36"/>
      <c r="AS64" s="36"/>
      <c r="AT64" s="101">
        <f t="shared" si="5"/>
        <v>1</v>
      </c>
      <c r="AU64" s="36"/>
      <c r="AV64" s="36"/>
      <c r="AW64" s="36"/>
      <c r="AX64" s="36"/>
      <c r="AY64" s="36"/>
      <c r="AZ64" s="36"/>
      <c r="BA64" s="101">
        <f t="shared" si="6"/>
        <v>0</v>
      </c>
      <c r="BB64" s="36"/>
      <c r="BC64" s="36"/>
      <c r="BD64" s="36"/>
      <c r="BE64" s="36"/>
      <c r="BF64" s="36"/>
      <c r="BG64" s="36"/>
      <c r="BH64" s="101">
        <f t="shared" si="7"/>
        <v>0</v>
      </c>
      <c r="BI64" s="103">
        <v>2.0</v>
      </c>
      <c r="BJ64" s="103">
        <v>5.0</v>
      </c>
      <c r="BK64" s="36"/>
      <c r="BL64" s="36"/>
      <c r="BM64" s="36"/>
      <c r="BN64" s="36"/>
      <c r="BO64" s="101">
        <f t="shared" si="8"/>
        <v>7</v>
      </c>
      <c r="BP64" s="36"/>
      <c r="BQ64" s="36"/>
      <c r="BR64" s="36"/>
      <c r="BS64" s="36"/>
      <c r="BT64" s="36"/>
      <c r="BU64" s="36"/>
      <c r="BV64" s="101">
        <f t="shared" si="9"/>
        <v>0</v>
      </c>
      <c r="BW64" s="36"/>
      <c r="BX64" s="36"/>
      <c r="BY64" s="36"/>
      <c r="BZ64" s="36"/>
      <c r="CA64" s="36"/>
      <c r="CB64" s="36"/>
      <c r="CC64" s="101">
        <f t="shared" si="10"/>
        <v>0</v>
      </c>
      <c r="CD64" s="36"/>
      <c r="CE64" s="36"/>
      <c r="CF64" s="36"/>
      <c r="CG64" s="36"/>
      <c r="CH64" s="36"/>
      <c r="CI64" s="36"/>
      <c r="CJ64" s="101">
        <f t="shared" si="11"/>
        <v>0</v>
      </c>
      <c r="CQ64" s="101">
        <f t="shared" si="12"/>
        <v>0</v>
      </c>
      <c r="CR64" s="36"/>
      <c r="CS64" s="36"/>
      <c r="CT64" s="36"/>
      <c r="CU64" s="36"/>
      <c r="CV64" s="36"/>
      <c r="CW64" s="36"/>
      <c r="CX64" s="101">
        <f t="shared" si="13"/>
        <v>0</v>
      </c>
      <c r="CY64" s="36"/>
      <c r="CZ64" s="36"/>
      <c r="DA64" s="36"/>
      <c r="DB64" s="36"/>
      <c r="DC64" s="36"/>
      <c r="DD64" s="36"/>
      <c r="DE64" s="101">
        <f t="shared" si="14"/>
        <v>0</v>
      </c>
      <c r="DF64" s="36"/>
      <c r="DG64" s="36"/>
      <c r="DH64" s="36"/>
      <c r="DI64" s="36"/>
      <c r="DJ64" s="36"/>
      <c r="DK64" s="36"/>
      <c r="DL64" s="101">
        <f t="shared" si="15"/>
        <v>0</v>
      </c>
      <c r="DS64" s="101">
        <f t="shared" si="16"/>
        <v>0</v>
      </c>
      <c r="DZ64" s="101">
        <f t="shared" si="17"/>
        <v>0</v>
      </c>
    </row>
    <row r="65">
      <c r="A65" s="102">
        <v>45679.0</v>
      </c>
      <c r="B65" s="101" t="s">
        <v>42</v>
      </c>
      <c r="C65" s="101">
        <v>7.8</v>
      </c>
      <c r="D65" s="101">
        <v>8.2</v>
      </c>
      <c r="E65" s="101">
        <v>27.0</v>
      </c>
      <c r="F65" s="101">
        <v>25.0</v>
      </c>
      <c r="G65" s="101">
        <v>20.0</v>
      </c>
      <c r="H65" s="101">
        <v>0.0</v>
      </c>
      <c r="I65" s="101">
        <v>20.0</v>
      </c>
      <c r="J65" s="101">
        <v>0.0</v>
      </c>
      <c r="K65" s="101">
        <v>0.0</v>
      </c>
      <c r="L65" s="101">
        <v>16.0</v>
      </c>
      <c r="M65" s="101">
        <v>16.0</v>
      </c>
      <c r="N65" s="101">
        <v>2.0</v>
      </c>
      <c r="O65" s="101">
        <v>1.0</v>
      </c>
      <c r="R65" s="101">
        <f t="shared" si="1"/>
        <v>35</v>
      </c>
      <c r="S65" s="103">
        <v>1.0</v>
      </c>
      <c r="T65" s="103">
        <v>1.0</v>
      </c>
      <c r="U65" s="36"/>
      <c r="V65" s="36"/>
      <c r="W65" s="36"/>
      <c r="X65" s="36"/>
      <c r="Y65" s="101">
        <f t="shared" si="2"/>
        <v>2</v>
      </c>
      <c r="Z65" s="101">
        <v>7.0</v>
      </c>
      <c r="AA65" s="101">
        <v>9.0</v>
      </c>
      <c r="AF65" s="101">
        <f t="shared" si="3"/>
        <v>16</v>
      </c>
      <c r="AG65" s="36"/>
      <c r="AH65" s="36"/>
      <c r="AI65" s="36"/>
      <c r="AJ65" s="36"/>
      <c r="AK65" s="36"/>
      <c r="AL65" s="36"/>
      <c r="AM65" s="101">
        <f t="shared" si="4"/>
        <v>0</v>
      </c>
      <c r="AN65" s="36"/>
      <c r="AO65" s="36"/>
      <c r="AP65" s="36"/>
      <c r="AQ65" s="36"/>
      <c r="AR65" s="36"/>
      <c r="AS65" s="36"/>
      <c r="AT65" s="101">
        <f t="shared" si="5"/>
        <v>0</v>
      </c>
      <c r="AU65" s="36"/>
      <c r="AV65" s="103">
        <v>3.0</v>
      </c>
      <c r="AW65" s="103">
        <v>1.0</v>
      </c>
      <c r="AX65" s="36"/>
      <c r="AY65" s="36"/>
      <c r="AZ65" s="36"/>
      <c r="BA65" s="101">
        <f t="shared" si="6"/>
        <v>4</v>
      </c>
      <c r="BB65" s="36"/>
      <c r="BC65" s="36"/>
      <c r="BD65" s="103">
        <v>1.0</v>
      </c>
      <c r="BE65" s="36"/>
      <c r="BF65" s="36"/>
      <c r="BG65" s="36"/>
      <c r="BH65" s="101">
        <f t="shared" si="7"/>
        <v>1</v>
      </c>
      <c r="BI65" s="103">
        <v>1.0</v>
      </c>
      <c r="BJ65" s="36"/>
      <c r="BK65" s="36"/>
      <c r="BL65" s="36"/>
      <c r="BM65" s="36"/>
      <c r="BN65" s="36"/>
      <c r="BO65" s="101">
        <f t="shared" si="8"/>
        <v>1</v>
      </c>
      <c r="BP65" s="36"/>
      <c r="BQ65" s="103">
        <v>3.0</v>
      </c>
      <c r="BR65" s="36"/>
      <c r="BS65" s="36"/>
      <c r="BT65" s="36"/>
      <c r="BU65" s="36"/>
      <c r="BV65" s="101">
        <f t="shared" si="9"/>
        <v>3</v>
      </c>
      <c r="BW65" s="36"/>
      <c r="BX65" s="36"/>
      <c r="BY65" s="36"/>
      <c r="BZ65" s="36"/>
      <c r="CA65" s="36"/>
      <c r="CB65" s="36"/>
      <c r="CC65" s="101">
        <f t="shared" si="10"/>
        <v>0</v>
      </c>
      <c r="CD65" s="36"/>
      <c r="CE65" s="36"/>
      <c r="CF65" s="36"/>
      <c r="CG65" s="103">
        <v>1.0</v>
      </c>
      <c r="CH65" s="36"/>
      <c r="CI65" s="36"/>
      <c r="CJ65" s="101">
        <f t="shared" si="11"/>
        <v>1</v>
      </c>
      <c r="CQ65" s="101">
        <f t="shared" si="12"/>
        <v>0</v>
      </c>
      <c r="CR65" s="36"/>
      <c r="CS65" s="36"/>
      <c r="CT65" s="36"/>
      <c r="CU65" s="36"/>
      <c r="CV65" s="36"/>
      <c r="CW65" s="36"/>
      <c r="CX65" s="101">
        <f t="shared" si="13"/>
        <v>0</v>
      </c>
      <c r="CY65" s="36"/>
      <c r="CZ65" s="36"/>
      <c r="DA65" s="103">
        <v>2.0</v>
      </c>
      <c r="DB65" s="36"/>
      <c r="DC65" s="36"/>
      <c r="DD65" s="36"/>
      <c r="DE65" s="101">
        <f t="shared" si="14"/>
        <v>2</v>
      </c>
      <c r="DF65" s="36"/>
      <c r="DG65" s="36"/>
      <c r="DH65" s="103">
        <v>1.0</v>
      </c>
      <c r="DI65" s="36"/>
      <c r="DJ65" s="36"/>
      <c r="DK65" s="36"/>
      <c r="DL65" s="101">
        <f t="shared" si="15"/>
        <v>1</v>
      </c>
      <c r="DS65" s="101">
        <f t="shared" si="16"/>
        <v>0</v>
      </c>
      <c r="DZ65" s="101">
        <f t="shared" si="17"/>
        <v>0</v>
      </c>
    </row>
    <row r="66">
      <c r="A66" s="102">
        <v>45680.0</v>
      </c>
      <c r="B66" s="101" t="s">
        <v>43</v>
      </c>
      <c r="C66" s="101">
        <v>12.8</v>
      </c>
      <c r="D66" s="101">
        <v>7.0</v>
      </c>
      <c r="E66" s="101">
        <v>27.0</v>
      </c>
      <c r="F66" s="101">
        <v>15.0</v>
      </c>
      <c r="G66" s="101">
        <v>0.0</v>
      </c>
      <c r="H66" s="101">
        <v>5.0</v>
      </c>
      <c r="I66" s="101">
        <v>15.0</v>
      </c>
      <c r="J66" s="101">
        <v>5.0</v>
      </c>
      <c r="K66" s="101">
        <v>30.0</v>
      </c>
      <c r="L66" s="101">
        <v>22.0</v>
      </c>
      <c r="M66" s="101">
        <v>22.0</v>
      </c>
      <c r="N66" s="101">
        <v>2.0</v>
      </c>
      <c r="R66" s="101">
        <f t="shared" si="1"/>
        <v>46</v>
      </c>
      <c r="S66" s="103">
        <v>3.0</v>
      </c>
      <c r="T66" s="103">
        <v>1.0</v>
      </c>
      <c r="U66" s="36"/>
      <c r="V66" s="36"/>
      <c r="W66" s="36"/>
      <c r="X66" s="36"/>
      <c r="Y66" s="101">
        <f t="shared" si="2"/>
        <v>4</v>
      </c>
      <c r="Z66" s="101">
        <v>13.0</v>
      </c>
      <c r="AA66" s="101">
        <v>7.0</v>
      </c>
      <c r="AB66" s="101">
        <v>1.0</v>
      </c>
      <c r="AF66" s="101">
        <f t="shared" si="3"/>
        <v>21</v>
      </c>
      <c r="AG66" s="36"/>
      <c r="AH66" s="103">
        <v>1.0</v>
      </c>
      <c r="AI66" s="103">
        <v>1.0</v>
      </c>
      <c r="AJ66" s="36"/>
      <c r="AK66" s="36"/>
      <c r="AL66" s="36"/>
      <c r="AM66" s="101">
        <f t="shared" si="4"/>
        <v>2</v>
      </c>
      <c r="AN66" s="36"/>
      <c r="AO66" s="36"/>
      <c r="AP66" s="103">
        <v>1.0</v>
      </c>
      <c r="AQ66" s="36"/>
      <c r="AR66" s="36"/>
      <c r="AS66" s="36"/>
      <c r="AT66" s="101">
        <f t="shared" si="5"/>
        <v>1</v>
      </c>
      <c r="AU66" s="36"/>
      <c r="AV66" s="36"/>
      <c r="AW66" s="36"/>
      <c r="AX66" s="36"/>
      <c r="AY66" s="36"/>
      <c r="AZ66" s="36"/>
      <c r="BA66" s="101">
        <f t="shared" si="6"/>
        <v>0</v>
      </c>
      <c r="BB66" s="36"/>
      <c r="BC66" s="36"/>
      <c r="BD66" s="36"/>
      <c r="BE66" s="36"/>
      <c r="BF66" s="36"/>
      <c r="BG66" s="36"/>
      <c r="BH66" s="101">
        <f t="shared" si="7"/>
        <v>0</v>
      </c>
      <c r="BI66" s="36"/>
      <c r="BJ66" s="36"/>
      <c r="BK66" s="36"/>
      <c r="BL66" s="36"/>
      <c r="BM66" s="36"/>
      <c r="BN66" s="36"/>
      <c r="BO66" s="101">
        <f t="shared" si="8"/>
        <v>0</v>
      </c>
      <c r="BP66" s="103">
        <v>2.0</v>
      </c>
      <c r="BQ66" s="103">
        <v>2.0</v>
      </c>
      <c r="BR66" s="103">
        <v>3.0</v>
      </c>
      <c r="BS66" s="103">
        <v>2.0</v>
      </c>
      <c r="BT66" s="36"/>
      <c r="BU66" s="36"/>
      <c r="BV66" s="101">
        <f t="shared" si="9"/>
        <v>9</v>
      </c>
      <c r="BW66" s="36"/>
      <c r="BX66" s="36"/>
      <c r="BY66" s="36"/>
      <c r="BZ66" s="36"/>
      <c r="CA66" s="36"/>
      <c r="CB66" s="36"/>
      <c r="CC66" s="101">
        <f t="shared" si="10"/>
        <v>0</v>
      </c>
      <c r="CD66" s="36"/>
      <c r="CE66" s="36"/>
      <c r="CF66" s="36"/>
      <c r="CG66" s="36"/>
      <c r="CH66" s="36"/>
      <c r="CI66" s="36"/>
      <c r="CJ66" s="101">
        <f t="shared" si="11"/>
        <v>0</v>
      </c>
      <c r="CQ66" s="101">
        <f t="shared" si="12"/>
        <v>0</v>
      </c>
      <c r="CR66" s="36"/>
      <c r="CS66" s="36"/>
      <c r="CT66" s="36"/>
      <c r="CU66" s="36"/>
      <c r="CV66" s="36"/>
      <c r="CW66" s="36"/>
      <c r="CX66" s="101">
        <f t="shared" si="13"/>
        <v>0</v>
      </c>
      <c r="CY66" s="36"/>
      <c r="CZ66" s="36"/>
      <c r="DA66" s="36"/>
      <c r="DB66" s="36"/>
      <c r="DC66" s="36"/>
      <c r="DD66" s="36"/>
      <c r="DE66" s="101">
        <f t="shared" si="14"/>
        <v>0</v>
      </c>
      <c r="DF66" s="36"/>
      <c r="DG66" s="36"/>
      <c r="DH66" s="36"/>
      <c r="DI66" s="36"/>
      <c r="DJ66" s="36"/>
      <c r="DK66" s="36"/>
      <c r="DL66" s="101">
        <f t="shared" si="15"/>
        <v>0</v>
      </c>
      <c r="DS66" s="101">
        <f t="shared" si="16"/>
        <v>0</v>
      </c>
      <c r="DZ66" s="101">
        <f t="shared" si="17"/>
        <v>0</v>
      </c>
    </row>
    <row r="67">
      <c r="A67" s="102">
        <v>45680.0</v>
      </c>
      <c r="B67" s="101" t="s">
        <v>44</v>
      </c>
      <c r="C67" s="101">
        <v>16.0</v>
      </c>
      <c r="D67" s="101">
        <v>13.3</v>
      </c>
      <c r="E67" s="101">
        <v>27.0</v>
      </c>
      <c r="F67" s="101">
        <v>0.0</v>
      </c>
      <c r="G67" s="101">
        <v>0.0</v>
      </c>
      <c r="H67" s="101">
        <v>0.0</v>
      </c>
      <c r="I67" s="101">
        <v>20.0</v>
      </c>
      <c r="J67" s="101">
        <v>0.0</v>
      </c>
      <c r="K67" s="101">
        <v>30.0</v>
      </c>
      <c r="L67" s="101">
        <v>15.0</v>
      </c>
      <c r="M67" s="101">
        <v>10.0</v>
      </c>
      <c r="N67" s="101">
        <v>5.0</v>
      </c>
      <c r="R67" s="101">
        <f t="shared" si="1"/>
        <v>30</v>
      </c>
      <c r="S67" s="103">
        <v>5.0</v>
      </c>
      <c r="T67" s="36"/>
      <c r="U67" s="36"/>
      <c r="V67" s="36"/>
      <c r="W67" s="36"/>
      <c r="X67" s="36"/>
      <c r="Y67" s="101">
        <f t="shared" si="2"/>
        <v>5</v>
      </c>
      <c r="Z67" s="101">
        <v>2.0</v>
      </c>
      <c r="AA67" s="101">
        <v>5.0</v>
      </c>
      <c r="AF67" s="101">
        <f t="shared" si="3"/>
        <v>7</v>
      </c>
      <c r="AG67" s="36"/>
      <c r="AH67" s="103">
        <v>1.0</v>
      </c>
      <c r="AI67" s="103">
        <v>2.0</v>
      </c>
      <c r="AJ67" s="36"/>
      <c r="AK67" s="36"/>
      <c r="AL67" s="36"/>
      <c r="AM67" s="101">
        <f t="shared" si="4"/>
        <v>3</v>
      </c>
      <c r="AN67" s="36"/>
      <c r="AO67" s="103">
        <v>4.0</v>
      </c>
      <c r="AP67" s="103">
        <v>4.0</v>
      </c>
      <c r="AQ67" s="36"/>
      <c r="AR67" s="36"/>
      <c r="AS67" s="36"/>
      <c r="AT67" s="101">
        <f t="shared" si="5"/>
        <v>8</v>
      </c>
      <c r="AU67" s="103">
        <v>1.0</v>
      </c>
      <c r="AV67" s="103">
        <v>2.0</v>
      </c>
      <c r="AW67" s="36"/>
      <c r="AX67" s="36"/>
      <c r="AY67" s="36"/>
      <c r="AZ67" s="36"/>
      <c r="BA67" s="101">
        <f t="shared" si="6"/>
        <v>3</v>
      </c>
      <c r="BB67" s="36"/>
      <c r="BC67" s="36"/>
      <c r="BD67" s="36"/>
      <c r="BE67" s="36"/>
      <c r="BF67" s="36"/>
      <c r="BG67" s="36"/>
      <c r="BH67" s="101">
        <f t="shared" si="7"/>
        <v>0</v>
      </c>
      <c r="BI67" s="36"/>
      <c r="BJ67" s="36"/>
      <c r="BK67" s="36"/>
      <c r="BL67" s="36"/>
      <c r="BM67" s="36"/>
      <c r="BN67" s="36"/>
      <c r="BO67" s="101">
        <f t="shared" si="8"/>
        <v>0</v>
      </c>
      <c r="BP67" s="36"/>
      <c r="BQ67" s="103">
        <v>3.0</v>
      </c>
      <c r="BR67" s="36"/>
      <c r="BS67" s="36"/>
      <c r="BT67" s="36"/>
      <c r="BU67" s="36"/>
      <c r="BV67" s="101">
        <f t="shared" si="9"/>
        <v>3</v>
      </c>
      <c r="BW67" s="36"/>
      <c r="BX67" s="36"/>
      <c r="BY67" s="36"/>
      <c r="BZ67" s="36"/>
      <c r="CA67" s="36"/>
      <c r="CB67" s="36"/>
      <c r="CC67" s="101">
        <f t="shared" si="10"/>
        <v>0</v>
      </c>
      <c r="CD67" s="36"/>
      <c r="CE67" s="36"/>
      <c r="CF67" s="36"/>
      <c r="CG67" s="36"/>
      <c r="CH67" s="36"/>
      <c r="CI67" s="36"/>
      <c r="CJ67" s="101">
        <f t="shared" si="11"/>
        <v>0</v>
      </c>
      <c r="CQ67" s="101">
        <f t="shared" si="12"/>
        <v>0</v>
      </c>
      <c r="CR67" s="36"/>
      <c r="CS67" s="36"/>
      <c r="CT67" s="36"/>
      <c r="CU67" s="36"/>
      <c r="CV67" s="36"/>
      <c r="CW67" s="36"/>
      <c r="CX67" s="101">
        <f t="shared" si="13"/>
        <v>0</v>
      </c>
      <c r="CY67" s="36"/>
      <c r="CZ67" s="36"/>
      <c r="DA67" s="36"/>
      <c r="DB67" s="36"/>
      <c r="DC67" s="36"/>
      <c r="DD67" s="36"/>
      <c r="DE67" s="101">
        <f t="shared" si="14"/>
        <v>0</v>
      </c>
      <c r="DF67" s="36"/>
      <c r="DG67" s="36"/>
      <c r="DH67" s="36"/>
      <c r="DI67" s="36"/>
      <c r="DJ67" s="36"/>
      <c r="DK67" s="36"/>
      <c r="DL67" s="101">
        <f t="shared" si="15"/>
        <v>0</v>
      </c>
      <c r="DS67" s="101">
        <f t="shared" si="16"/>
        <v>0</v>
      </c>
      <c r="DZ67" s="101">
        <f t="shared" si="17"/>
        <v>0</v>
      </c>
    </row>
    <row r="68">
      <c r="A68" s="102">
        <v>45682.0</v>
      </c>
      <c r="B68" s="101" t="s">
        <v>65</v>
      </c>
      <c r="C68" s="101">
        <v>13.2</v>
      </c>
      <c r="D68" s="101">
        <v>9.8</v>
      </c>
      <c r="E68" s="101">
        <v>27.0</v>
      </c>
      <c r="F68" s="101">
        <v>65.0</v>
      </c>
      <c r="G68" s="101">
        <v>20.0</v>
      </c>
      <c r="H68" s="101">
        <v>0.0</v>
      </c>
      <c r="I68" s="101">
        <v>15.0</v>
      </c>
      <c r="J68" s="101">
        <v>0.0</v>
      </c>
      <c r="K68" s="101">
        <v>0.0</v>
      </c>
      <c r="L68" s="101">
        <v>2.0</v>
      </c>
      <c r="M68" s="101">
        <v>9.0</v>
      </c>
      <c r="N68" s="101">
        <v>7.0</v>
      </c>
      <c r="O68" s="101">
        <v>2.0</v>
      </c>
      <c r="R68" s="101">
        <f t="shared" si="1"/>
        <v>20</v>
      </c>
      <c r="S68" s="103">
        <v>3.0</v>
      </c>
      <c r="T68" s="36"/>
      <c r="U68" s="36"/>
      <c r="V68" s="36"/>
      <c r="W68" s="36"/>
      <c r="X68" s="36"/>
      <c r="Y68" s="101">
        <f t="shared" si="2"/>
        <v>3</v>
      </c>
      <c r="Z68" s="101">
        <v>4.0</v>
      </c>
      <c r="AA68" s="101">
        <v>18.0</v>
      </c>
      <c r="AF68" s="101">
        <f t="shared" si="3"/>
        <v>22</v>
      </c>
      <c r="AG68" s="36"/>
      <c r="AH68" s="36"/>
      <c r="AI68" s="36"/>
      <c r="AJ68" s="36"/>
      <c r="AK68" s="36"/>
      <c r="AL68" s="36"/>
      <c r="AM68" s="101">
        <f t="shared" si="4"/>
        <v>0</v>
      </c>
      <c r="AN68" s="103">
        <v>2.0</v>
      </c>
      <c r="AO68" s="103">
        <v>12.0</v>
      </c>
      <c r="AP68" s="103">
        <v>7.0</v>
      </c>
      <c r="AQ68" s="36"/>
      <c r="AR68" s="36"/>
      <c r="AS68" s="36"/>
      <c r="AT68" s="101">
        <f t="shared" si="5"/>
        <v>21</v>
      </c>
      <c r="AU68" s="36"/>
      <c r="AV68" s="103">
        <v>1.0</v>
      </c>
      <c r="AW68" s="36"/>
      <c r="AX68" s="36"/>
      <c r="AY68" s="36"/>
      <c r="AZ68" s="36"/>
      <c r="BA68" s="101">
        <f t="shared" si="6"/>
        <v>1</v>
      </c>
      <c r="BB68" s="36"/>
      <c r="BC68" s="36"/>
      <c r="BD68" s="36"/>
      <c r="BE68" s="36"/>
      <c r="BF68" s="36"/>
      <c r="BG68" s="36"/>
      <c r="BH68" s="101">
        <f t="shared" si="7"/>
        <v>0</v>
      </c>
      <c r="BI68" s="103">
        <v>1.0</v>
      </c>
      <c r="BJ68" s="103">
        <v>1.0</v>
      </c>
      <c r="BK68" s="36"/>
      <c r="BL68" s="36"/>
      <c r="BM68" s="36"/>
      <c r="BN68" s="36"/>
      <c r="BO68" s="101">
        <f t="shared" si="8"/>
        <v>2</v>
      </c>
      <c r="BP68" s="36"/>
      <c r="BQ68" s="36"/>
      <c r="BR68" s="103">
        <v>1.0</v>
      </c>
      <c r="BS68" s="103">
        <v>1.0</v>
      </c>
      <c r="BT68" s="36"/>
      <c r="BU68" s="36"/>
      <c r="BV68" s="101">
        <f t="shared" si="9"/>
        <v>2</v>
      </c>
      <c r="BW68" s="36"/>
      <c r="BX68" s="36"/>
      <c r="BY68" s="36"/>
      <c r="BZ68" s="36"/>
      <c r="CA68" s="36"/>
      <c r="CB68" s="36"/>
      <c r="CC68" s="101">
        <f t="shared" si="10"/>
        <v>0</v>
      </c>
      <c r="CD68" s="36"/>
      <c r="CE68" s="36"/>
      <c r="CF68" s="36"/>
      <c r="CG68" s="36"/>
      <c r="CH68" s="36"/>
      <c r="CI68" s="36"/>
      <c r="CJ68" s="101">
        <f t="shared" si="11"/>
        <v>0</v>
      </c>
      <c r="CQ68" s="101">
        <f t="shared" si="12"/>
        <v>0</v>
      </c>
      <c r="CR68" s="36"/>
      <c r="CS68" s="36"/>
      <c r="CT68" s="36"/>
      <c r="CU68" s="36"/>
      <c r="CV68" s="36"/>
      <c r="CW68" s="36"/>
      <c r="CX68" s="101">
        <f t="shared" si="13"/>
        <v>0</v>
      </c>
      <c r="CY68" s="36"/>
      <c r="CZ68" s="36"/>
      <c r="DA68" s="36"/>
      <c r="DB68" s="36"/>
      <c r="DC68" s="36"/>
      <c r="DD68" s="36"/>
      <c r="DE68" s="101">
        <f t="shared" si="14"/>
        <v>0</v>
      </c>
      <c r="DF68" s="36"/>
      <c r="DG68" s="36"/>
      <c r="DH68" s="36"/>
      <c r="DI68" s="36"/>
      <c r="DJ68" s="36"/>
      <c r="DK68" s="36"/>
      <c r="DL68" s="101">
        <f t="shared" si="15"/>
        <v>0</v>
      </c>
      <c r="DS68" s="101">
        <f t="shared" si="16"/>
        <v>0</v>
      </c>
      <c r="DZ68" s="101">
        <f t="shared" si="17"/>
        <v>0</v>
      </c>
    </row>
    <row r="69">
      <c r="A69" s="102">
        <v>45682.0</v>
      </c>
      <c r="B69" s="101" t="s">
        <v>42</v>
      </c>
      <c r="C69" s="101">
        <v>9.8</v>
      </c>
      <c r="D69" s="101">
        <v>7.9</v>
      </c>
      <c r="E69" s="101">
        <v>27.0</v>
      </c>
      <c r="F69" s="101">
        <v>0.0</v>
      </c>
      <c r="G69" s="101">
        <v>0.0</v>
      </c>
      <c r="H69" s="101">
        <v>15.0</v>
      </c>
      <c r="I69" s="101">
        <v>15.0</v>
      </c>
      <c r="J69" s="101">
        <v>0.0</v>
      </c>
      <c r="K69" s="101">
        <v>0.0</v>
      </c>
      <c r="L69" s="101">
        <v>38.0</v>
      </c>
      <c r="M69" s="101">
        <v>17.0</v>
      </c>
      <c r="N69" s="101">
        <v>5.0</v>
      </c>
      <c r="R69" s="101">
        <f t="shared" si="1"/>
        <v>60</v>
      </c>
      <c r="S69" s="103">
        <v>6.0</v>
      </c>
      <c r="T69" s="103">
        <v>1.0</v>
      </c>
      <c r="U69" s="36"/>
      <c r="V69" s="36"/>
      <c r="W69" s="36"/>
      <c r="X69" s="36"/>
      <c r="Y69" s="101">
        <f t="shared" si="2"/>
        <v>7</v>
      </c>
      <c r="Z69" s="101">
        <v>11.0</v>
      </c>
      <c r="AA69" s="101">
        <v>5.0</v>
      </c>
      <c r="AF69" s="101">
        <f t="shared" si="3"/>
        <v>16</v>
      </c>
      <c r="AG69" s="36"/>
      <c r="AH69" s="36"/>
      <c r="AI69" s="36"/>
      <c r="AJ69" s="36"/>
      <c r="AK69" s="36"/>
      <c r="AL69" s="36"/>
      <c r="AM69" s="101">
        <f t="shared" si="4"/>
        <v>0</v>
      </c>
      <c r="AN69" s="36"/>
      <c r="AO69" s="36"/>
      <c r="AP69" s="103">
        <v>2.0</v>
      </c>
      <c r="AQ69" s="36"/>
      <c r="AR69" s="36"/>
      <c r="AS69" s="36"/>
      <c r="AT69" s="101">
        <f t="shared" si="5"/>
        <v>2</v>
      </c>
      <c r="AU69" s="36"/>
      <c r="AV69" s="36"/>
      <c r="AW69" s="103">
        <v>1.0</v>
      </c>
      <c r="AX69" s="36"/>
      <c r="AY69" s="36"/>
      <c r="AZ69" s="36"/>
      <c r="BA69" s="101">
        <f t="shared" si="6"/>
        <v>1</v>
      </c>
      <c r="BB69" s="36"/>
      <c r="BC69" s="36"/>
      <c r="BD69" s="103">
        <v>1.0</v>
      </c>
      <c r="BE69" s="36"/>
      <c r="BF69" s="36"/>
      <c r="BG69" s="36"/>
      <c r="BH69" s="101">
        <f t="shared" si="7"/>
        <v>1</v>
      </c>
      <c r="BI69" s="103">
        <v>2.0</v>
      </c>
      <c r="BJ69" s="103">
        <v>2.0</v>
      </c>
      <c r="BK69" s="36"/>
      <c r="BL69" s="36"/>
      <c r="BM69" s="36"/>
      <c r="BN69" s="36"/>
      <c r="BO69" s="101">
        <f t="shared" si="8"/>
        <v>4</v>
      </c>
      <c r="BP69" s="36"/>
      <c r="BQ69" s="103">
        <v>3.0</v>
      </c>
      <c r="BR69" s="36"/>
      <c r="BS69" s="36"/>
      <c r="BT69" s="36"/>
      <c r="BU69" s="36"/>
      <c r="BV69" s="101">
        <f t="shared" si="9"/>
        <v>3</v>
      </c>
      <c r="BW69" s="36"/>
      <c r="BX69" s="36"/>
      <c r="BY69" s="36"/>
      <c r="BZ69" s="36"/>
      <c r="CA69" s="36"/>
      <c r="CB69" s="36"/>
      <c r="CC69" s="101">
        <f t="shared" si="10"/>
        <v>0</v>
      </c>
      <c r="CD69" s="36"/>
      <c r="CE69" s="36"/>
      <c r="CF69" s="36"/>
      <c r="CG69" s="36"/>
      <c r="CH69" s="36"/>
      <c r="CI69" s="36"/>
      <c r="CJ69" s="101">
        <f t="shared" si="11"/>
        <v>0</v>
      </c>
      <c r="CQ69" s="101">
        <f t="shared" si="12"/>
        <v>0</v>
      </c>
      <c r="CR69" s="36"/>
      <c r="CS69" s="36"/>
      <c r="CT69" s="36"/>
      <c r="CU69" s="36"/>
      <c r="CV69" s="36"/>
      <c r="CW69" s="36"/>
      <c r="CX69" s="101">
        <f t="shared" si="13"/>
        <v>0</v>
      </c>
      <c r="CY69" s="36"/>
      <c r="CZ69" s="36"/>
      <c r="DA69" s="36"/>
      <c r="DB69" s="36"/>
      <c r="DC69" s="36"/>
      <c r="DD69" s="36"/>
      <c r="DE69" s="101">
        <f t="shared" si="14"/>
        <v>0</v>
      </c>
      <c r="DF69" s="36"/>
      <c r="DG69" s="36"/>
      <c r="DH69" s="36"/>
      <c r="DI69" s="36"/>
      <c r="DJ69" s="36"/>
      <c r="DK69" s="36"/>
      <c r="DL69" s="101">
        <f t="shared" si="15"/>
        <v>0</v>
      </c>
      <c r="DS69" s="101">
        <f t="shared" si="16"/>
        <v>0</v>
      </c>
      <c r="DZ69" s="101">
        <f t="shared" si="17"/>
        <v>0</v>
      </c>
    </row>
    <row r="70">
      <c r="A70" s="102">
        <v>45684.0</v>
      </c>
      <c r="B70" s="101" t="s">
        <v>44</v>
      </c>
      <c r="C70" s="101">
        <v>13.0</v>
      </c>
      <c r="D70" s="101">
        <v>12.6</v>
      </c>
      <c r="E70" s="101">
        <v>28.0</v>
      </c>
      <c r="F70" s="101">
        <v>20.0</v>
      </c>
      <c r="G70" s="101">
        <v>20.0</v>
      </c>
      <c r="H70" s="101">
        <v>15.0</v>
      </c>
      <c r="I70" s="101">
        <v>0.0</v>
      </c>
      <c r="J70" s="101">
        <v>40.0</v>
      </c>
      <c r="K70" s="101">
        <v>0.0</v>
      </c>
      <c r="L70" s="101">
        <v>14.0</v>
      </c>
      <c r="M70" s="101">
        <v>12.0</v>
      </c>
      <c r="N70" s="101">
        <v>7.0</v>
      </c>
      <c r="O70" s="101">
        <v>2.0</v>
      </c>
      <c r="R70" s="101">
        <f t="shared" si="1"/>
        <v>35</v>
      </c>
      <c r="S70" s="36"/>
      <c r="T70" s="36"/>
      <c r="U70" s="103">
        <v>2.0</v>
      </c>
      <c r="V70" s="36"/>
      <c r="W70" s="36"/>
      <c r="X70" s="36"/>
      <c r="Y70" s="101">
        <f t="shared" si="2"/>
        <v>2</v>
      </c>
      <c r="Z70" s="101">
        <v>5.0</v>
      </c>
      <c r="AA70" s="101">
        <v>11.0</v>
      </c>
      <c r="AF70" s="101">
        <f t="shared" si="3"/>
        <v>16</v>
      </c>
      <c r="AG70" s="36"/>
      <c r="AH70" s="36"/>
      <c r="AI70" s="103">
        <v>6.0</v>
      </c>
      <c r="AJ70" s="36"/>
      <c r="AK70" s="36"/>
      <c r="AL70" s="36"/>
      <c r="AM70" s="101">
        <f t="shared" si="4"/>
        <v>6</v>
      </c>
      <c r="AN70" s="36"/>
      <c r="AO70" s="36"/>
      <c r="AP70" s="103">
        <v>4.0</v>
      </c>
      <c r="AQ70" s="36"/>
      <c r="AR70" s="36"/>
      <c r="AS70" s="36"/>
      <c r="AT70" s="101">
        <f t="shared" si="5"/>
        <v>4</v>
      </c>
      <c r="AU70" s="36"/>
      <c r="AV70" s="103">
        <v>1.0</v>
      </c>
      <c r="AW70" s="103">
        <v>2.0</v>
      </c>
      <c r="AX70" s="36"/>
      <c r="AY70" s="36"/>
      <c r="AZ70" s="36"/>
      <c r="BA70" s="101">
        <f t="shared" si="6"/>
        <v>3</v>
      </c>
      <c r="BB70" s="36"/>
      <c r="BC70" s="36"/>
      <c r="BD70" s="36"/>
      <c r="BE70" s="36"/>
      <c r="BF70" s="36"/>
      <c r="BG70" s="36"/>
      <c r="BH70" s="101">
        <f t="shared" si="7"/>
        <v>0</v>
      </c>
      <c r="BI70" s="103">
        <v>1.0</v>
      </c>
      <c r="BJ70" s="103">
        <v>1.0</v>
      </c>
      <c r="BK70" s="103">
        <v>2.0</v>
      </c>
      <c r="BL70" s="36"/>
      <c r="BM70" s="36"/>
      <c r="BN70" s="36"/>
      <c r="BO70" s="101">
        <f t="shared" si="8"/>
        <v>4</v>
      </c>
      <c r="BP70" s="36"/>
      <c r="BQ70" s="103">
        <v>1.0</v>
      </c>
      <c r="BR70" s="103">
        <v>6.0</v>
      </c>
      <c r="BS70" s="36"/>
      <c r="BT70" s="36"/>
      <c r="BU70" s="36"/>
      <c r="BV70" s="101">
        <f t="shared" si="9"/>
        <v>7</v>
      </c>
      <c r="BW70" s="36"/>
      <c r="BX70" s="36"/>
      <c r="BY70" s="36"/>
      <c r="BZ70" s="36"/>
      <c r="CA70" s="36"/>
      <c r="CB70" s="36"/>
      <c r="CC70" s="101">
        <f t="shared" si="10"/>
        <v>0</v>
      </c>
      <c r="CD70" s="36"/>
      <c r="CE70" s="36"/>
      <c r="CF70" s="36"/>
      <c r="CG70" s="36"/>
      <c r="CH70" s="36"/>
      <c r="CI70" s="36"/>
      <c r="CJ70" s="101">
        <f t="shared" si="11"/>
        <v>0</v>
      </c>
      <c r="CQ70" s="101">
        <f t="shared" si="12"/>
        <v>0</v>
      </c>
      <c r="CR70" s="36"/>
      <c r="CS70" s="36"/>
      <c r="CT70" s="36"/>
      <c r="CU70" s="36"/>
      <c r="CV70" s="36"/>
      <c r="CW70" s="36"/>
      <c r="CX70" s="101">
        <f t="shared" si="13"/>
        <v>0</v>
      </c>
      <c r="CY70" s="36"/>
      <c r="CZ70" s="36"/>
      <c r="DA70" s="36"/>
      <c r="DB70" s="36"/>
      <c r="DC70" s="36"/>
      <c r="DD70" s="36"/>
      <c r="DE70" s="101">
        <f t="shared" si="14"/>
        <v>0</v>
      </c>
      <c r="DF70" s="36"/>
      <c r="DG70" s="36"/>
      <c r="DH70" s="36"/>
      <c r="DI70" s="36"/>
      <c r="DJ70" s="36"/>
      <c r="DK70" s="36"/>
      <c r="DL70" s="101">
        <f t="shared" si="15"/>
        <v>0</v>
      </c>
      <c r="DS70" s="101">
        <f t="shared" si="16"/>
        <v>0</v>
      </c>
      <c r="DZ70" s="101">
        <f t="shared" si="17"/>
        <v>0</v>
      </c>
    </row>
    <row r="71">
      <c r="A71" s="102">
        <v>45684.0</v>
      </c>
      <c r="B71" s="101" t="s">
        <v>43</v>
      </c>
      <c r="C71" s="101">
        <v>6.1</v>
      </c>
      <c r="D71" s="101">
        <v>5.6</v>
      </c>
      <c r="E71" s="101">
        <v>28.0</v>
      </c>
      <c r="F71" s="101">
        <v>0.0</v>
      </c>
      <c r="G71" s="101">
        <v>5.0</v>
      </c>
      <c r="H71" s="101">
        <v>5.0</v>
      </c>
      <c r="I71" s="101">
        <v>0.0</v>
      </c>
      <c r="J71" s="101">
        <v>0.0</v>
      </c>
      <c r="K71" s="101">
        <v>15.0</v>
      </c>
      <c r="L71" s="101">
        <v>35.0</v>
      </c>
      <c r="M71" s="101">
        <v>6.0</v>
      </c>
      <c r="N71" s="101">
        <v>1.0</v>
      </c>
      <c r="R71" s="101">
        <f t="shared" si="1"/>
        <v>42</v>
      </c>
      <c r="S71" s="103">
        <v>3.0</v>
      </c>
      <c r="T71" s="36"/>
      <c r="U71" s="36"/>
      <c r="V71" s="36"/>
      <c r="W71" s="36"/>
      <c r="X71" s="36"/>
      <c r="Y71" s="101">
        <f t="shared" si="2"/>
        <v>3</v>
      </c>
      <c r="Z71" s="101">
        <v>9.0</v>
      </c>
      <c r="AA71" s="101">
        <v>7.0</v>
      </c>
      <c r="AF71" s="101">
        <f t="shared" si="3"/>
        <v>16</v>
      </c>
      <c r="AG71" s="36"/>
      <c r="AH71" s="36"/>
      <c r="AI71" s="36"/>
      <c r="AJ71" s="36"/>
      <c r="AK71" s="36"/>
      <c r="AL71" s="36"/>
      <c r="AM71" s="101">
        <f t="shared" si="4"/>
        <v>0</v>
      </c>
      <c r="AN71" s="36"/>
      <c r="AO71" s="36"/>
      <c r="AP71" s="36"/>
      <c r="AQ71" s="36"/>
      <c r="AR71" s="36"/>
      <c r="AS71" s="36"/>
      <c r="AT71" s="101">
        <f t="shared" si="5"/>
        <v>0</v>
      </c>
      <c r="AU71" s="36"/>
      <c r="AV71" s="103">
        <v>1.0</v>
      </c>
      <c r="AW71" s="36"/>
      <c r="AX71" s="36"/>
      <c r="AY71" s="36"/>
      <c r="AZ71" s="36"/>
      <c r="BA71" s="101">
        <f t="shared" si="6"/>
        <v>1</v>
      </c>
      <c r="BB71" s="36"/>
      <c r="BC71" s="36"/>
      <c r="BD71" s="36"/>
      <c r="BE71" s="36"/>
      <c r="BF71" s="36"/>
      <c r="BG71" s="36"/>
      <c r="BH71" s="101">
        <f t="shared" si="7"/>
        <v>0</v>
      </c>
      <c r="BI71" s="103">
        <v>1.0</v>
      </c>
      <c r="BJ71" s="103">
        <v>2.0</v>
      </c>
      <c r="BK71" s="36"/>
      <c r="BL71" s="36"/>
      <c r="BM71" s="36"/>
      <c r="BN71" s="36"/>
      <c r="BO71" s="101">
        <f t="shared" si="8"/>
        <v>3</v>
      </c>
      <c r="BP71" s="36"/>
      <c r="BQ71" s="36"/>
      <c r="BR71" s="103">
        <v>3.0</v>
      </c>
      <c r="BS71" s="36"/>
      <c r="BT71" s="36"/>
      <c r="BU71" s="36"/>
      <c r="BV71" s="101">
        <f t="shared" si="9"/>
        <v>3</v>
      </c>
      <c r="BW71" s="36"/>
      <c r="BX71" s="36"/>
      <c r="BY71" s="36"/>
      <c r="BZ71" s="36"/>
      <c r="CA71" s="36"/>
      <c r="CB71" s="36"/>
      <c r="CC71" s="101">
        <f t="shared" si="10"/>
        <v>0</v>
      </c>
      <c r="CD71" s="36"/>
      <c r="CE71" s="36"/>
      <c r="CF71" s="36"/>
      <c r="CG71" s="36"/>
      <c r="CH71" s="36"/>
      <c r="CI71" s="36"/>
      <c r="CJ71" s="101">
        <f t="shared" si="11"/>
        <v>0</v>
      </c>
      <c r="CQ71" s="101">
        <f t="shared" si="12"/>
        <v>0</v>
      </c>
      <c r="CR71" s="36"/>
      <c r="CS71" s="36"/>
      <c r="CT71" s="36"/>
      <c r="CU71" s="36"/>
      <c r="CV71" s="36"/>
      <c r="CW71" s="36"/>
      <c r="CX71" s="101">
        <f t="shared" si="13"/>
        <v>0</v>
      </c>
      <c r="CY71" s="36"/>
      <c r="CZ71" s="36"/>
      <c r="DA71" s="36"/>
      <c r="DB71" s="36"/>
      <c r="DC71" s="36"/>
      <c r="DD71" s="36"/>
      <c r="DE71" s="101">
        <f t="shared" si="14"/>
        <v>0</v>
      </c>
      <c r="DF71" s="36"/>
      <c r="DG71" s="36"/>
      <c r="DH71" s="36"/>
      <c r="DI71" s="36"/>
      <c r="DJ71" s="36"/>
      <c r="DK71" s="36"/>
      <c r="DL71" s="101">
        <f t="shared" si="15"/>
        <v>0</v>
      </c>
      <c r="DS71" s="101">
        <f t="shared" si="16"/>
        <v>0</v>
      </c>
      <c r="DZ71" s="101">
        <f t="shared" si="17"/>
        <v>0</v>
      </c>
    </row>
    <row r="72">
      <c r="A72" s="102">
        <v>45685.0</v>
      </c>
      <c r="B72" s="101" t="s">
        <v>43</v>
      </c>
      <c r="C72" s="101">
        <v>8.2</v>
      </c>
      <c r="D72" s="101">
        <v>10.0</v>
      </c>
      <c r="E72" s="101">
        <v>28.0</v>
      </c>
      <c r="F72" s="101">
        <v>40.0</v>
      </c>
      <c r="G72" s="101">
        <v>20.0</v>
      </c>
      <c r="H72" s="101">
        <v>20.0</v>
      </c>
      <c r="I72" s="101">
        <v>15.0</v>
      </c>
      <c r="J72" s="101">
        <v>0.0</v>
      </c>
      <c r="K72" s="101">
        <v>0.0</v>
      </c>
      <c r="L72" s="101">
        <v>37.0</v>
      </c>
      <c r="M72" s="101">
        <v>28.0</v>
      </c>
      <c r="N72" s="101">
        <v>10.0</v>
      </c>
      <c r="O72" s="101">
        <v>1.0</v>
      </c>
      <c r="R72" s="101">
        <f t="shared" si="1"/>
        <v>76</v>
      </c>
      <c r="S72" s="36"/>
      <c r="T72" s="103">
        <v>2.0</v>
      </c>
      <c r="U72" s="36"/>
      <c r="V72" s="36"/>
      <c r="W72" s="36"/>
      <c r="X72" s="36"/>
      <c r="Y72" s="101">
        <f t="shared" si="2"/>
        <v>2</v>
      </c>
      <c r="Z72" s="101">
        <v>5.0</v>
      </c>
      <c r="AA72" s="101">
        <v>11.0</v>
      </c>
      <c r="AF72" s="101">
        <f t="shared" si="3"/>
        <v>16</v>
      </c>
      <c r="AG72" s="36"/>
      <c r="AH72" s="36"/>
      <c r="AI72" s="36"/>
      <c r="AJ72" s="36"/>
      <c r="AK72" s="103">
        <v>1.0</v>
      </c>
      <c r="AL72" s="103">
        <v>1.0</v>
      </c>
      <c r="AM72" s="101">
        <f t="shared" si="4"/>
        <v>2</v>
      </c>
      <c r="AN72" s="36"/>
      <c r="AO72" s="36"/>
      <c r="AP72" s="36"/>
      <c r="AQ72" s="36"/>
      <c r="AR72" s="36"/>
      <c r="AS72" s="36"/>
      <c r="AT72" s="101">
        <f t="shared" si="5"/>
        <v>0</v>
      </c>
      <c r="AU72" s="36"/>
      <c r="AV72" s="36"/>
      <c r="AW72" s="36"/>
      <c r="AX72" s="36"/>
      <c r="AY72" s="36"/>
      <c r="AZ72" s="36"/>
      <c r="BA72" s="101">
        <f t="shared" si="6"/>
        <v>0</v>
      </c>
      <c r="BB72" s="36"/>
      <c r="BC72" s="36"/>
      <c r="BD72" s="36"/>
      <c r="BE72" s="103">
        <v>1.0</v>
      </c>
      <c r="BF72" s="36"/>
      <c r="BG72" s="36"/>
      <c r="BH72" s="101">
        <f t="shared" si="7"/>
        <v>1</v>
      </c>
      <c r="BI72" s="103">
        <v>1.0</v>
      </c>
      <c r="BJ72" s="103">
        <v>4.0</v>
      </c>
      <c r="BK72" s="36"/>
      <c r="BL72" s="36"/>
      <c r="BM72" s="36"/>
      <c r="BN72" s="36"/>
      <c r="BO72" s="101">
        <f t="shared" si="8"/>
        <v>5</v>
      </c>
      <c r="BP72" s="36"/>
      <c r="BQ72" s="103">
        <v>6.0</v>
      </c>
      <c r="BR72" s="103">
        <v>5.0</v>
      </c>
      <c r="BS72" s="36"/>
      <c r="BT72" s="36"/>
      <c r="BU72" s="36"/>
      <c r="BV72" s="101">
        <f t="shared" si="9"/>
        <v>11</v>
      </c>
      <c r="BW72" s="36"/>
      <c r="BX72" s="36"/>
      <c r="BY72" s="36"/>
      <c r="BZ72" s="36"/>
      <c r="CA72" s="36"/>
      <c r="CB72" s="36"/>
      <c r="CC72" s="101">
        <f t="shared" si="10"/>
        <v>0</v>
      </c>
      <c r="CD72" s="36"/>
      <c r="CE72" s="36"/>
      <c r="CF72" s="36"/>
      <c r="CG72" s="36"/>
      <c r="CH72" s="36"/>
      <c r="CI72" s="36"/>
      <c r="CJ72" s="101">
        <f t="shared" si="11"/>
        <v>0</v>
      </c>
      <c r="CQ72" s="101">
        <f t="shared" si="12"/>
        <v>0</v>
      </c>
      <c r="CR72" s="36"/>
      <c r="CS72" s="36"/>
      <c r="CT72" s="36"/>
      <c r="CU72" s="36"/>
      <c r="CV72" s="36"/>
      <c r="CW72" s="36"/>
      <c r="CX72" s="101">
        <f t="shared" si="13"/>
        <v>0</v>
      </c>
      <c r="CY72" s="36"/>
      <c r="CZ72" s="36"/>
      <c r="DA72" s="36"/>
      <c r="DB72" s="36"/>
      <c r="DC72" s="36"/>
      <c r="DD72" s="36"/>
      <c r="DE72" s="101">
        <f t="shared" si="14"/>
        <v>0</v>
      </c>
      <c r="DF72" s="36"/>
      <c r="DG72" s="36"/>
      <c r="DH72" s="36"/>
      <c r="DI72" s="36"/>
      <c r="DJ72" s="36"/>
      <c r="DK72" s="36"/>
      <c r="DL72" s="101">
        <f t="shared" si="15"/>
        <v>0</v>
      </c>
      <c r="DS72" s="101">
        <f t="shared" si="16"/>
        <v>0</v>
      </c>
      <c r="DZ72" s="101">
        <f t="shared" si="17"/>
        <v>0</v>
      </c>
    </row>
    <row r="73">
      <c r="A73" s="102">
        <v>45685.0</v>
      </c>
      <c r="B73" s="101" t="s">
        <v>42</v>
      </c>
      <c r="C73" s="101">
        <v>8.0</v>
      </c>
      <c r="D73" s="101">
        <v>7.2</v>
      </c>
      <c r="E73" s="101">
        <v>28.0</v>
      </c>
      <c r="F73" s="101">
        <v>20.0</v>
      </c>
      <c r="G73" s="101">
        <v>5.0</v>
      </c>
      <c r="H73" s="101">
        <v>40.0</v>
      </c>
      <c r="I73" s="101">
        <v>0.0</v>
      </c>
      <c r="J73" s="101">
        <v>20.0</v>
      </c>
      <c r="K73" s="101">
        <v>0.0</v>
      </c>
      <c r="L73" s="101">
        <v>26.0</v>
      </c>
      <c r="M73" s="101">
        <v>21.0</v>
      </c>
      <c r="N73" s="101">
        <v>2.0</v>
      </c>
      <c r="O73" s="101">
        <v>2.0</v>
      </c>
      <c r="R73" s="101">
        <f t="shared" si="1"/>
        <v>51</v>
      </c>
      <c r="S73" s="103">
        <v>3.0</v>
      </c>
      <c r="T73" s="103">
        <v>1.0</v>
      </c>
      <c r="U73" s="36"/>
      <c r="V73" s="36"/>
      <c r="W73" s="36"/>
      <c r="X73" s="36"/>
      <c r="Y73" s="101">
        <f t="shared" si="2"/>
        <v>4</v>
      </c>
      <c r="Z73" s="101">
        <v>11.0</v>
      </c>
      <c r="AA73" s="101">
        <v>2.0</v>
      </c>
      <c r="AF73" s="101">
        <f t="shared" si="3"/>
        <v>13</v>
      </c>
      <c r="AG73" s="36"/>
      <c r="AH73" s="36"/>
      <c r="AI73" s="36"/>
      <c r="AJ73" s="36"/>
      <c r="AK73" s="36"/>
      <c r="AL73" s="36"/>
      <c r="AM73" s="101">
        <f t="shared" si="4"/>
        <v>0</v>
      </c>
      <c r="AN73" s="36"/>
      <c r="AO73" s="103">
        <v>1.0</v>
      </c>
      <c r="AP73" s="103">
        <v>1.0</v>
      </c>
      <c r="AQ73" s="103">
        <v>2.0</v>
      </c>
      <c r="AR73" s="36"/>
      <c r="AS73" s="36"/>
      <c r="AT73" s="101">
        <f t="shared" si="5"/>
        <v>4</v>
      </c>
      <c r="AU73" s="36"/>
      <c r="AV73" s="103">
        <v>1.0</v>
      </c>
      <c r="AW73" s="36"/>
      <c r="AX73" s="36"/>
      <c r="AY73" s="36"/>
      <c r="AZ73" s="36"/>
      <c r="BA73" s="101">
        <f t="shared" si="6"/>
        <v>1</v>
      </c>
      <c r="BB73" s="36"/>
      <c r="BC73" s="36"/>
      <c r="BD73" s="36"/>
      <c r="BE73" s="36"/>
      <c r="BF73" s="36"/>
      <c r="BG73" s="36"/>
      <c r="BH73" s="101">
        <f t="shared" si="7"/>
        <v>0</v>
      </c>
      <c r="BI73" s="36"/>
      <c r="BJ73" s="103">
        <v>3.0</v>
      </c>
      <c r="BK73" s="36"/>
      <c r="BL73" s="36"/>
      <c r="BM73" s="36"/>
      <c r="BN73" s="36"/>
      <c r="BO73" s="101">
        <f t="shared" si="8"/>
        <v>3</v>
      </c>
      <c r="BP73" s="36"/>
      <c r="BQ73" s="36"/>
      <c r="BR73" s="36"/>
      <c r="BS73" s="36"/>
      <c r="BT73" s="36"/>
      <c r="BU73" s="36"/>
      <c r="BV73" s="101">
        <f t="shared" si="9"/>
        <v>0</v>
      </c>
      <c r="BW73" s="36"/>
      <c r="BX73" s="36"/>
      <c r="BY73" s="36"/>
      <c r="BZ73" s="36"/>
      <c r="CA73" s="36"/>
      <c r="CB73" s="36"/>
      <c r="CC73" s="101">
        <f t="shared" si="10"/>
        <v>0</v>
      </c>
      <c r="CD73" s="36"/>
      <c r="CE73" s="36"/>
      <c r="CF73" s="36"/>
      <c r="CG73" s="36"/>
      <c r="CH73" s="36"/>
      <c r="CI73" s="36"/>
      <c r="CJ73" s="101">
        <f t="shared" si="11"/>
        <v>0</v>
      </c>
      <c r="CQ73" s="101">
        <f t="shared" si="12"/>
        <v>0</v>
      </c>
      <c r="CR73" s="36"/>
      <c r="CS73" s="36"/>
      <c r="CT73" s="36"/>
      <c r="CU73" s="36"/>
      <c r="CV73" s="36"/>
      <c r="CW73" s="36"/>
      <c r="CX73" s="101">
        <f t="shared" si="13"/>
        <v>0</v>
      </c>
      <c r="CY73" s="36"/>
      <c r="CZ73" s="36"/>
      <c r="DA73" s="36"/>
      <c r="DB73" s="36"/>
      <c r="DC73" s="36"/>
      <c r="DD73" s="36"/>
      <c r="DE73" s="101">
        <f t="shared" si="14"/>
        <v>0</v>
      </c>
      <c r="DF73" s="36"/>
      <c r="DG73" s="36"/>
      <c r="DH73" s="36"/>
      <c r="DI73" s="36"/>
      <c r="DJ73" s="36"/>
      <c r="DK73" s="36"/>
      <c r="DL73" s="101">
        <f t="shared" si="15"/>
        <v>0</v>
      </c>
      <c r="DS73" s="101">
        <f t="shared" si="16"/>
        <v>0</v>
      </c>
      <c r="DZ73" s="101">
        <f t="shared" si="17"/>
        <v>0</v>
      </c>
    </row>
    <row r="74">
      <c r="A74" s="102">
        <v>45686.0</v>
      </c>
      <c r="B74" s="101" t="s">
        <v>65</v>
      </c>
      <c r="C74" s="101">
        <v>8.2</v>
      </c>
      <c r="D74" s="101">
        <v>8.0</v>
      </c>
      <c r="E74" s="101">
        <v>27.0</v>
      </c>
      <c r="F74" s="101">
        <v>0.0</v>
      </c>
      <c r="G74" s="101">
        <v>0.0</v>
      </c>
      <c r="H74" s="101">
        <v>0.0</v>
      </c>
      <c r="I74" s="101">
        <v>0.0</v>
      </c>
      <c r="J74" s="101">
        <v>5.0</v>
      </c>
      <c r="K74" s="101">
        <v>0.0</v>
      </c>
      <c r="L74" s="101">
        <v>3.0</v>
      </c>
      <c r="M74" s="101">
        <v>19.0</v>
      </c>
      <c r="N74" s="101">
        <v>5.0</v>
      </c>
      <c r="R74" s="101">
        <f t="shared" si="1"/>
        <v>27</v>
      </c>
      <c r="S74" s="103">
        <v>3.0</v>
      </c>
      <c r="T74" s="36"/>
      <c r="U74" s="36"/>
      <c r="V74" s="36"/>
      <c r="W74" s="36"/>
      <c r="X74" s="36"/>
      <c r="Y74" s="101">
        <f t="shared" si="2"/>
        <v>3</v>
      </c>
      <c r="Z74" s="101">
        <v>7.0</v>
      </c>
      <c r="AA74" s="101">
        <v>6.0</v>
      </c>
      <c r="AF74" s="101">
        <f t="shared" si="3"/>
        <v>13</v>
      </c>
      <c r="AG74" s="36"/>
      <c r="AH74" s="36"/>
      <c r="AI74" s="36"/>
      <c r="AJ74" s="36"/>
      <c r="AK74" s="36"/>
      <c r="AL74" s="36"/>
      <c r="AM74" s="101">
        <f t="shared" si="4"/>
        <v>0</v>
      </c>
      <c r="AN74" s="36"/>
      <c r="AO74" s="36"/>
      <c r="AP74" s="36"/>
      <c r="AQ74" s="103">
        <v>2.0</v>
      </c>
      <c r="AR74" s="36"/>
      <c r="AS74" s="36"/>
      <c r="AT74" s="101">
        <f t="shared" si="5"/>
        <v>2</v>
      </c>
      <c r="AU74" s="36"/>
      <c r="AV74" s="36"/>
      <c r="AW74" s="103">
        <v>5.0</v>
      </c>
      <c r="AX74" s="103">
        <v>2.0</v>
      </c>
      <c r="AY74" s="36"/>
      <c r="AZ74" s="36"/>
      <c r="BA74" s="101">
        <f t="shared" si="6"/>
        <v>7</v>
      </c>
      <c r="BB74" s="36"/>
      <c r="BC74" s="36"/>
      <c r="BD74" s="36"/>
      <c r="BE74" s="36"/>
      <c r="BF74" s="36"/>
      <c r="BG74" s="36"/>
      <c r="BH74" s="101">
        <f t="shared" si="7"/>
        <v>0</v>
      </c>
      <c r="BI74" s="36"/>
      <c r="BJ74" s="103">
        <v>5.0</v>
      </c>
      <c r="BK74" s="103">
        <v>1.0</v>
      </c>
      <c r="BL74" s="36"/>
      <c r="BM74" s="36"/>
      <c r="BN74" s="36"/>
      <c r="BO74" s="101">
        <f t="shared" si="8"/>
        <v>6</v>
      </c>
      <c r="BP74" s="36"/>
      <c r="BQ74" s="36"/>
      <c r="BR74" s="103">
        <v>1.0</v>
      </c>
      <c r="BS74" s="36"/>
      <c r="BT74" s="36"/>
      <c r="BU74" s="36"/>
      <c r="BV74" s="101">
        <f t="shared" si="9"/>
        <v>1</v>
      </c>
      <c r="BW74" s="36"/>
      <c r="BX74" s="36"/>
      <c r="BY74" s="36"/>
      <c r="BZ74" s="36"/>
      <c r="CA74" s="36"/>
      <c r="CB74" s="36"/>
      <c r="CC74" s="101">
        <f t="shared" si="10"/>
        <v>0</v>
      </c>
      <c r="CD74" s="36"/>
      <c r="CE74" s="36"/>
      <c r="CF74" s="36"/>
      <c r="CG74" s="36"/>
      <c r="CH74" s="36"/>
      <c r="CI74" s="36"/>
      <c r="CJ74" s="101">
        <f t="shared" si="11"/>
        <v>0</v>
      </c>
      <c r="CQ74" s="101">
        <f t="shared" si="12"/>
        <v>0</v>
      </c>
      <c r="CR74" s="36"/>
      <c r="CS74" s="36"/>
      <c r="CT74" s="36"/>
      <c r="CU74" s="36"/>
      <c r="CV74" s="36"/>
      <c r="CW74" s="36"/>
      <c r="CX74" s="101">
        <f t="shared" si="13"/>
        <v>0</v>
      </c>
      <c r="CY74" s="36"/>
      <c r="CZ74" s="36"/>
      <c r="DA74" s="36"/>
      <c r="DB74" s="36"/>
      <c r="DC74" s="36"/>
      <c r="DD74" s="36"/>
      <c r="DE74" s="101">
        <f t="shared" si="14"/>
        <v>0</v>
      </c>
      <c r="DF74" s="36"/>
      <c r="DG74" s="36"/>
      <c r="DH74" s="36"/>
      <c r="DI74" s="36"/>
      <c r="DJ74" s="36"/>
      <c r="DK74" s="36"/>
      <c r="DL74" s="101">
        <f t="shared" si="15"/>
        <v>0</v>
      </c>
      <c r="DS74" s="101">
        <f t="shared" si="16"/>
        <v>0</v>
      </c>
      <c r="DZ74" s="101">
        <f t="shared" si="17"/>
        <v>0</v>
      </c>
    </row>
    <row r="75">
      <c r="A75" s="102">
        <v>45686.0</v>
      </c>
      <c r="B75" s="101" t="s">
        <v>45</v>
      </c>
      <c r="C75" s="101">
        <v>11.1</v>
      </c>
      <c r="D75" s="101">
        <v>12.1</v>
      </c>
      <c r="E75" s="101">
        <v>27.0</v>
      </c>
      <c r="F75" s="101">
        <v>0.0</v>
      </c>
      <c r="G75" s="101">
        <v>25.0</v>
      </c>
      <c r="H75" s="101">
        <v>20.0</v>
      </c>
      <c r="I75" s="101">
        <v>30.0</v>
      </c>
      <c r="J75" s="101">
        <v>30.0</v>
      </c>
      <c r="K75" s="101">
        <v>20.0</v>
      </c>
      <c r="L75" s="101">
        <v>6.0</v>
      </c>
      <c r="M75" s="101">
        <v>19.0</v>
      </c>
      <c r="N75" s="101">
        <v>4.0</v>
      </c>
      <c r="R75" s="101">
        <f t="shared" si="1"/>
        <v>29</v>
      </c>
      <c r="S75" s="103">
        <v>1.0</v>
      </c>
      <c r="T75" s="103">
        <v>5.0</v>
      </c>
      <c r="U75" s="103">
        <v>2.0</v>
      </c>
      <c r="V75" s="36"/>
      <c r="W75" s="36"/>
      <c r="X75" s="36"/>
      <c r="Y75" s="101">
        <f t="shared" si="2"/>
        <v>8</v>
      </c>
      <c r="Z75" s="101">
        <v>3.0</v>
      </c>
      <c r="AA75" s="101">
        <v>13.0</v>
      </c>
      <c r="AF75" s="101">
        <f t="shared" si="3"/>
        <v>16</v>
      </c>
      <c r="AG75" s="36"/>
      <c r="AH75" s="36"/>
      <c r="AI75" s="36"/>
      <c r="AJ75" s="36"/>
      <c r="AK75" s="36"/>
      <c r="AL75" s="36"/>
      <c r="AM75" s="101">
        <f t="shared" si="4"/>
        <v>0</v>
      </c>
      <c r="AN75" s="36"/>
      <c r="AO75" s="36"/>
      <c r="AP75" s="103">
        <v>1.0</v>
      </c>
      <c r="AQ75" s="36"/>
      <c r="AR75" s="36"/>
      <c r="AS75" s="36"/>
      <c r="AT75" s="101">
        <f t="shared" si="5"/>
        <v>1</v>
      </c>
      <c r="AU75" s="36"/>
      <c r="AV75" s="36"/>
      <c r="AW75" s="36"/>
      <c r="AX75" s="36"/>
      <c r="AY75" s="36"/>
      <c r="AZ75" s="36"/>
      <c r="BA75" s="101">
        <f t="shared" si="6"/>
        <v>0</v>
      </c>
      <c r="BB75" s="36"/>
      <c r="BC75" s="36"/>
      <c r="BD75" s="36"/>
      <c r="BE75" s="36"/>
      <c r="BF75" s="36"/>
      <c r="BG75" s="36"/>
      <c r="BH75" s="101">
        <f t="shared" si="7"/>
        <v>0</v>
      </c>
      <c r="BI75" s="36"/>
      <c r="BJ75" s="36"/>
      <c r="BK75" s="36"/>
      <c r="BL75" s="36"/>
      <c r="BM75" s="36"/>
      <c r="BN75" s="36"/>
      <c r="BO75" s="101">
        <f t="shared" si="8"/>
        <v>0</v>
      </c>
      <c r="BP75" s="36"/>
      <c r="BQ75" s="103">
        <v>2.0</v>
      </c>
      <c r="BR75" s="36"/>
      <c r="BS75" s="36"/>
      <c r="BT75" s="36"/>
      <c r="BU75" s="36"/>
      <c r="BV75" s="101">
        <f t="shared" si="9"/>
        <v>2</v>
      </c>
      <c r="BW75" s="36"/>
      <c r="BX75" s="36"/>
      <c r="BY75" s="36"/>
      <c r="BZ75" s="36"/>
      <c r="CA75" s="36"/>
      <c r="CB75" s="36"/>
      <c r="CC75" s="101">
        <f t="shared" si="10"/>
        <v>0</v>
      </c>
      <c r="CD75" s="36"/>
      <c r="CE75" s="36"/>
      <c r="CF75" s="36"/>
      <c r="CG75" s="36"/>
      <c r="CH75" s="36"/>
      <c r="CI75" s="36"/>
      <c r="CJ75" s="101">
        <f t="shared" si="11"/>
        <v>0</v>
      </c>
      <c r="CQ75" s="101">
        <f t="shared" si="12"/>
        <v>0</v>
      </c>
      <c r="CR75" s="36"/>
      <c r="CS75" s="36"/>
      <c r="CT75" s="36"/>
      <c r="CU75" s="36"/>
      <c r="CV75" s="36"/>
      <c r="CW75" s="36"/>
      <c r="CX75" s="101">
        <f t="shared" si="13"/>
        <v>0</v>
      </c>
      <c r="CY75" s="36"/>
      <c r="CZ75" s="36"/>
      <c r="DA75" s="36"/>
      <c r="DB75" s="36"/>
      <c r="DC75" s="36"/>
      <c r="DD75" s="36"/>
      <c r="DE75" s="101">
        <f t="shared" si="14"/>
        <v>0</v>
      </c>
      <c r="DF75" s="36"/>
      <c r="DG75" s="36"/>
      <c r="DH75" s="36"/>
      <c r="DI75" s="36"/>
      <c r="DJ75" s="36"/>
      <c r="DK75" s="36"/>
      <c r="DL75" s="101">
        <f t="shared" si="15"/>
        <v>0</v>
      </c>
      <c r="DS75" s="101">
        <f t="shared" si="16"/>
        <v>0</v>
      </c>
      <c r="DZ75" s="101">
        <f t="shared" si="17"/>
        <v>0</v>
      </c>
    </row>
    <row r="76">
      <c r="A76" s="102">
        <v>45687.0</v>
      </c>
      <c r="B76" s="101" t="s">
        <v>44</v>
      </c>
      <c r="C76" s="101">
        <v>13.6</v>
      </c>
      <c r="D76" s="101">
        <v>12.6</v>
      </c>
      <c r="E76" s="101">
        <v>28.0</v>
      </c>
      <c r="F76" s="101">
        <v>0.0</v>
      </c>
      <c r="G76" s="101">
        <v>0.0</v>
      </c>
      <c r="H76" s="101">
        <v>80.0</v>
      </c>
      <c r="I76" s="101">
        <v>0.0</v>
      </c>
      <c r="J76" s="101">
        <v>0.0</v>
      </c>
      <c r="K76" s="101">
        <v>30.0</v>
      </c>
      <c r="L76" s="101">
        <v>24.0</v>
      </c>
      <c r="M76" s="101">
        <v>26.0</v>
      </c>
      <c r="N76" s="101">
        <v>6.0</v>
      </c>
      <c r="O76" s="101">
        <v>3.0</v>
      </c>
      <c r="R76" s="101">
        <f t="shared" si="1"/>
        <v>59</v>
      </c>
      <c r="S76" s="103">
        <v>2.0</v>
      </c>
      <c r="T76" s="103">
        <v>1.0</v>
      </c>
      <c r="U76" s="36"/>
      <c r="V76" s="36"/>
      <c r="W76" s="36"/>
      <c r="X76" s="36"/>
      <c r="Y76" s="101">
        <f t="shared" si="2"/>
        <v>3</v>
      </c>
      <c r="Z76" s="101">
        <v>6.0</v>
      </c>
      <c r="AA76" s="101">
        <v>3.0</v>
      </c>
      <c r="AF76" s="101">
        <f t="shared" si="3"/>
        <v>9</v>
      </c>
      <c r="AG76" s="36"/>
      <c r="AH76" s="36"/>
      <c r="AI76" s="103">
        <v>1.0</v>
      </c>
      <c r="AJ76" s="36"/>
      <c r="AK76" s="36"/>
      <c r="AL76" s="36"/>
      <c r="AM76" s="101">
        <f t="shared" si="4"/>
        <v>1</v>
      </c>
      <c r="AN76" s="36"/>
      <c r="AO76" s="36"/>
      <c r="AP76" s="103">
        <v>14.0</v>
      </c>
      <c r="AQ76" s="103">
        <v>1.0</v>
      </c>
      <c r="AR76" s="36"/>
      <c r="AS76" s="36"/>
      <c r="AT76" s="101">
        <f t="shared" si="5"/>
        <v>15</v>
      </c>
      <c r="AU76" s="36"/>
      <c r="AV76" s="103">
        <v>2.0</v>
      </c>
      <c r="AW76" s="103">
        <v>1.0</v>
      </c>
      <c r="AX76" s="36"/>
      <c r="AY76" s="36"/>
      <c r="AZ76" s="36"/>
      <c r="BA76" s="101">
        <f t="shared" si="6"/>
        <v>3</v>
      </c>
      <c r="BB76" s="36"/>
      <c r="BC76" s="36"/>
      <c r="BD76" s="103">
        <v>1.0</v>
      </c>
      <c r="BE76" s="103">
        <v>1.0</v>
      </c>
      <c r="BF76" s="36"/>
      <c r="BG76" s="36"/>
      <c r="BH76" s="101">
        <f t="shared" si="7"/>
        <v>2</v>
      </c>
      <c r="BI76" s="103">
        <v>1.0</v>
      </c>
      <c r="BJ76" s="103">
        <v>2.0</v>
      </c>
      <c r="BK76" s="36"/>
      <c r="BL76" s="36"/>
      <c r="BM76" s="36"/>
      <c r="BN76" s="36"/>
      <c r="BO76" s="101">
        <f t="shared" si="8"/>
        <v>3</v>
      </c>
      <c r="BP76" s="36"/>
      <c r="BQ76" s="103">
        <v>1.0</v>
      </c>
      <c r="BR76" s="103">
        <v>2.0</v>
      </c>
      <c r="BS76" s="36"/>
      <c r="BT76" s="36"/>
      <c r="BU76" s="36"/>
      <c r="BV76" s="101">
        <f t="shared" si="9"/>
        <v>3</v>
      </c>
      <c r="BW76" s="36"/>
      <c r="BX76" s="36"/>
      <c r="BY76" s="36"/>
      <c r="BZ76" s="36"/>
      <c r="CA76" s="36"/>
      <c r="CB76" s="36"/>
      <c r="CC76" s="101">
        <f t="shared" si="10"/>
        <v>0</v>
      </c>
      <c r="CD76" s="36"/>
      <c r="CE76" s="36"/>
      <c r="CF76" s="36"/>
      <c r="CG76" s="36"/>
      <c r="CH76" s="36"/>
      <c r="CI76" s="36"/>
      <c r="CJ76" s="101">
        <f t="shared" si="11"/>
        <v>0</v>
      </c>
      <c r="CQ76" s="101">
        <f t="shared" si="12"/>
        <v>0</v>
      </c>
      <c r="CR76" s="36"/>
      <c r="CS76" s="36"/>
      <c r="CT76" s="36"/>
      <c r="CU76" s="103">
        <v>1.0</v>
      </c>
      <c r="CV76" s="36"/>
      <c r="CW76" s="36"/>
      <c r="CX76" s="101">
        <f t="shared" si="13"/>
        <v>1</v>
      </c>
      <c r="CY76" s="36"/>
      <c r="CZ76" s="36"/>
      <c r="DA76" s="36"/>
      <c r="DB76" s="36"/>
      <c r="DC76" s="36"/>
      <c r="DD76" s="36"/>
      <c r="DE76" s="101">
        <f t="shared" si="14"/>
        <v>0</v>
      </c>
      <c r="DF76" s="36"/>
      <c r="DG76" s="36"/>
      <c r="DH76" s="103">
        <v>2.0</v>
      </c>
      <c r="DI76" s="103">
        <v>1.0</v>
      </c>
      <c r="DJ76" s="36"/>
      <c r="DK76" s="36"/>
      <c r="DL76" s="101">
        <f t="shared" si="15"/>
        <v>3</v>
      </c>
      <c r="DS76" s="101">
        <f t="shared" si="16"/>
        <v>0</v>
      </c>
      <c r="DZ76" s="101">
        <f t="shared" si="17"/>
        <v>0</v>
      </c>
    </row>
    <row r="77">
      <c r="A77" s="102">
        <v>45687.0</v>
      </c>
      <c r="B77" s="101" t="s">
        <v>42</v>
      </c>
      <c r="C77" s="101">
        <v>8.0</v>
      </c>
      <c r="D77" s="101">
        <v>5.8</v>
      </c>
      <c r="E77" s="101">
        <v>28.0</v>
      </c>
      <c r="F77" s="101">
        <v>5.0</v>
      </c>
      <c r="G77" s="101">
        <v>10.0</v>
      </c>
      <c r="H77" s="101">
        <v>10.0</v>
      </c>
      <c r="I77" s="101">
        <v>5.0</v>
      </c>
      <c r="J77" s="101">
        <v>0.0</v>
      </c>
      <c r="K77" s="101">
        <v>15.0</v>
      </c>
      <c r="L77" s="101">
        <v>12.0</v>
      </c>
      <c r="M77" s="101">
        <v>15.0</v>
      </c>
      <c r="N77" s="101">
        <v>4.0</v>
      </c>
      <c r="R77" s="101">
        <f t="shared" si="1"/>
        <v>31</v>
      </c>
      <c r="S77" s="36"/>
      <c r="T77" s="103">
        <v>3.0</v>
      </c>
      <c r="U77" s="36"/>
      <c r="V77" s="36"/>
      <c r="W77" s="36"/>
      <c r="X77" s="36"/>
      <c r="Y77" s="101">
        <f t="shared" si="2"/>
        <v>3</v>
      </c>
      <c r="Z77" s="101">
        <v>10.0</v>
      </c>
      <c r="AA77" s="101">
        <v>6.0</v>
      </c>
      <c r="AB77" s="101">
        <v>1.0</v>
      </c>
      <c r="AF77" s="101">
        <f t="shared" si="3"/>
        <v>17</v>
      </c>
      <c r="AG77" s="36"/>
      <c r="AH77" s="36"/>
      <c r="AI77" s="36"/>
      <c r="AJ77" s="36"/>
      <c r="AK77" s="36"/>
      <c r="AL77" s="36"/>
      <c r="AM77" s="101">
        <f t="shared" si="4"/>
        <v>0</v>
      </c>
      <c r="AN77" s="36"/>
      <c r="AO77" s="36"/>
      <c r="AP77" s="103">
        <v>8.0</v>
      </c>
      <c r="AQ77" s="103">
        <v>3.0</v>
      </c>
      <c r="AR77" s="103">
        <v>1.0</v>
      </c>
      <c r="AS77" s="36"/>
      <c r="AT77" s="101">
        <f t="shared" si="5"/>
        <v>12</v>
      </c>
      <c r="AU77" s="36"/>
      <c r="AV77" s="36"/>
      <c r="AW77" s="103">
        <v>1.0</v>
      </c>
      <c r="AX77" s="36"/>
      <c r="AY77" s="36"/>
      <c r="AZ77" s="36"/>
      <c r="BA77" s="101">
        <f t="shared" si="6"/>
        <v>1</v>
      </c>
      <c r="BB77" s="36"/>
      <c r="BC77" s="36"/>
      <c r="BD77" s="36"/>
      <c r="BE77" s="36"/>
      <c r="BF77" s="36"/>
      <c r="BG77" s="36"/>
      <c r="BH77" s="101">
        <f t="shared" si="7"/>
        <v>0</v>
      </c>
      <c r="BI77" s="36"/>
      <c r="BJ77" s="103">
        <v>3.0</v>
      </c>
      <c r="BK77" s="36"/>
      <c r="BL77" s="36"/>
      <c r="BM77" s="36"/>
      <c r="BN77" s="36"/>
      <c r="BO77" s="101">
        <f t="shared" si="8"/>
        <v>3</v>
      </c>
      <c r="BP77" s="36"/>
      <c r="BQ77" s="36"/>
      <c r="BR77" s="36"/>
      <c r="BS77" s="36"/>
      <c r="BT77" s="36"/>
      <c r="BU77" s="36"/>
      <c r="BV77" s="101">
        <f t="shared" si="9"/>
        <v>0</v>
      </c>
      <c r="BW77" s="36"/>
      <c r="BX77" s="36"/>
      <c r="BY77" s="36"/>
      <c r="BZ77" s="36"/>
      <c r="CA77" s="36"/>
      <c r="CB77" s="36"/>
      <c r="CC77" s="101">
        <f t="shared" si="10"/>
        <v>0</v>
      </c>
      <c r="CD77" s="36"/>
      <c r="CE77" s="36"/>
      <c r="CF77" s="36"/>
      <c r="CG77" s="36"/>
      <c r="CH77" s="36"/>
      <c r="CI77" s="36"/>
      <c r="CJ77" s="101">
        <f t="shared" si="11"/>
        <v>0</v>
      </c>
      <c r="CQ77" s="101">
        <f t="shared" si="12"/>
        <v>0</v>
      </c>
      <c r="CR77" s="36"/>
      <c r="CS77" s="36"/>
      <c r="CT77" s="36"/>
      <c r="CU77" s="36"/>
      <c r="CV77" s="36"/>
      <c r="CW77" s="36"/>
      <c r="CX77" s="101">
        <f t="shared" si="13"/>
        <v>0</v>
      </c>
      <c r="CY77" s="36"/>
      <c r="CZ77" s="36"/>
      <c r="DA77" s="36"/>
      <c r="DB77" s="36"/>
      <c r="DC77" s="36"/>
      <c r="DD77" s="36"/>
      <c r="DE77" s="101">
        <f t="shared" si="14"/>
        <v>0</v>
      </c>
      <c r="DF77" s="36"/>
      <c r="DG77" s="36"/>
      <c r="DH77" s="36"/>
      <c r="DI77" s="36"/>
      <c r="DJ77" s="36"/>
      <c r="DK77" s="36"/>
      <c r="DL77" s="101">
        <f t="shared" si="15"/>
        <v>0</v>
      </c>
      <c r="DS77" s="101">
        <f t="shared" si="16"/>
        <v>0</v>
      </c>
      <c r="DZ77" s="101">
        <f t="shared" si="17"/>
        <v>0</v>
      </c>
    </row>
    <row r="78">
      <c r="A78" s="102">
        <v>45688.0</v>
      </c>
      <c r="B78" s="101" t="s">
        <v>65</v>
      </c>
      <c r="C78" s="101">
        <v>8.2</v>
      </c>
      <c r="D78" s="101">
        <v>9.4</v>
      </c>
      <c r="E78" s="101">
        <v>27.0</v>
      </c>
      <c r="F78" s="101">
        <v>0.0</v>
      </c>
      <c r="G78" s="101">
        <v>0.0</v>
      </c>
      <c r="H78" s="101">
        <v>0.0</v>
      </c>
      <c r="I78" s="101">
        <v>0.0</v>
      </c>
      <c r="J78" s="101">
        <v>20.0</v>
      </c>
      <c r="K78" s="101">
        <v>25.0</v>
      </c>
      <c r="L78" s="101">
        <v>49.0</v>
      </c>
      <c r="M78" s="101">
        <v>27.0</v>
      </c>
      <c r="N78" s="101">
        <v>15.0</v>
      </c>
      <c r="O78" s="101">
        <v>1.0</v>
      </c>
      <c r="R78" s="101">
        <f t="shared" si="1"/>
        <v>92</v>
      </c>
      <c r="S78" s="103">
        <v>6.0</v>
      </c>
      <c r="T78" s="103">
        <v>4.0</v>
      </c>
      <c r="U78" s="36"/>
      <c r="V78" s="36"/>
      <c r="W78" s="36"/>
      <c r="X78" s="36"/>
      <c r="Y78" s="101">
        <f t="shared" si="2"/>
        <v>10</v>
      </c>
      <c r="Z78" s="101">
        <v>2.0</v>
      </c>
      <c r="AA78" s="101">
        <v>8.0</v>
      </c>
      <c r="AF78" s="101">
        <f t="shared" si="3"/>
        <v>10</v>
      </c>
      <c r="AG78" s="36"/>
      <c r="AH78" s="36"/>
      <c r="AI78" s="103">
        <v>3.0</v>
      </c>
      <c r="AJ78" s="103">
        <v>2.0</v>
      </c>
      <c r="AK78" s="36"/>
      <c r="AL78" s="36"/>
      <c r="AM78" s="101">
        <f t="shared" si="4"/>
        <v>5</v>
      </c>
      <c r="AN78" s="36"/>
      <c r="AO78" s="36"/>
      <c r="AP78" s="103">
        <v>6.0</v>
      </c>
      <c r="AQ78" s="103">
        <v>1.0</v>
      </c>
      <c r="AR78" s="36"/>
      <c r="AS78" s="36"/>
      <c r="AT78" s="101">
        <f t="shared" si="5"/>
        <v>7</v>
      </c>
      <c r="AU78" s="36"/>
      <c r="AV78" s="36"/>
      <c r="AW78" s="36"/>
      <c r="AX78" s="36"/>
      <c r="AY78" s="36"/>
      <c r="AZ78" s="36"/>
      <c r="BA78" s="101">
        <f t="shared" si="6"/>
        <v>0</v>
      </c>
      <c r="BB78" s="36"/>
      <c r="BC78" s="36"/>
      <c r="BD78" s="36"/>
      <c r="BE78" s="36"/>
      <c r="BF78" s="36"/>
      <c r="BG78" s="36"/>
      <c r="BH78" s="101">
        <f t="shared" si="7"/>
        <v>0</v>
      </c>
      <c r="BI78" s="103">
        <v>1.0</v>
      </c>
      <c r="BJ78" s="103">
        <v>4.0</v>
      </c>
      <c r="BK78" s="103">
        <v>2.0</v>
      </c>
      <c r="BL78" s="36"/>
      <c r="BM78" s="36"/>
      <c r="BN78" s="36"/>
      <c r="BO78" s="101">
        <f t="shared" si="8"/>
        <v>7</v>
      </c>
      <c r="BP78" s="36"/>
      <c r="BQ78" s="36"/>
      <c r="BR78" s="103">
        <v>3.0</v>
      </c>
      <c r="BS78" s="36"/>
      <c r="BT78" s="36"/>
      <c r="BU78" s="36"/>
      <c r="BV78" s="101">
        <f t="shared" si="9"/>
        <v>3</v>
      </c>
      <c r="BW78" s="36"/>
      <c r="BX78" s="36"/>
      <c r="BY78" s="36"/>
      <c r="BZ78" s="36"/>
      <c r="CA78" s="36"/>
      <c r="CB78" s="36"/>
      <c r="CC78" s="101">
        <f t="shared" si="10"/>
        <v>0</v>
      </c>
      <c r="CD78" s="36"/>
      <c r="CE78" s="36"/>
      <c r="CF78" s="36"/>
      <c r="CG78" s="36"/>
      <c r="CH78" s="36"/>
      <c r="CI78" s="36"/>
      <c r="CJ78" s="101">
        <f t="shared" si="11"/>
        <v>0</v>
      </c>
      <c r="CQ78" s="101">
        <f t="shared" si="12"/>
        <v>0</v>
      </c>
      <c r="CR78" s="36"/>
      <c r="CS78" s="36"/>
      <c r="CT78" s="36"/>
      <c r="CU78" s="36"/>
      <c r="CV78" s="36"/>
      <c r="CW78" s="36"/>
      <c r="CX78" s="101">
        <f t="shared" si="13"/>
        <v>0</v>
      </c>
      <c r="CY78" s="36"/>
      <c r="CZ78" s="36"/>
      <c r="DA78" s="36"/>
      <c r="DB78" s="36"/>
      <c r="DC78" s="36"/>
      <c r="DD78" s="36"/>
      <c r="DE78" s="101">
        <f t="shared" si="14"/>
        <v>0</v>
      </c>
      <c r="DF78" s="36"/>
      <c r="DG78" s="36"/>
      <c r="DH78" s="36"/>
      <c r="DI78" s="36"/>
      <c r="DJ78" s="36"/>
      <c r="DK78" s="36"/>
      <c r="DL78" s="101">
        <f t="shared" si="15"/>
        <v>0</v>
      </c>
      <c r="DS78" s="101">
        <f t="shared" si="16"/>
        <v>0</v>
      </c>
      <c r="DZ78" s="101">
        <f t="shared" si="17"/>
        <v>0</v>
      </c>
    </row>
    <row r="79">
      <c r="A79" s="102">
        <v>45688.0</v>
      </c>
      <c r="B79" s="101" t="s">
        <v>43</v>
      </c>
      <c r="C79" s="101">
        <v>12.4</v>
      </c>
      <c r="D79" s="101">
        <v>6.9</v>
      </c>
      <c r="E79" s="101">
        <v>27.0</v>
      </c>
      <c r="F79" s="101">
        <v>0.0</v>
      </c>
      <c r="G79" s="101">
        <v>5.0</v>
      </c>
      <c r="H79" s="101">
        <v>0.0</v>
      </c>
      <c r="I79" s="101">
        <v>10.0</v>
      </c>
      <c r="J79" s="101">
        <v>10.0</v>
      </c>
      <c r="K79" s="101">
        <v>30.0</v>
      </c>
      <c r="L79" s="101">
        <v>8.0</v>
      </c>
      <c r="M79" s="101">
        <v>25.0</v>
      </c>
      <c r="N79" s="101">
        <v>7.0</v>
      </c>
      <c r="O79" s="101">
        <v>2.0</v>
      </c>
      <c r="R79" s="101">
        <f t="shared" si="1"/>
        <v>42</v>
      </c>
      <c r="S79" s="103">
        <v>1.0</v>
      </c>
      <c r="T79" s="103">
        <v>5.0</v>
      </c>
      <c r="U79" s="103">
        <v>4.0</v>
      </c>
      <c r="V79" s="36"/>
      <c r="W79" s="36"/>
      <c r="X79" s="36"/>
      <c r="Y79" s="101">
        <f t="shared" si="2"/>
        <v>10</v>
      </c>
      <c r="Z79" s="101">
        <v>6.0</v>
      </c>
      <c r="AA79" s="101">
        <v>7.0</v>
      </c>
      <c r="AF79" s="101">
        <f t="shared" si="3"/>
        <v>13</v>
      </c>
      <c r="AG79" s="36"/>
      <c r="AH79" s="36"/>
      <c r="AI79" s="103">
        <v>11.0</v>
      </c>
      <c r="AJ79" s="36"/>
      <c r="AK79" s="36"/>
      <c r="AL79" s="36"/>
      <c r="AM79" s="101">
        <f t="shared" si="4"/>
        <v>11</v>
      </c>
      <c r="AN79" s="36"/>
      <c r="AO79" s="103">
        <v>1.0</v>
      </c>
      <c r="AP79" s="36"/>
      <c r="AQ79" s="36"/>
      <c r="AR79" s="36"/>
      <c r="AS79" s="36"/>
      <c r="AT79" s="101">
        <f t="shared" si="5"/>
        <v>1</v>
      </c>
      <c r="AU79" s="36"/>
      <c r="AV79" s="103">
        <v>2.0</v>
      </c>
      <c r="AW79" s="103">
        <v>1.0</v>
      </c>
      <c r="AX79" s="36"/>
      <c r="AY79" s="36"/>
      <c r="AZ79" s="36"/>
      <c r="BA79" s="101">
        <f t="shared" si="6"/>
        <v>3</v>
      </c>
      <c r="BB79" s="36"/>
      <c r="BC79" s="36"/>
      <c r="BD79" s="36"/>
      <c r="BE79" s="36"/>
      <c r="BF79" s="36"/>
      <c r="BG79" s="36"/>
      <c r="BH79" s="101">
        <f t="shared" si="7"/>
        <v>0</v>
      </c>
      <c r="BI79" s="36"/>
      <c r="BJ79" s="103">
        <v>2.0</v>
      </c>
      <c r="BK79" s="103">
        <v>1.0</v>
      </c>
      <c r="BL79" s="36"/>
      <c r="BM79" s="36"/>
      <c r="BN79" s="36"/>
      <c r="BO79" s="101">
        <f t="shared" si="8"/>
        <v>3</v>
      </c>
      <c r="BP79" s="36"/>
      <c r="BQ79" s="103">
        <v>2.0</v>
      </c>
      <c r="BR79" s="36"/>
      <c r="BS79" s="103">
        <v>1.0</v>
      </c>
      <c r="BT79" s="36"/>
      <c r="BU79" s="36"/>
      <c r="BV79" s="101">
        <f t="shared" si="9"/>
        <v>3</v>
      </c>
      <c r="BW79" s="36"/>
      <c r="BX79" s="36"/>
      <c r="BY79" s="36"/>
      <c r="BZ79" s="36"/>
      <c r="CA79" s="36"/>
      <c r="CB79" s="36"/>
      <c r="CC79" s="101">
        <f t="shared" si="10"/>
        <v>0</v>
      </c>
      <c r="CD79" s="36"/>
      <c r="CE79" s="36"/>
      <c r="CF79" s="36"/>
      <c r="CG79" s="36"/>
      <c r="CH79" s="36"/>
      <c r="CI79" s="36"/>
      <c r="CJ79" s="101">
        <f t="shared" si="11"/>
        <v>0</v>
      </c>
      <c r="CQ79" s="101">
        <f t="shared" si="12"/>
        <v>0</v>
      </c>
      <c r="CR79" s="36"/>
      <c r="CS79" s="36"/>
      <c r="CT79" s="36"/>
      <c r="CU79" s="36"/>
      <c r="CV79" s="36"/>
      <c r="CW79" s="36"/>
      <c r="CX79" s="101">
        <f t="shared" si="13"/>
        <v>0</v>
      </c>
      <c r="CY79" s="36"/>
      <c r="CZ79" s="36"/>
      <c r="DA79" s="36"/>
      <c r="DB79" s="36"/>
      <c r="DC79" s="36"/>
      <c r="DD79" s="36"/>
      <c r="DE79" s="101">
        <f t="shared" si="14"/>
        <v>0</v>
      </c>
      <c r="DF79" s="36"/>
      <c r="DG79" s="103">
        <v>6.0</v>
      </c>
      <c r="DH79" s="103">
        <v>5.0</v>
      </c>
      <c r="DI79" s="36"/>
      <c r="DJ79" s="36"/>
      <c r="DK79" s="36"/>
      <c r="DL79" s="101">
        <f t="shared" si="15"/>
        <v>11</v>
      </c>
      <c r="DS79" s="101">
        <f t="shared" si="16"/>
        <v>0</v>
      </c>
      <c r="DZ79" s="101">
        <f t="shared" si="17"/>
        <v>0</v>
      </c>
    </row>
    <row r="80">
      <c r="A80" s="102">
        <v>45729.0</v>
      </c>
      <c r="B80" s="101" t="s">
        <v>42</v>
      </c>
      <c r="C80" s="101">
        <v>8.8</v>
      </c>
      <c r="D80" s="101">
        <v>7.7</v>
      </c>
      <c r="E80" s="101">
        <v>29.0</v>
      </c>
      <c r="F80" s="101">
        <v>60.0</v>
      </c>
      <c r="G80" s="101">
        <v>45.0</v>
      </c>
      <c r="H80" s="101">
        <v>55.0</v>
      </c>
      <c r="I80" s="101">
        <v>20.0</v>
      </c>
      <c r="J80" s="101">
        <v>34.0</v>
      </c>
      <c r="K80" s="101">
        <v>70.0</v>
      </c>
      <c r="L80" s="101">
        <v>9.0</v>
      </c>
      <c r="M80" s="101">
        <v>3.0</v>
      </c>
      <c r="R80" s="101">
        <f t="shared" si="1"/>
        <v>12</v>
      </c>
      <c r="S80" s="103">
        <v>0.0</v>
      </c>
      <c r="T80" s="103">
        <v>0.0</v>
      </c>
      <c r="U80" s="103">
        <v>0.0</v>
      </c>
      <c r="V80" s="103">
        <v>0.0</v>
      </c>
      <c r="W80" s="103">
        <v>0.0</v>
      </c>
      <c r="X80" s="103">
        <v>0.0</v>
      </c>
      <c r="Y80" s="101">
        <f t="shared" si="2"/>
        <v>0</v>
      </c>
      <c r="Z80" s="101">
        <v>4.0</v>
      </c>
      <c r="AA80" s="101">
        <v>14.0</v>
      </c>
      <c r="AB80" s="101">
        <v>0.0</v>
      </c>
      <c r="AC80" s="101">
        <v>0.0</v>
      </c>
      <c r="AD80" s="101">
        <v>0.0</v>
      </c>
      <c r="AE80" s="101">
        <v>0.0</v>
      </c>
      <c r="AF80" s="101">
        <f t="shared" si="3"/>
        <v>18</v>
      </c>
      <c r="AG80" s="103">
        <v>0.0</v>
      </c>
      <c r="AH80" s="103">
        <v>0.0</v>
      </c>
      <c r="AI80" s="103">
        <v>0.0</v>
      </c>
      <c r="AJ80" s="103">
        <v>0.0</v>
      </c>
      <c r="AK80" s="103">
        <v>0.0</v>
      </c>
      <c r="AL80" s="103">
        <v>0.0</v>
      </c>
      <c r="AM80" s="101">
        <f t="shared" si="4"/>
        <v>0</v>
      </c>
      <c r="AN80" s="103">
        <v>0.0</v>
      </c>
      <c r="AO80" s="103">
        <v>1.0</v>
      </c>
      <c r="AP80" s="103">
        <v>1.0</v>
      </c>
      <c r="AQ80" s="103">
        <v>0.0</v>
      </c>
      <c r="AR80" s="103">
        <v>0.0</v>
      </c>
      <c r="AS80" s="103">
        <v>0.0</v>
      </c>
      <c r="AT80" s="101">
        <f t="shared" si="5"/>
        <v>2</v>
      </c>
      <c r="AU80" s="103">
        <v>0.0</v>
      </c>
      <c r="AV80" s="103">
        <v>0.0</v>
      </c>
      <c r="AW80" s="103">
        <v>2.0</v>
      </c>
      <c r="AX80" s="103">
        <v>0.0</v>
      </c>
      <c r="AY80" s="103">
        <v>0.0</v>
      </c>
      <c r="AZ80" s="103">
        <v>0.0</v>
      </c>
      <c r="BA80" s="101">
        <f t="shared" si="6"/>
        <v>2</v>
      </c>
      <c r="BB80" s="103">
        <v>0.0</v>
      </c>
      <c r="BC80" s="103">
        <v>0.0</v>
      </c>
      <c r="BD80" s="103">
        <v>0.0</v>
      </c>
      <c r="BE80" s="103">
        <v>0.0</v>
      </c>
      <c r="BF80" s="103">
        <v>0.0</v>
      </c>
      <c r="BG80" s="103">
        <v>0.0</v>
      </c>
      <c r="BH80" s="101">
        <f t="shared" si="7"/>
        <v>0</v>
      </c>
      <c r="BI80" s="103">
        <v>0.0</v>
      </c>
      <c r="BJ80" s="103">
        <v>0.0</v>
      </c>
      <c r="BK80" s="103">
        <v>0.0</v>
      </c>
      <c r="BL80" s="103">
        <v>0.0</v>
      </c>
      <c r="BM80" s="103">
        <v>0.0</v>
      </c>
      <c r="BN80" s="103">
        <v>0.0</v>
      </c>
      <c r="BO80" s="101">
        <f t="shared" si="8"/>
        <v>0</v>
      </c>
      <c r="BP80" s="103">
        <v>0.0</v>
      </c>
      <c r="BQ80" s="103">
        <v>2.0</v>
      </c>
      <c r="BR80" s="103">
        <v>4.0</v>
      </c>
      <c r="BS80" s="103">
        <v>0.0</v>
      </c>
      <c r="BT80" s="103">
        <v>0.0</v>
      </c>
      <c r="BU80" s="103">
        <v>0.0</v>
      </c>
      <c r="BV80" s="101">
        <f t="shared" si="9"/>
        <v>6</v>
      </c>
      <c r="BW80" s="103">
        <v>0.0</v>
      </c>
      <c r="BX80" s="103">
        <v>0.0</v>
      </c>
      <c r="BY80" s="103">
        <v>0.0</v>
      </c>
      <c r="BZ80" s="103">
        <v>0.0</v>
      </c>
      <c r="CA80" s="103">
        <v>0.0</v>
      </c>
      <c r="CB80" s="103">
        <v>0.0</v>
      </c>
      <c r="CC80" s="101">
        <f t="shared" si="10"/>
        <v>0</v>
      </c>
      <c r="CD80" s="103">
        <v>0.0</v>
      </c>
      <c r="CE80" s="103">
        <v>0.0</v>
      </c>
      <c r="CF80" s="103">
        <v>0.0</v>
      </c>
      <c r="CG80" s="103">
        <v>0.0</v>
      </c>
      <c r="CH80" s="103">
        <v>0.0</v>
      </c>
      <c r="CI80" s="103">
        <v>0.0</v>
      </c>
      <c r="CJ80" s="101">
        <f t="shared" si="11"/>
        <v>0</v>
      </c>
      <c r="CQ80" s="101">
        <f t="shared" si="12"/>
        <v>0</v>
      </c>
      <c r="CR80" s="103">
        <v>0.0</v>
      </c>
      <c r="CS80" s="103">
        <v>0.0</v>
      </c>
      <c r="CT80" s="103">
        <v>0.0</v>
      </c>
      <c r="CU80" s="103">
        <v>0.0</v>
      </c>
      <c r="CV80" s="103">
        <v>0.0</v>
      </c>
      <c r="CW80" s="103">
        <v>0.0</v>
      </c>
      <c r="CX80" s="101">
        <f t="shared" si="13"/>
        <v>0</v>
      </c>
      <c r="CY80" s="103">
        <v>0.0</v>
      </c>
      <c r="CZ80" s="103">
        <v>0.0</v>
      </c>
      <c r="DA80" s="103">
        <v>0.0</v>
      </c>
      <c r="DB80" s="103">
        <v>0.0</v>
      </c>
      <c r="DC80" s="103">
        <v>0.0</v>
      </c>
      <c r="DD80" s="103">
        <v>0.0</v>
      </c>
      <c r="DE80" s="101">
        <f t="shared" si="14"/>
        <v>0</v>
      </c>
      <c r="DF80" s="103">
        <v>0.0</v>
      </c>
      <c r="DG80" s="103">
        <v>0.0</v>
      </c>
      <c r="DH80" s="103">
        <v>0.0</v>
      </c>
      <c r="DI80" s="103">
        <v>0.0</v>
      </c>
      <c r="DJ80" s="103">
        <v>0.0</v>
      </c>
      <c r="DK80" s="103">
        <v>0.0</v>
      </c>
      <c r="DL80" s="101">
        <f t="shared" si="15"/>
        <v>0</v>
      </c>
      <c r="DS80" s="101">
        <f t="shared" si="16"/>
        <v>0</v>
      </c>
      <c r="DZ80" s="101">
        <f t="shared" si="17"/>
        <v>0</v>
      </c>
    </row>
    <row r="81">
      <c r="A81" s="102">
        <v>45729.0</v>
      </c>
      <c r="B81" s="101" t="s">
        <v>43</v>
      </c>
      <c r="C81" s="101">
        <v>8.7</v>
      </c>
      <c r="D81" s="101">
        <v>8.4</v>
      </c>
      <c r="E81" s="101">
        <v>29.0</v>
      </c>
      <c r="F81" s="101">
        <v>20.0</v>
      </c>
      <c r="G81" s="101">
        <v>80.0</v>
      </c>
      <c r="H81" s="101">
        <v>40.0</v>
      </c>
      <c r="I81" s="101">
        <v>60.0</v>
      </c>
      <c r="J81" s="101">
        <v>40.0</v>
      </c>
      <c r="K81" s="101">
        <v>40.0</v>
      </c>
      <c r="L81" s="101">
        <v>3.0</v>
      </c>
      <c r="M81" s="101">
        <v>8.0</v>
      </c>
      <c r="N81" s="101">
        <v>4.0</v>
      </c>
      <c r="R81" s="101">
        <f t="shared" si="1"/>
        <v>15</v>
      </c>
      <c r="S81" s="36"/>
      <c r="T81" s="36"/>
      <c r="U81" s="36"/>
      <c r="V81" s="36"/>
      <c r="W81" s="36"/>
      <c r="X81" s="36"/>
      <c r="Y81" s="101">
        <f t="shared" si="2"/>
        <v>0</v>
      </c>
      <c r="Z81" s="101">
        <v>6.0</v>
      </c>
      <c r="AA81" s="101">
        <v>8.0</v>
      </c>
      <c r="AF81" s="101">
        <f t="shared" si="3"/>
        <v>14</v>
      </c>
      <c r="AG81" s="36"/>
      <c r="AH81" s="36"/>
      <c r="AI81" s="36"/>
      <c r="AJ81" s="36"/>
      <c r="AK81" s="36"/>
      <c r="AL81" s="36"/>
      <c r="AM81" s="101">
        <f t="shared" si="4"/>
        <v>0</v>
      </c>
      <c r="AN81" s="36"/>
      <c r="AO81" s="36"/>
      <c r="AP81" s="36"/>
      <c r="AQ81" s="36"/>
      <c r="AR81" s="36"/>
      <c r="AS81" s="36"/>
      <c r="AT81" s="101">
        <f t="shared" si="5"/>
        <v>0</v>
      </c>
      <c r="AU81" s="36"/>
      <c r="AV81" s="36"/>
      <c r="AW81" s="36"/>
      <c r="AX81" s="36"/>
      <c r="AY81" s="36"/>
      <c r="AZ81" s="36"/>
      <c r="BA81" s="101">
        <f t="shared" si="6"/>
        <v>0</v>
      </c>
      <c r="BB81" s="36"/>
      <c r="BC81" s="36"/>
      <c r="BD81" s="36"/>
      <c r="BE81" s="36"/>
      <c r="BF81" s="36"/>
      <c r="BG81" s="36"/>
      <c r="BH81" s="101">
        <f t="shared" si="7"/>
        <v>0</v>
      </c>
      <c r="BI81" s="36"/>
      <c r="BJ81" s="36"/>
      <c r="BK81" s="36"/>
      <c r="BL81" s="36"/>
      <c r="BM81" s="36"/>
      <c r="BN81" s="36"/>
      <c r="BO81" s="101">
        <f t="shared" si="8"/>
        <v>0</v>
      </c>
      <c r="BP81" s="36"/>
      <c r="BQ81" s="103">
        <v>4.0</v>
      </c>
      <c r="BR81" s="103">
        <v>6.0</v>
      </c>
      <c r="BS81" s="36"/>
      <c r="BT81" s="36"/>
      <c r="BU81" s="36"/>
      <c r="BV81" s="101">
        <f t="shared" si="9"/>
        <v>10</v>
      </c>
      <c r="BW81" s="36"/>
      <c r="BX81" s="36"/>
      <c r="BY81" s="36"/>
      <c r="BZ81" s="36"/>
      <c r="CA81" s="36"/>
      <c r="CB81" s="36"/>
      <c r="CC81" s="101">
        <f t="shared" si="10"/>
        <v>0</v>
      </c>
      <c r="CD81" s="36"/>
      <c r="CE81" s="36"/>
      <c r="CF81" s="36"/>
      <c r="CG81" s="36"/>
      <c r="CH81" s="36"/>
      <c r="CI81" s="36"/>
      <c r="CJ81" s="101">
        <f t="shared" si="11"/>
        <v>0</v>
      </c>
      <c r="CQ81" s="101">
        <f t="shared" si="12"/>
        <v>0</v>
      </c>
      <c r="CR81" s="36"/>
      <c r="CS81" s="36"/>
      <c r="CT81" s="36"/>
      <c r="CU81" s="36"/>
      <c r="CV81" s="36"/>
      <c r="CW81" s="36"/>
      <c r="CX81" s="101">
        <f t="shared" si="13"/>
        <v>0</v>
      </c>
      <c r="CY81" s="36"/>
      <c r="CZ81" s="36"/>
      <c r="DA81" s="36"/>
      <c r="DB81" s="36"/>
      <c r="DC81" s="36"/>
      <c r="DD81" s="36"/>
      <c r="DE81" s="101">
        <f t="shared" si="14"/>
        <v>0</v>
      </c>
      <c r="DF81" s="36"/>
      <c r="DG81" s="36"/>
      <c r="DH81" s="36"/>
      <c r="DI81" s="36"/>
      <c r="DJ81" s="36"/>
      <c r="DK81" s="36"/>
      <c r="DL81" s="101">
        <f t="shared" si="15"/>
        <v>0</v>
      </c>
      <c r="DS81" s="101">
        <f t="shared" si="16"/>
        <v>0</v>
      </c>
      <c r="DZ81" s="101">
        <f t="shared" si="17"/>
        <v>0</v>
      </c>
    </row>
    <row r="82">
      <c r="A82" s="102">
        <v>45748.0</v>
      </c>
      <c r="B82" s="101" t="s">
        <v>43</v>
      </c>
      <c r="C82" s="101">
        <v>12.0</v>
      </c>
      <c r="D82" s="101">
        <v>8.1</v>
      </c>
      <c r="E82" s="101">
        <v>29.0</v>
      </c>
      <c r="F82" s="101">
        <v>80.0</v>
      </c>
      <c r="G82" s="101">
        <v>40.0</v>
      </c>
      <c r="H82" s="101">
        <v>60.0</v>
      </c>
      <c r="I82" s="101">
        <v>100.0</v>
      </c>
      <c r="J82" s="101">
        <v>60.0</v>
      </c>
      <c r="K82" s="101">
        <v>60.0</v>
      </c>
      <c r="L82" s="101">
        <v>1.0</v>
      </c>
      <c r="M82" s="101">
        <v>7.0</v>
      </c>
      <c r="N82" s="101">
        <v>3.0</v>
      </c>
      <c r="P82" s="101">
        <v>2.0</v>
      </c>
      <c r="R82" s="101">
        <f t="shared" si="1"/>
        <v>13</v>
      </c>
      <c r="S82" s="103">
        <v>1.0</v>
      </c>
      <c r="T82" s="36"/>
      <c r="U82" s="36"/>
      <c r="V82" s="36"/>
      <c r="W82" s="36"/>
      <c r="X82" s="36"/>
      <c r="Y82" s="101">
        <f t="shared" si="2"/>
        <v>1</v>
      </c>
      <c r="Z82" s="101">
        <v>6.0</v>
      </c>
      <c r="AA82" s="101">
        <v>5.0</v>
      </c>
      <c r="AF82" s="101">
        <f t="shared" si="3"/>
        <v>11</v>
      </c>
      <c r="AG82" s="36"/>
      <c r="AH82" s="103">
        <v>1.0</v>
      </c>
      <c r="AI82" s="103">
        <v>30.0</v>
      </c>
      <c r="AJ82" s="103">
        <v>1.0</v>
      </c>
      <c r="AK82" s="36"/>
      <c r="AL82" s="36"/>
      <c r="AM82" s="101">
        <f t="shared" si="4"/>
        <v>32</v>
      </c>
      <c r="AN82" s="36"/>
      <c r="AO82" s="103">
        <v>3.0</v>
      </c>
      <c r="AP82" s="36"/>
      <c r="AQ82" s="36"/>
      <c r="AR82" s="36"/>
      <c r="AS82" s="36"/>
      <c r="AT82" s="101">
        <f t="shared" si="5"/>
        <v>3</v>
      </c>
      <c r="AU82" s="36"/>
      <c r="AV82" s="103">
        <v>1.0</v>
      </c>
      <c r="AW82" s="36"/>
      <c r="AX82" s="36"/>
      <c r="AY82" s="36"/>
      <c r="AZ82" s="36"/>
      <c r="BA82" s="101">
        <f t="shared" si="6"/>
        <v>1</v>
      </c>
      <c r="BB82" s="36"/>
      <c r="BC82" s="36"/>
      <c r="BD82" s="103">
        <v>1.0</v>
      </c>
      <c r="BE82" s="36"/>
      <c r="BF82" s="36"/>
      <c r="BG82" s="36"/>
      <c r="BH82" s="101">
        <f t="shared" si="7"/>
        <v>1</v>
      </c>
      <c r="BI82" s="36"/>
      <c r="BJ82" s="36"/>
      <c r="BK82" s="36"/>
      <c r="BL82" s="36"/>
      <c r="BM82" s="36"/>
      <c r="BN82" s="36"/>
      <c r="BO82" s="101">
        <f t="shared" si="8"/>
        <v>0</v>
      </c>
      <c r="BP82" s="36"/>
      <c r="BQ82" s="103">
        <v>3.0</v>
      </c>
      <c r="BR82" s="103">
        <v>1.0</v>
      </c>
      <c r="BS82" s="36"/>
      <c r="BT82" s="36"/>
      <c r="BU82" s="36"/>
      <c r="BV82" s="101">
        <f t="shared" si="9"/>
        <v>4</v>
      </c>
      <c r="BW82" s="36"/>
      <c r="BX82" s="36"/>
      <c r="BY82" s="36"/>
      <c r="BZ82" s="36"/>
      <c r="CA82" s="36"/>
      <c r="CB82" s="36"/>
      <c r="CC82" s="101">
        <f t="shared" si="10"/>
        <v>0</v>
      </c>
      <c r="CD82" s="36"/>
      <c r="CE82" s="36"/>
      <c r="CF82" s="36"/>
      <c r="CG82" s="36"/>
      <c r="CH82" s="36"/>
      <c r="CI82" s="36"/>
      <c r="CJ82" s="101">
        <f t="shared" si="11"/>
        <v>0</v>
      </c>
      <c r="CQ82" s="101">
        <f t="shared" si="12"/>
        <v>0</v>
      </c>
      <c r="CR82" s="36"/>
      <c r="CS82" s="36"/>
      <c r="CT82" s="36"/>
      <c r="CU82" s="36"/>
      <c r="CV82" s="36"/>
      <c r="CW82" s="36"/>
      <c r="CX82" s="101">
        <f t="shared" si="13"/>
        <v>0</v>
      </c>
      <c r="CY82" s="36"/>
      <c r="CZ82" s="36"/>
      <c r="DA82" s="36"/>
      <c r="DB82" s="36"/>
      <c r="DC82" s="36"/>
      <c r="DD82" s="36"/>
      <c r="DE82" s="101">
        <f t="shared" si="14"/>
        <v>0</v>
      </c>
      <c r="DF82" s="36"/>
      <c r="DG82" s="36"/>
      <c r="DH82" s="36"/>
      <c r="DI82" s="36"/>
      <c r="DJ82" s="36"/>
      <c r="DK82" s="36"/>
      <c r="DL82" s="101">
        <f t="shared" si="15"/>
        <v>0</v>
      </c>
      <c r="DS82" s="101">
        <f t="shared" si="16"/>
        <v>0</v>
      </c>
      <c r="DZ82" s="101">
        <f t="shared" si="17"/>
        <v>0</v>
      </c>
    </row>
    <row r="83">
      <c r="A83" s="102">
        <v>45748.0</v>
      </c>
      <c r="B83" s="101" t="s">
        <v>42</v>
      </c>
      <c r="C83" s="101">
        <v>9.3</v>
      </c>
      <c r="D83" s="101">
        <v>7.5</v>
      </c>
      <c r="E83" s="101">
        <v>29.0</v>
      </c>
      <c r="F83" s="101">
        <v>30.0</v>
      </c>
      <c r="G83" s="101">
        <v>50.0</v>
      </c>
      <c r="H83" s="101">
        <v>50.0</v>
      </c>
      <c r="I83" s="101">
        <v>20.0</v>
      </c>
      <c r="J83" s="101">
        <v>20.0</v>
      </c>
      <c r="K83" s="101">
        <v>30.0</v>
      </c>
      <c r="L83" s="101">
        <v>17.0</v>
      </c>
      <c r="M83" s="101">
        <v>15.0</v>
      </c>
      <c r="N83" s="101">
        <v>8.0</v>
      </c>
      <c r="R83" s="101">
        <f t="shared" si="1"/>
        <v>40</v>
      </c>
      <c r="S83" s="103">
        <v>2.0</v>
      </c>
      <c r="T83" s="103">
        <v>9.0</v>
      </c>
      <c r="U83" s="36"/>
      <c r="V83" s="36"/>
      <c r="W83" s="36"/>
      <c r="X83" s="36"/>
      <c r="Y83" s="101">
        <f t="shared" si="2"/>
        <v>11</v>
      </c>
      <c r="Z83" s="101">
        <v>16.0</v>
      </c>
      <c r="AA83" s="101">
        <v>6.0</v>
      </c>
      <c r="AF83" s="101">
        <f t="shared" si="3"/>
        <v>22</v>
      </c>
      <c r="AG83" s="36"/>
      <c r="AH83" s="36"/>
      <c r="AI83" s="103">
        <v>2.0</v>
      </c>
      <c r="AJ83" s="103">
        <v>2.0</v>
      </c>
      <c r="AK83" s="36"/>
      <c r="AL83" s="36"/>
      <c r="AM83" s="101">
        <f t="shared" si="4"/>
        <v>4</v>
      </c>
      <c r="AN83" s="36"/>
      <c r="AO83" s="36"/>
      <c r="AP83" s="103">
        <v>2.0</v>
      </c>
      <c r="AQ83" s="36"/>
      <c r="AR83" s="36"/>
      <c r="AS83" s="36"/>
      <c r="AT83" s="101">
        <f t="shared" si="5"/>
        <v>2</v>
      </c>
      <c r="AU83" s="36"/>
      <c r="AV83" s="36"/>
      <c r="AW83" s="103">
        <v>1.0</v>
      </c>
      <c r="AX83" s="36"/>
      <c r="AY83" s="36"/>
      <c r="AZ83" s="36"/>
      <c r="BA83" s="101">
        <f t="shared" si="6"/>
        <v>1</v>
      </c>
      <c r="BB83" s="36"/>
      <c r="BC83" s="36"/>
      <c r="BD83" s="36"/>
      <c r="BE83" s="36"/>
      <c r="BF83" s="36"/>
      <c r="BG83" s="36"/>
      <c r="BH83" s="101">
        <f t="shared" si="7"/>
        <v>0</v>
      </c>
      <c r="BI83" s="36"/>
      <c r="BJ83" s="36"/>
      <c r="BK83" s="36"/>
      <c r="BL83" s="36"/>
      <c r="BM83" s="36"/>
      <c r="BN83" s="36"/>
      <c r="BO83" s="101">
        <f t="shared" si="8"/>
        <v>0</v>
      </c>
      <c r="BP83" s="36"/>
      <c r="BQ83" s="103">
        <v>3.0</v>
      </c>
      <c r="BR83" s="103">
        <v>1.0</v>
      </c>
      <c r="BS83" s="36"/>
      <c r="BT83" s="36"/>
      <c r="BU83" s="36"/>
      <c r="BV83" s="101">
        <f t="shared" si="9"/>
        <v>4</v>
      </c>
      <c r="BW83" s="36"/>
      <c r="BX83" s="36"/>
      <c r="BY83" s="103">
        <v>1.0</v>
      </c>
      <c r="BZ83" s="36"/>
      <c r="CA83" s="36"/>
      <c r="CB83" s="36"/>
      <c r="CC83" s="101">
        <f t="shared" si="10"/>
        <v>1</v>
      </c>
      <c r="CD83" s="36"/>
      <c r="CE83" s="36"/>
      <c r="CF83" s="36"/>
      <c r="CG83" s="36"/>
      <c r="CH83" s="36"/>
      <c r="CI83" s="36"/>
      <c r="CJ83" s="101">
        <f t="shared" si="11"/>
        <v>0</v>
      </c>
      <c r="CQ83" s="101">
        <f t="shared" si="12"/>
        <v>0</v>
      </c>
      <c r="CR83" s="36"/>
      <c r="CS83" s="36"/>
      <c r="CT83" s="36"/>
      <c r="CU83" s="36"/>
      <c r="CV83" s="36"/>
      <c r="CW83" s="36"/>
      <c r="CX83" s="101">
        <f t="shared" si="13"/>
        <v>0</v>
      </c>
      <c r="CY83" s="36"/>
      <c r="CZ83" s="36"/>
      <c r="DA83" s="36"/>
      <c r="DB83" s="36"/>
      <c r="DC83" s="36"/>
      <c r="DD83" s="36"/>
      <c r="DE83" s="101">
        <f t="shared" si="14"/>
        <v>0</v>
      </c>
      <c r="DF83" s="36"/>
      <c r="DG83" s="36"/>
      <c r="DH83" s="36"/>
      <c r="DI83" s="36"/>
      <c r="DJ83" s="36"/>
      <c r="DK83" s="36"/>
      <c r="DL83" s="101">
        <f t="shared" si="15"/>
        <v>0</v>
      </c>
      <c r="DS83" s="101">
        <f t="shared" si="16"/>
        <v>0</v>
      </c>
      <c r="DZ83" s="101">
        <f t="shared" si="17"/>
        <v>0</v>
      </c>
    </row>
    <row r="84">
      <c r="A84" s="102">
        <v>45749.0</v>
      </c>
      <c r="B84" s="101" t="s">
        <v>43</v>
      </c>
      <c r="C84" s="101">
        <v>9.9</v>
      </c>
      <c r="D84" s="101">
        <v>8.5</v>
      </c>
      <c r="E84" s="101">
        <v>29.0</v>
      </c>
      <c r="F84" s="101">
        <v>60.0</v>
      </c>
      <c r="G84" s="101">
        <v>20.0</v>
      </c>
      <c r="H84" s="101">
        <v>50.0</v>
      </c>
      <c r="I84" s="101">
        <v>80.0</v>
      </c>
      <c r="J84" s="101">
        <v>40.0</v>
      </c>
      <c r="K84" s="101">
        <v>80.0</v>
      </c>
      <c r="L84" s="101">
        <v>8.0</v>
      </c>
      <c r="M84" s="101">
        <v>18.0</v>
      </c>
      <c r="N84" s="101">
        <v>7.0</v>
      </c>
      <c r="R84" s="101">
        <f t="shared" si="1"/>
        <v>33</v>
      </c>
      <c r="S84" s="103">
        <v>5.0</v>
      </c>
      <c r="T84" s="36"/>
      <c r="U84" s="36"/>
      <c r="V84" s="36"/>
      <c r="W84" s="36"/>
      <c r="X84" s="36"/>
      <c r="Y84" s="101">
        <f t="shared" si="2"/>
        <v>5</v>
      </c>
      <c r="Z84" s="101">
        <v>14.0</v>
      </c>
      <c r="AA84" s="101">
        <v>5.0</v>
      </c>
      <c r="AF84" s="101">
        <f t="shared" si="3"/>
        <v>19</v>
      </c>
      <c r="AG84" s="36"/>
      <c r="AH84" s="103">
        <v>1.0</v>
      </c>
      <c r="AI84" s="36"/>
      <c r="AJ84" s="36"/>
      <c r="AK84" s="36"/>
      <c r="AL84" s="36"/>
      <c r="AM84" s="101">
        <f t="shared" si="4"/>
        <v>1</v>
      </c>
      <c r="AN84" s="36"/>
      <c r="AO84" s="103">
        <v>1.0</v>
      </c>
      <c r="AP84" s="103">
        <v>2.0</v>
      </c>
      <c r="AQ84" s="36"/>
      <c r="AR84" s="36"/>
      <c r="AS84" s="36"/>
      <c r="AT84" s="101">
        <f t="shared" si="5"/>
        <v>3</v>
      </c>
      <c r="AU84" s="36"/>
      <c r="AV84" s="36"/>
      <c r="AW84" s="36"/>
      <c r="AX84" s="36"/>
      <c r="AY84" s="36"/>
      <c r="AZ84" s="36"/>
      <c r="BA84" s="101">
        <f t="shared" si="6"/>
        <v>0</v>
      </c>
      <c r="BB84" s="36"/>
      <c r="BC84" s="36"/>
      <c r="BD84" s="36"/>
      <c r="BE84" s="103">
        <v>2.0</v>
      </c>
      <c r="BF84" s="36"/>
      <c r="BG84" s="36"/>
      <c r="BH84" s="101">
        <f t="shared" si="7"/>
        <v>2</v>
      </c>
      <c r="BI84" s="36"/>
      <c r="BJ84" s="36"/>
      <c r="BK84" s="36"/>
      <c r="BL84" s="36"/>
      <c r="BM84" s="36"/>
      <c r="BN84" s="36"/>
      <c r="BO84" s="101">
        <f t="shared" si="8"/>
        <v>0</v>
      </c>
      <c r="BP84" s="36"/>
      <c r="BQ84" s="103">
        <v>6.0</v>
      </c>
      <c r="BR84" s="103">
        <v>1.0</v>
      </c>
      <c r="BS84" s="36"/>
      <c r="BT84" s="36"/>
      <c r="BU84" s="36"/>
      <c r="BV84" s="101">
        <f t="shared" si="9"/>
        <v>7</v>
      </c>
      <c r="BW84" s="36"/>
      <c r="BX84" s="36"/>
      <c r="BY84" s="103">
        <v>1.0</v>
      </c>
      <c r="BZ84" s="36"/>
      <c r="CA84" s="36"/>
      <c r="CB84" s="36"/>
      <c r="CC84" s="101">
        <f t="shared" si="10"/>
        <v>1</v>
      </c>
      <c r="CD84" s="36"/>
      <c r="CE84" s="36"/>
      <c r="CF84" s="36"/>
      <c r="CG84" s="36"/>
      <c r="CH84" s="36"/>
      <c r="CI84" s="36"/>
      <c r="CJ84" s="101">
        <f t="shared" si="11"/>
        <v>0</v>
      </c>
      <c r="CQ84" s="101">
        <f t="shared" si="12"/>
        <v>0</v>
      </c>
      <c r="CR84" s="36"/>
      <c r="CS84" s="36"/>
      <c r="CT84" s="36"/>
      <c r="CU84" s="36"/>
      <c r="CV84" s="36"/>
      <c r="CW84" s="36"/>
      <c r="CX84" s="101">
        <f t="shared" si="13"/>
        <v>0</v>
      </c>
      <c r="CY84" s="36"/>
      <c r="CZ84" s="36"/>
      <c r="DA84" s="36"/>
      <c r="DB84" s="36"/>
      <c r="DC84" s="36"/>
      <c r="DD84" s="36"/>
      <c r="DE84" s="101">
        <f t="shared" si="14"/>
        <v>0</v>
      </c>
      <c r="DF84" s="36"/>
      <c r="DG84" s="36"/>
      <c r="DH84" s="103">
        <v>2.0</v>
      </c>
      <c r="DI84" s="36"/>
      <c r="DJ84" s="36"/>
      <c r="DK84" s="36"/>
      <c r="DL84" s="101">
        <f t="shared" si="15"/>
        <v>2</v>
      </c>
      <c r="DS84" s="101">
        <f t="shared" si="16"/>
        <v>0</v>
      </c>
      <c r="DZ84" s="101">
        <f t="shared" si="17"/>
        <v>0</v>
      </c>
    </row>
    <row r="85">
      <c r="A85" s="102">
        <v>45749.0</v>
      </c>
      <c r="B85" s="101" t="s">
        <v>42</v>
      </c>
      <c r="C85" s="101">
        <v>9.3</v>
      </c>
      <c r="D85" s="101">
        <v>9.2</v>
      </c>
      <c r="E85" s="101">
        <v>29.0</v>
      </c>
      <c r="F85" s="101">
        <v>60.0</v>
      </c>
      <c r="G85" s="101">
        <v>30.0</v>
      </c>
      <c r="H85" s="101">
        <v>40.0</v>
      </c>
      <c r="I85" s="101">
        <v>100.0</v>
      </c>
      <c r="J85" s="101">
        <v>100.0</v>
      </c>
      <c r="K85" s="101">
        <v>40.0</v>
      </c>
      <c r="L85" s="101">
        <v>17.0</v>
      </c>
      <c r="M85" s="101">
        <v>10.0</v>
      </c>
      <c r="N85" s="101">
        <v>6.0</v>
      </c>
      <c r="R85" s="101">
        <f t="shared" si="1"/>
        <v>33</v>
      </c>
      <c r="S85" s="103">
        <v>1.0</v>
      </c>
      <c r="T85" s="36"/>
      <c r="U85" s="36"/>
      <c r="V85" s="36"/>
      <c r="W85" s="36"/>
      <c r="X85" s="36"/>
      <c r="Y85" s="101">
        <f t="shared" si="2"/>
        <v>1</v>
      </c>
      <c r="Z85" s="101">
        <v>10.0</v>
      </c>
      <c r="AA85" s="101">
        <v>5.0</v>
      </c>
      <c r="AF85" s="101">
        <f t="shared" si="3"/>
        <v>15</v>
      </c>
      <c r="AG85" s="36"/>
      <c r="AH85" s="36"/>
      <c r="AI85" s="36"/>
      <c r="AJ85" s="36"/>
      <c r="AK85" s="36"/>
      <c r="AL85" s="36"/>
      <c r="AM85" s="101">
        <f t="shared" si="4"/>
        <v>0</v>
      </c>
      <c r="AN85" s="36"/>
      <c r="AO85" s="36"/>
      <c r="AP85" s="103">
        <v>1.0</v>
      </c>
      <c r="AQ85" s="36"/>
      <c r="AR85" s="36"/>
      <c r="AS85" s="36"/>
      <c r="AT85" s="101">
        <f t="shared" si="5"/>
        <v>1</v>
      </c>
      <c r="AU85" s="36"/>
      <c r="AV85" s="36"/>
      <c r="AW85" s="103">
        <v>1.0</v>
      </c>
      <c r="AX85" s="36"/>
      <c r="AY85" s="36"/>
      <c r="AZ85" s="36"/>
      <c r="BA85" s="101">
        <f t="shared" si="6"/>
        <v>1</v>
      </c>
      <c r="BB85" s="36"/>
      <c r="BC85" s="36"/>
      <c r="BD85" s="36"/>
      <c r="BE85" s="36"/>
      <c r="BF85" s="36"/>
      <c r="BG85" s="36"/>
      <c r="BH85" s="101">
        <f t="shared" si="7"/>
        <v>0</v>
      </c>
      <c r="BI85" s="36"/>
      <c r="BJ85" s="36"/>
      <c r="BK85" s="36"/>
      <c r="BL85" s="36"/>
      <c r="BM85" s="36"/>
      <c r="BN85" s="36"/>
      <c r="BO85" s="101">
        <f t="shared" si="8"/>
        <v>0</v>
      </c>
      <c r="BP85" s="36"/>
      <c r="BQ85" s="103">
        <v>3.0</v>
      </c>
      <c r="BR85" s="103">
        <v>5.0</v>
      </c>
      <c r="BS85" s="36"/>
      <c r="BT85" s="36"/>
      <c r="BU85" s="36"/>
      <c r="BV85" s="101">
        <f t="shared" si="9"/>
        <v>8</v>
      </c>
      <c r="BW85" s="36"/>
      <c r="BX85" s="36"/>
      <c r="BY85" s="36"/>
      <c r="BZ85" s="36"/>
      <c r="CA85" s="36"/>
      <c r="CB85" s="36"/>
      <c r="CC85" s="101">
        <f t="shared" si="10"/>
        <v>0</v>
      </c>
      <c r="CD85" s="36"/>
      <c r="CE85" s="36"/>
      <c r="CF85" s="36"/>
      <c r="CG85" s="36"/>
      <c r="CH85" s="36"/>
      <c r="CI85" s="36"/>
      <c r="CJ85" s="101">
        <f t="shared" si="11"/>
        <v>0</v>
      </c>
      <c r="CQ85" s="101">
        <f t="shared" si="12"/>
        <v>0</v>
      </c>
      <c r="CR85" s="36"/>
      <c r="CS85" s="36"/>
      <c r="CT85" s="36"/>
      <c r="CU85" s="36"/>
      <c r="CV85" s="36"/>
      <c r="CW85" s="36"/>
      <c r="CX85" s="101">
        <f t="shared" si="13"/>
        <v>0</v>
      </c>
      <c r="CY85" s="36"/>
      <c r="CZ85" s="36"/>
      <c r="DA85" s="36"/>
      <c r="DB85" s="36"/>
      <c r="DC85" s="36"/>
      <c r="DD85" s="36"/>
      <c r="DE85" s="101">
        <f t="shared" si="14"/>
        <v>0</v>
      </c>
      <c r="DF85" s="36"/>
      <c r="DG85" s="36"/>
      <c r="DH85" s="36"/>
      <c r="DI85" s="36"/>
      <c r="DJ85" s="36"/>
      <c r="DK85" s="36"/>
      <c r="DL85" s="101">
        <f t="shared" si="15"/>
        <v>0</v>
      </c>
      <c r="DS85" s="101">
        <f t="shared" si="16"/>
        <v>0</v>
      </c>
      <c r="DZ85" s="101">
        <f t="shared" si="17"/>
        <v>0</v>
      </c>
    </row>
    <row r="86">
      <c r="A86" s="102">
        <v>45750.0</v>
      </c>
      <c r="B86" s="101" t="s">
        <v>44</v>
      </c>
      <c r="C86" s="101">
        <v>14.2</v>
      </c>
      <c r="D86" s="101">
        <v>13.3</v>
      </c>
      <c r="E86" s="101">
        <v>29.0</v>
      </c>
      <c r="F86" s="101">
        <v>30.0</v>
      </c>
      <c r="G86" s="101">
        <v>50.0</v>
      </c>
      <c r="H86" s="101">
        <v>30.0</v>
      </c>
      <c r="I86" s="101">
        <v>30.0</v>
      </c>
      <c r="J86" s="101">
        <v>0.0</v>
      </c>
      <c r="K86" s="101">
        <v>10.0</v>
      </c>
      <c r="L86" s="101">
        <v>22.0</v>
      </c>
      <c r="M86" s="101">
        <v>10.0</v>
      </c>
      <c r="N86" s="101">
        <v>12.0</v>
      </c>
      <c r="O86" s="101">
        <v>4.0</v>
      </c>
      <c r="R86" s="101">
        <f t="shared" si="1"/>
        <v>48</v>
      </c>
      <c r="S86" s="103">
        <v>2.0</v>
      </c>
      <c r="T86" s="103">
        <v>2.0</v>
      </c>
      <c r="U86" s="36"/>
      <c r="V86" s="36"/>
      <c r="W86" s="36"/>
      <c r="X86" s="36"/>
      <c r="Y86" s="101">
        <f t="shared" si="2"/>
        <v>4</v>
      </c>
      <c r="Z86" s="101">
        <v>14.0</v>
      </c>
      <c r="AA86" s="101">
        <v>9.0</v>
      </c>
      <c r="AF86" s="101">
        <f t="shared" si="3"/>
        <v>23</v>
      </c>
      <c r="AG86" s="36"/>
      <c r="AH86" s="36"/>
      <c r="AI86" s="103">
        <v>17.0</v>
      </c>
      <c r="AJ86" s="36"/>
      <c r="AK86" s="36"/>
      <c r="AL86" s="36"/>
      <c r="AM86" s="101">
        <f t="shared" si="4"/>
        <v>17</v>
      </c>
      <c r="AN86" s="36"/>
      <c r="AO86" s="103">
        <v>21.0</v>
      </c>
      <c r="AP86" s="103">
        <v>16.0</v>
      </c>
      <c r="AQ86" s="36"/>
      <c r="AR86" s="36"/>
      <c r="AS86" s="36"/>
      <c r="AT86" s="101">
        <f t="shared" si="5"/>
        <v>37</v>
      </c>
      <c r="AU86" s="36"/>
      <c r="AV86" s="36"/>
      <c r="AW86" s="103">
        <v>2.0</v>
      </c>
      <c r="AX86" s="36"/>
      <c r="AY86" s="36"/>
      <c r="AZ86" s="36"/>
      <c r="BA86" s="101">
        <f t="shared" si="6"/>
        <v>2</v>
      </c>
      <c r="BB86" s="36"/>
      <c r="BC86" s="36"/>
      <c r="BD86" s="36"/>
      <c r="BE86" s="36"/>
      <c r="BF86" s="36"/>
      <c r="BG86" s="36"/>
      <c r="BH86" s="101">
        <f t="shared" si="7"/>
        <v>0</v>
      </c>
      <c r="BI86" s="36"/>
      <c r="BJ86" s="103">
        <v>2.0</v>
      </c>
      <c r="BK86" s="36"/>
      <c r="BL86" s="36"/>
      <c r="BM86" s="36"/>
      <c r="BN86" s="36"/>
      <c r="BO86" s="101">
        <f t="shared" si="8"/>
        <v>2</v>
      </c>
      <c r="BP86" s="36"/>
      <c r="BQ86" s="103">
        <v>4.0</v>
      </c>
      <c r="BR86" s="103">
        <v>3.0</v>
      </c>
      <c r="BS86" s="36"/>
      <c r="BT86" s="36"/>
      <c r="BU86" s="36"/>
      <c r="BV86" s="101">
        <f t="shared" si="9"/>
        <v>7</v>
      </c>
      <c r="BW86" s="36"/>
      <c r="BX86" s="36"/>
      <c r="BY86" s="36"/>
      <c r="BZ86" s="36"/>
      <c r="CA86" s="36"/>
      <c r="CB86" s="36"/>
      <c r="CC86" s="101">
        <f t="shared" si="10"/>
        <v>0</v>
      </c>
      <c r="CD86" s="36"/>
      <c r="CE86" s="36"/>
      <c r="CF86" s="36"/>
      <c r="CG86" s="36"/>
      <c r="CH86" s="36"/>
      <c r="CI86" s="36"/>
      <c r="CJ86" s="101">
        <f t="shared" si="11"/>
        <v>0</v>
      </c>
      <c r="CQ86" s="101">
        <f t="shared" si="12"/>
        <v>0</v>
      </c>
      <c r="CR86" s="36"/>
      <c r="CS86" s="36"/>
      <c r="CT86" s="36"/>
      <c r="CU86" s="36"/>
      <c r="CV86" s="36"/>
      <c r="CW86" s="36"/>
      <c r="CX86" s="101">
        <f t="shared" si="13"/>
        <v>0</v>
      </c>
      <c r="CY86" s="36"/>
      <c r="CZ86" s="36"/>
      <c r="DA86" s="36"/>
      <c r="DB86" s="36"/>
      <c r="DC86" s="36"/>
      <c r="DD86" s="36"/>
      <c r="DE86" s="101">
        <f t="shared" si="14"/>
        <v>0</v>
      </c>
      <c r="DF86" s="36"/>
      <c r="DG86" s="36"/>
      <c r="DH86" s="36"/>
      <c r="DI86" s="36"/>
      <c r="DJ86" s="36"/>
      <c r="DK86" s="36"/>
      <c r="DL86" s="101">
        <f t="shared" si="15"/>
        <v>0</v>
      </c>
      <c r="DS86" s="101">
        <f t="shared" si="16"/>
        <v>0</v>
      </c>
      <c r="DZ86" s="101">
        <f t="shared" si="17"/>
        <v>0</v>
      </c>
    </row>
    <row r="87">
      <c r="A87" s="102">
        <v>45750.0</v>
      </c>
      <c r="B87" s="101" t="s">
        <v>45</v>
      </c>
      <c r="C87" s="101">
        <v>10.6</v>
      </c>
      <c r="D87" s="101">
        <v>9.6</v>
      </c>
      <c r="E87" s="101">
        <v>29.0</v>
      </c>
      <c r="F87" s="101">
        <v>30.0</v>
      </c>
      <c r="G87" s="101">
        <v>50.0</v>
      </c>
      <c r="H87" s="101">
        <v>0.0</v>
      </c>
      <c r="I87" s="101">
        <v>30.0</v>
      </c>
      <c r="J87" s="101">
        <v>60.0</v>
      </c>
      <c r="K87" s="101">
        <v>0.0</v>
      </c>
      <c r="L87" s="101">
        <v>10.0</v>
      </c>
      <c r="M87" s="101">
        <v>21.0</v>
      </c>
      <c r="N87" s="101">
        <v>7.0</v>
      </c>
      <c r="O87" s="101">
        <v>2.0</v>
      </c>
      <c r="P87" s="101">
        <v>1.0</v>
      </c>
      <c r="R87" s="101">
        <f t="shared" si="1"/>
        <v>41</v>
      </c>
      <c r="S87" s="103">
        <v>9.0</v>
      </c>
      <c r="T87" s="36"/>
      <c r="U87" s="36"/>
      <c r="V87" s="36"/>
      <c r="W87" s="36"/>
      <c r="X87" s="36"/>
      <c r="Y87" s="101">
        <f t="shared" si="2"/>
        <v>9</v>
      </c>
      <c r="Z87" s="101">
        <v>13.0</v>
      </c>
      <c r="AA87" s="101">
        <v>19.0</v>
      </c>
      <c r="AF87" s="101">
        <f t="shared" si="3"/>
        <v>32</v>
      </c>
      <c r="AG87" s="36"/>
      <c r="AH87" s="36"/>
      <c r="AI87" s="36"/>
      <c r="AJ87" s="36"/>
      <c r="AK87" s="36"/>
      <c r="AL87" s="36"/>
      <c r="AM87" s="101">
        <f t="shared" si="4"/>
        <v>0</v>
      </c>
      <c r="AN87" s="36"/>
      <c r="AO87" s="36"/>
      <c r="AP87" s="36"/>
      <c r="AQ87" s="36"/>
      <c r="AR87" s="36"/>
      <c r="AS87" s="36"/>
      <c r="AT87" s="101">
        <f t="shared" si="5"/>
        <v>0</v>
      </c>
      <c r="AU87" s="36"/>
      <c r="AV87" s="36"/>
      <c r="AW87" s="103">
        <v>1.0</v>
      </c>
      <c r="AX87" s="36"/>
      <c r="AY87" s="36"/>
      <c r="AZ87" s="36"/>
      <c r="BA87" s="101">
        <f t="shared" si="6"/>
        <v>1</v>
      </c>
      <c r="BB87" s="36"/>
      <c r="BC87" s="36"/>
      <c r="BD87" s="36"/>
      <c r="BE87" s="36"/>
      <c r="BF87" s="36"/>
      <c r="BG87" s="36"/>
      <c r="BH87" s="101">
        <f t="shared" si="7"/>
        <v>0</v>
      </c>
      <c r="BI87" s="36"/>
      <c r="BJ87" s="36"/>
      <c r="BK87" s="36"/>
      <c r="BL87" s="36"/>
      <c r="BM87" s="36"/>
      <c r="BN87" s="36"/>
      <c r="BO87" s="101">
        <f t="shared" si="8"/>
        <v>0</v>
      </c>
      <c r="BP87" s="103">
        <v>1.0</v>
      </c>
      <c r="BQ87" s="103">
        <v>1.0</v>
      </c>
      <c r="BR87" s="103">
        <v>4.0</v>
      </c>
      <c r="BS87" s="36"/>
      <c r="BT87" s="36"/>
      <c r="BU87" s="36"/>
      <c r="BV87" s="101">
        <f t="shared" si="9"/>
        <v>6</v>
      </c>
      <c r="BW87" s="36"/>
      <c r="BX87" s="36"/>
      <c r="BY87" s="36"/>
      <c r="BZ87" s="36"/>
      <c r="CA87" s="36"/>
      <c r="CB87" s="36"/>
      <c r="CC87" s="101">
        <f t="shared" si="10"/>
        <v>0</v>
      </c>
      <c r="CD87" s="36"/>
      <c r="CE87" s="36"/>
      <c r="CF87" s="36"/>
      <c r="CG87" s="36"/>
      <c r="CH87" s="36"/>
      <c r="CI87" s="36"/>
      <c r="CJ87" s="101">
        <f t="shared" si="11"/>
        <v>0</v>
      </c>
      <c r="CQ87" s="101">
        <f t="shared" si="12"/>
        <v>0</v>
      </c>
      <c r="CR87" s="36"/>
      <c r="CS87" s="36"/>
      <c r="CT87" s="103">
        <v>1.0</v>
      </c>
      <c r="CU87" s="103">
        <v>1.0</v>
      </c>
      <c r="CV87" s="36"/>
      <c r="CW87" s="36"/>
      <c r="CX87" s="101">
        <f t="shared" si="13"/>
        <v>2</v>
      </c>
      <c r="CY87" s="36"/>
      <c r="CZ87" s="36"/>
      <c r="DA87" s="36"/>
      <c r="DB87" s="36"/>
      <c r="DC87" s="36"/>
      <c r="DD87" s="36"/>
      <c r="DE87" s="101">
        <f t="shared" si="14"/>
        <v>0</v>
      </c>
      <c r="DF87" s="36"/>
      <c r="DG87" s="36"/>
      <c r="DH87" s="36"/>
      <c r="DI87" s="36"/>
      <c r="DJ87" s="36"/>
      <c r="DK87" s="36"/>
      <c r="DL87" s="101">
        <f t="shared" si="15"/>
        <v>0</v>
      </c>
      <c r="DS87" s="101">
        <f t="shared" si="16"/>
        <v>0</v>
      </c>
      <c r="DZ87" s="101">
        <f t="shared" si="17"/>
        <v>0</v>
      </c>
    </row>
    <row r="88">
      <c r="A88" s="102">
        <v>45751.0</v>
      </c>
      <c r="B88" s="101" t="s">
        <v>65</v>
      </c>
      <c r="C88" s="101">
        <v>11.7</v>
      </c>
      <c r="D88" s="101">
        <v>10.0</v>
      </c>
      <c r="E88" s="101">
        <v>29.0</v>
      </c>
      <c r="F88" s="101">
        <v>80.0</v>
      </c>
      <c r="G88" s="101">
        <v>20.0</v>
      </c>
      <c r="H88" s="101">
        <v>60.0</v>
      </c>
      <c r="I88" s="101">
        <v>30.0</v>
      </c>
      <c r="J88" s="101">
        <v>50.0</v>
      </c>
      <c r="K88" s="101">
        <v>70.0</v>
      </c>
      <c r="L88" s="101">
        <v>7.0</v>
      </c>
      <c r="M88" s="101">
        <v>2.0</v>
      </c>
      <c r="N88" s="101">
        <v>10.0</v>
      </c>
      <c r="O88" s="101">
        <v>2.0</v>
      </c>
      <c r="R88" s="101">
        <f t="shared" si="1"/>
        <v>21</v>
      </c>
      <c r="S88" s="103">
        <v>3.0</v>
      </c>
      <c r="T88" s="103">
        <v>3.0</v>
      </c>
      <c r="U88" s="36"/>
      <c r="V88" s="36"/>
      <c r="W88" s="36"/>
      <c r="X88" s="36"/>
      <c r="Y88" s="101">
        <f t="shared" si="2"/>
        <v>6</v>
      </c>
      <c r="Z88" s="101">
        <v>3.0</v>
      </c>
      <c r="AA88" s="101">
        <v>10.0</v>
      </c>
      <c r="AF88" s="101">
        <f t="shared" si="3"/>
        <v>13</v>
      </c>
      <c r="AG88" s="36"/>
      <c r="AH88" s="36"/>
      <c r="AI88" s="103">
        <v>4.0</v>
      </c>
      <c r="AJ88" s="36" t="s">
        <v>202</v>
      </c>
      <c r="AK88" s="36"/>
      <c r="AL88" s="36"/>
      <c r="AM88" s="101">
        <f t="shared" si="4"/>
        <v>4</v>
      </c>
      <c r="AN88" s="36"/>
      <c r="AO88" s="36"/>
      <c r="AP88" s="103">
        <v>5.0</v>
      </c>
      <c r="AQ88" s="103">
        <v>1.0</v>
      </c>
      <c r="AR88" s="36"/>
      <c r="AS88" s="36"/>
      <c r="AT88" s="101">
        <f t="shared" si="5"/>
        <v>6</v>
      </c>
      <c r="AU88" s="36"/>
      <c r="AV88" s="103">
        <v>2.0</v>
      </c>
      <c r="AW88" s="103">
        <v>3.0</v>
      </c>
      <c r="AX88" s="36"/>
      <c r="AY88" s="36"/>
      <c r="AZ88" s="36"/>
      <c r="BA88" s="101">
        <f t="shared" si="6"/>
        <v>5</v>
      </c>
      <c r="BB88" s="36"/>
      <c r="BC88" s="36"/>
      <c r="BD88" s="36"/>
      <c r="BE88" s="36"/>
      <c r="BF88" s="36"/>
      <c r="BG88" s="36"/>
      <c r="BH88" s="101">
        <f t="shared" si="7"/>
        <v>0</v>
      </c>
      <c r="BI88" s="36"/>
      <c r="BJ88" s="36"/>
      <c r="BK88" s="36"/>
      <c r="BL88" s="36"/>
      <c r="BM88" s="36"/>
      <c r="BN88" s="36"/>
      <c r="BO88" s="101">
        <f t="shared" si="8"/>
        <v>0</v>
      </c>
      <c r="BP88" s="36"/>
      <c r="BQ88" s="103">
        <v>2.0</v>
      </c>
      <c r="BR88" s="103">
        <v>1.0</v>
      </c>
      <c r="BS88" s="36"/>
      <c r="BT88" s="36"/>
      <c r="BU88" s="36"/>
      <c r="BV88" s="101">
        <f t="shared" si="9"/>
        <v>3</v>
      </c>
      <c r="BW88" s="36"/>
      <c r="BX88" s="36"/>
      <c r="BY88" s="36"/>
      <c r="BZ88" s="36"/>
      <c r="CA88" s="36"/>
      <c r="CB88" s="36"/>
      <c r="CC88" s="101">
        <f t="shared" si="10"/>
        <v>0</v>
      </c>
      <c r="CD88" s="36"/>
      <c r="CE88" s="36"/>
      <c r="CF88" s="36"/>
      <c r="CG88" s="36"/>
      <c r="CH88" s="36"/>
      <c r="CI88" s="36"/>
      <c r="CJ88" s="101">
        <f t="shared" si="11"/>
        <v>0</v>
      </c>
      <c r="CQ88" s="101">
        <f t="shared" si="12"/>
        <v>0</v>
      </c>
      <c r="CR88" s="36"/>
      <c r="CS88" s="36"/>
      <c r="CT88" s="36"/>
      <c r="CU88" s="36"/>
      <c r="CV88" s="36"/>
      <c r="CW88" s="36"/>
      <c r="CX88" s="101">
        <f t="shared" si="13"/>
        <v>0</v>
      </c>
      <c r="CY88" s="36"/>
      <c r="CZ88" s="36"/>
      <c r="DA88" s="36"/>
      <c r="DB88" s="36"/>
      <c r="DC88" s="36"/>
      <c r="DD88" s="36"/>
      <c r="DE88" s="101">
        <f t="shared" si="14"/>
        <v>0</v>
      </c>
      <c r="DF88" s="36"/>
      <c r="DG88" s="36"/>
      <c r="DH88" s="36" t="s">
        <v>203</v>
      </c>
      <c r="DI88" s="36"/>
      <c r="DJ88" s="36"/>
      <c r="DK88" s="36"/>
      <c r="DL88" s="101">
        <f t="shared" si="15"/>
        <v>0</v>
      </c>
      <c r="DS88" s="101">
        <f t="shared" si="16"/>
        <v>0</v>
      </c>
      <c r="DZ88" s="101">
        <f t="shared" si="17"/>
        <v>0</v>
      </c>
    </row>
    <row r="89">
      <c r="A89" s="102">
        <v>45751.0</v>
      </c>
      <c r="B89" s="101" t="s">
        <v>45</v>
      </c>
      <c r="C89" s="101">
        <v>10.5</v>
      </c>
      <c r="D89" s="101">
        <v>12.2</v>
      </c>
      <c r="E89" s="101">
        <v>29.0</v>
      </c>
      <c r="F89" s="101">
        <v>60.0</v>
      </c>
      <c r="G89" s="101">
        <v>40.0</v>
      </c>
      <c r="H89" s="101">
        <v>60.0</v>
      </c>
      <c r="I89" s="101">
        <v>80.0</v>
      </c>
      <c r="J89" s="101">
        <v>20.0</v>
      </c>
      <c r="K89" s="101">
        <v>40.0</v>
      </c>
      <c r="L89" s="101">
        <v>4.0</v>
      </c>
      <c r="M89" s="101">
        <v>24.0</v>
      </c>
      <c r="N89" s="101">
        <v>11.0</v>
      </c>
      <c r="R89" s="101">
        <f t="shared" si="1"/>
        <v>39</v>
      </c>
      <c r="S89" s="103">
        <v>6.0</v>
      </c>
      <c r="T89" s="103">
        <v>1.0</v>
      </c>
      <c r="U89" s="36"/>
      <c r="V89" s="36"/>
      <c r="W89" s="36"/>
      <c r="X89" s="36"/>
      <c r="Y89" s="101">
        <f t="shared" si="2"/>
        <v>7</v>
      </c>
      <c r="Z89" s="101">
        <v>4.0</v>
      </c>
      <c r="AA89" s="101">
        <v>17.0</v>
      </c>
      <c r="AF89" s="101">
        <f t="shared" si="3"/>
        <v>21</v>
      </c>
      <c r="AG89" s="36"/>
      <c r="AH89" s="36"/>
      <c r="AI89" s="103">
        <v>20.0</v>
      </c>
      <c r="AJ89" s="103">
        <v>1.0</v>
      </c>
      <c r="AK89" s="36"/>
      <c r="AL89" s="36"/>
      <c r="AM89" s="101">
        <f t="shared" si="4"/>
        <v>21</v>
      </c>
      <c r="AN89" s="36"/>
      <c r="AO89" s="36"/>
      <c r="AP89" s="36"/>
      <c r="AQ89" s="36"/>
      <c r="AR89" s="36"/>
      <c r="AS89" s="36"/>
      <c r="AT89" s="101">
        <f t="shared" si="5"/>
        <v>0</v>
      </c>
      <c r="AU89" s="36"/>
      <c r="AV89" s="36"/>
      <c r="AW89" s="36"/>
      <c r="AX89" s="36"/>
      <c r="AY89" s="36"/>
      <c r="AZ89" s="36"/>
      <c r="BA89" s="101">
        <f t="shared" si="6"/>
        <v>0</v>
      </c>
      <c r="BB89" s="36"/>
      <c r="BC89" s="36"/>
      <c r="BD89" s="36"/>
      <c r="BE89" s="103">
        <v>1.0</v>
      </c>
      <c r="BF89" s="36"/>
      <c r="BG89" s="36"/>
      <c r="BH89" s="101">
        <f t="shared" si="7"/>
        <v>1</v>
      </c>
      <c r="BI89" s="36"/>
      <c r="BJ89" s="36"/>
      <c r="BK89" s="36"/>
      <c r="BL89" s="36"/>
      <c r="BM89" s="36"/>
      <c r="BN89" s="36"/>
      <c r="BO89" s="101">
        <f t="shared" si="8"/>
        <v>0</v>
      </c>
      <c r="BP89" s="36"/>
      <c r="BQ89" s="36"/>
      <c r="BR89" s="103">
        <v>3.0</v>
      </c>
      <c r="BS89" s="36"/>
      <c r="BT89" s="36"/>
      <c r="BU89" s="36"/>
      <c r="BV89" s="101">
        <f t="shared" si="9"/>
        <v>3</v>
      </c>
      <c r="BW89" s="36"/>
      <c r="BX89" s="36"/>
      <c r="BY89" s="36"/>
      <c r="BZ89" s="36"/>
      <c r="CA89" s="36"/>
      <c r="CB89" s="36"/>
      <c r="CC89" s="101">
        <f t="shared" si="10"/>
        <v>0</v>
      </c>
      <c r="CD89" s="36"/>
      <c r="CE89" s="36"/>
      <c r="CF89" s="36"/>
      <c r="CG89" s="36"/>
      <c r="CH89" s="36"/>
      <c r="CI89" s="36"/>
      <c r="CJ89" s="101">
        <f t="shared" si="11"/>
        <v>0</v>
      </c>
      <c r="CQ89" s="101">
        <f t="shared" si="12"/>
        <v>0</v>
      </c>
      <c r="CR89" s="36"/>
      <c r="CS89" s="36"/>
      <c r="CT89" s="36"/>
      <c r="CU89" s="36"/>
      <c r="CV89" s="36"/>
      <c r="CW89" s="36"/>
      <c r="CX89" s="101">
        <f t="shared" si="13"/>
        <v>0</v>
      </c>
      <c r="CY89" s="36"/>
      <c r="CZ89" s="36"/>
      <c r="DA89" s="36"/>
      <c r="DB89" s="36"/>
      <c r="DC89" s="36"/>
      <c r="DD89" s="36"/>
      <c r="DE89" s="101">
        <f t="shared" si="14"/>
        <v>0</v>
      </c>
      <c r="DF89" s="36"/>
      <c r="DG89" s="36"/>
      <c r="DH89" s="36" t="s">
        <v>204</v>
      </c>
      <c r="DI89" s="36"/>
      <c r="DJ89" s="36"/>
      <c r="DK89" s="36"/>
      <c r="DL89" s="101">
        <f t="shared" si="15"/>
        <v>0</v>
      </c>
      <c r="DS89" s="101">
        <f t="shared" si="16"/>
        <v>0</v>
      </c>
      <c r="DZ89" s="101">
        <f t="shared" si="17"/>
        <v>0</v>
      </c>
    </row>
    <row r="90">
      <c r="A90" s="102">
        <v>45754.0</v>
      </c>
      <c r="B90" s="101" t="s">
        <v>42</v>
      </c>
      <c r="C90" s="101">
        <v>10.2</v>
      </c>
      <c r="D90" s="101">
        <v>8.4</v>
      </c>
      <c r="E90" s="101">
        <v>29.0</v>
      </c>
      <c r="F90" s="101">
        <v>40.0</v>
      </c>
      <c r="G90" s="101">
        <v>20.0</v>
      </c>
      <c r="H90" s="101">
        <v>20.0</v>
      </c>
      <c r="I90" s="101">
        <v>20.0</v>
      </c>
      <c r="J90" s="101">
        <v>30.0</v>
      </c>
      <c r="K90" s="101">
        <v>40.0</v>
      </c>
      <c r="L90" s="101">
        <v>16.0</v>
      </c>
      <c r="M90" s="101">
        <v>17.0</v>
      </c>
      <c r="N90" s="101">
        <v>5.0</v>
      </c>
      <c r="O90" s="101">
        <v>2.0</v>
      </c>
      <c r="R90" s="101">
        <f t="shared" si="1"/>
        <v>40</v>
      </c>
      <c r="S90" s="36"/>
      <c r="T90" s="103">
        <v>2.0</v>
      </c>
      <c r="U90" s="36"/>
      <c r="V90" s="36"/>
      <c r="W90" s="36"/>
      <c r="X90" s="36"/>
      <c r="Y90" s="101">
        <f t="shared" si="2"/>
        <v>2</v>
      </c>
      <c r="Z90" s="101">
        <v>9.0</v>
      </c>
      <c r="AA90" s="101">
        <v>6.0</v>
      </c>
      <c r="AF90" s="101">
        <f t="shared" si="3"/>
        <v>15</v>
      </c>
      <c r="AG90" s="36"/>
      <c r="AH90" s="36"/>
      <c r="AI90" s="36"/>
      <c r="AJ90" s="36"/>
      <c r="AK90" s="36"/>
      <c r="AL90" s="36"/>
      <c r="AM90" s="101">
        <f t="shared" si="4"/>
        <v>0</v>
      </c>
      <c r="AN90" s="36"/>
      <c r="AO90" s="36"/>
      <c r="AP90" s="36"/>
      <c r="AQ90" s="36"/>
      <c r="AR90" s="36"/>
      <c r="AS90" s="36"/>
      <c r="AT90" s="101">
        <f t="shared" si="5"/>
        <v>0</v>
      </c>
      <c r="AU90" s="36"/>
      <c r="AV90" s="36"/>
      <c r="AW90" s="103">
        <v>1.0</v>
      </c>
      <c r="AX90" s="36"/>
      <c r="AY90" s="36"/>
      <c r="AZ90" s="36"/>
      <c r="BA90" s="101">
        <f t="shared" si="6"/>
        <v>1</v>
      </c>
      <c r="BB90" s="36"/>
      <c r="BC90" s="36"/>
      <c r="BD90" s="103">
        <v>1.0</v>
      </c>
      <c r="BE90" s="36"/>
      <c r="BF90" s="36"/>
      <c r="BG90" s="36"/>
      <c r="BH90" s="101">
        <f t="shared" si="7"/>
        <v>1</v>
      </c>
      <c r="BI90" s="36"/>
      <c r="BJ90" s="103">
        <v>2.0</v>
      </c>
      <c r="BK90" s="103">
        <v>1.0</v>
      </c>
      <c r="BL90" s="36"/>
      <c r="BM90" s="36"/>
      <c r="BN90" s="36"/>
      <c r="BO90" s="101">
        <f t="shared" si="8"/>
        <v>3</v>
      </c>
      <c r="BP90" s="103">
        <v>1.0</v>
      </c>
      <c r="BQ90" s="103">
        <v>2.0</v>
      </c>
      <c r="BR90" s="103">
        <v>1.0</v>
      </c>
      <c r="BS90" s="103">
        <v>1.0</v>
      </c>
      <c r="BT90" s="36"/>
      <c r="BU90" s="36"/>
      <c r="BV90" s="101">
        <f t="shared" si="9"/>
        <v>5</v>
      </c>
      <c r="BW90" s="36"/>
      <c r="BX90" s="36"/>
      <c r="BY90" s="36"/>
      <c r="BZ90" s="36"/>
      <c r="CA90" s="36"/>
      <c r="CB90" s="36"/>
      <c r="CC90" s="101">
        <f t="shared" si="10"/>
        <v>0</v>
      </c>
      <c r="CD90" s="36"/>
      <c r="CE90" s="36"/>
      <c r="CF90" s="36"/>
      <c r="CG90" s="36"/>
      <c r="CH90" s="36"/>
      <c r="CI90" s="36"/>
      <c r="CJ90" s="101">
        <f t="shared" si="11"/>
        <v>0</v>
      </c>
      <c r="CQ90" s="101">
        <f t="shared" si="12"/>
        <v>0</v>
      </c>
      <c r="CR90" s="36"/>
      <c r="CS90" s="36"/>
      <c r="CT90" s="36"/>
      <c r="CU90" s="36"/>
      <c r="CV90" s="36"/>
      <c r="CW90" s="36"/>
      <c r="CX90" s="101">
        <f t="shared" si="13"/>
        <v>0</v>
      </c>
      <c r="CY90" s="36"/>
      <c r="CZ90" s="36"/>
      <c r="DA90" s="36"/>
      <c r="DB90" s="36"/>
      <c r="DC90" s="36"/>
      <c r="DD90" s="36"/>
      <c r="DE90" s="101">
        <f t="shared" si="14"/>
        <v>0</v>
      </c>
      <c r="DF90" s="36"/>
      <c r="DG90" s="36"/>
      <c r="DH90" s="36"/>
      <c r="DI90" s="36"/>
      <c r="DJ90" s="36"/>
      <c r="DK90" s="36"/>
      <c r="DL90" s="101">
        <f t="shared" si="15"/>
        <v>0</v>
      </c>
      <c r="DS90" s="101">
        <f t="shared" si="16"/>
        <v>0</v>
      </c>
      <c r="DZ90" s="101">
        <f t="shared" si="17"/>
        <v>0</v>
      </c>
    </row>
    <row r="91">
      <c r="A91" s="102">
        <v>45755.0</v>
      </c>
      <c r="B91" s="101" t="s">
        <v>65</v>
      </c>
      <c r="C91" s="101">
        <v>13.2</v>
      </c>
      <c r="D91" s="101">
        <v>10.0</v>
      </c>
      <c r="E91" s="101">
        <v>29.0</v>
      </c>
      <c r="F91" s="101">
        <v>20.0</v>
      </c>
      <c r="G91" s="101">
        <v>70.0</v>
      </c>
      <c r="H91" s="101">
        <v>60.0</v>
      </c>
      <c r="I91" s="101">
        <v>30.0</v>
      </c>
      <c r="J91" s="101">
        <v>50.0</v>
      </c>
      <c r="K91" s="101">
        <v>40.0</v>
      </c>
      <c r="L91" s="101" t="s">
        <v>202</v>
      </c>
      <c r="M91" s="101">
        <v>12.0</v>
      </c>
      <c r="N91" s="101">
        <v>3.0</v>
      </c>
      <c r="R91" s="101">
        <f t="shared" si="1"/>
        <v>15</v>
      </c>
      <c r="S91" s="36"/>
      <c r="T91" s="103">
        <v>1.0</v>
      </c>
      <c r="U91" s="36"/>
      <c r="V91" s="36"/>
      <c r="W91" s="36"/>
      <c r="X91" s="36"/>
      <c r="Y91" s="101">
        <f t="shared" si="2"/>
        <v>1</v>
      </c>
      <c r="Z91" s="101">
        <v>5.0</v>
      </c>
      <c r="AA91" s="101">
        <v>3.0</v>
      </c>
      <c r="AF91" s="101">
        <f t="shared" si="3"/>
        <v>8</v>
      </c>
      <c r="AG91" s="36"/>
      <c r="AH91" s="36"/>
      <c r="AI91" s="103">
        <v>1.0</v>
      </c>
      <c r="AJ91" s="103">
        <v>1.0</v>
      </c>
      <c r="AK91" s="36"/>
      <c r="AL91" s="36"/>
      <c r="AM91" s="101">
        <f t="shared" si="4"/>
        <v>2</v>
      </c>
      <c r="AN91" s="36"/>
      <c r="AO91" s="36"/>
      <c r="AP91" s="36"/>
      <c r="AQ91" s="103">
        <v>2.0</v>
      </c>
      <c r="AR91" s="36"/>
      <c r="AS91" s="36"/>
      <c r="AT91" s="101">
        <f t="shared" si="5"/>
        <v>2</v>
      </c>
      <c r="AU91" s="36"/>
      <c r="AV91" s="103">
        <v>1.0</v>
      </c>
      <c r="AW91" s="36"/>
      <c r="AX91" s="36"/>
      <c r="AY91" s="36"/>
      <c r="AZ91" s="36"/>
      <c r="BA91" s="101">
        <f t="shared" si="6"/>
        <v>1</v>
      </c>
      <c r="BB91" s="36"/>
      <c r="BC91" s="36"/>
      <c r="BD91" s="36"/>
      <c r="BE91" s="36"/>
      <c r="BF91" s="36"/>
      <c r="BG91" s="36"/>
      <c r="BH91" s="101">
        <f t="shared" si="7"/>
        <v>0</v>
      </c>
      <c r="BI91" s="36"/>
      <c r="BJ91" s="103">
        <v>1.0</v>
      </c>
      <c r="BK91" s="36"/>
      <c r="BL91" s="103">
        <v>1.0</v>
      </c>
      <c r="BM91" s="36"/>
      <c r="BN91" s="36"/>
      <c r="BO91" s="101">
        <f t="shared" si="8"/>
        <v>2</v>
      </c>
      <c r="BP91" s="36"/>
      <c r="BQ91" s="36"/>
      <c r="BR91" s="103">
        <v>1.0</v>
      </c>
      <c r="BS91" s="36"/>
      <c r="BT91" s="36"/>
      <c r="BU91" s="36"/>
      <c r="BV91" s="101">
        <f t="shared" si="9"/>
        <v>1</v>
      </c>
      <c r="BW91" s="36"/>
      <c r="BX91" s="36"/>
      <c r="BY91" s="36"/>
      <c r="BZ91" s="36"/>
      <c r="CA91" s="36"/>
      <c r="CB91" s="36"/>
      <c r="CC91" s="101">
        <f t="shared" si="10"/>
        <v>0</v>
      </c>
      <c r="CD91" s="36"/>
      <c r="CE91" s="36"/>
      <c r="CF91" s="36"/>
      <c r="CG91" s="36"/>
      <c r="CH91" s="36"/>
      <c r="CI91" s="36"/>
      <c r="CJ91" s="101">
        <f t="shared" si="11"/>
        <v>0</v>
      </c>
      <c r="CQ91" s="101">
        <f t="shared" si="12"/>
        <v>0</v>
      </c>
      <c r="CR91" s="36"/>
      <c r="CS91" s="36"/>
      <c r="CT91" s="103">
        <v>1.0</v>
      </c>
      <c r="CU91" s="36"/>
      <c r="CV91" s="36"/>
      <c r="CW91" s="36"/>
      <c r="CX91" s="101">
        <f t="shared" si="13"/>
        <v>1</v>
      </c>
      <c r="CY91" s="36"/>
      <c r="CZ91" s="36"/>
      <c r="DA91" s="36"/>
      <c r="DB91" s="36"/>
      <c r="DC91" s="36"/>
      <c r="DD91" s="36"/>
      <c r="DE91" s="101">
        <f t="shared" si="14"/>
        <v>0</v>
      </c>
      <c r="DF91" s="36"/>
      <c r="DG91" s="36"/>
      <c r="DH91" s="36"/>
      <c r="DI91" s="36"/>
      <c r="DJ91" s="36"/>
      <c r="DK91" s="36"/>
      <c r="DL91" s="101">
        <f t="shared" si="15"/>
        <v>0</v>
      </c>
      <c r="DS91" s="101">
        <f t="shared" si="16"/>
        <v>0</v>
      </c>
      <c r="DZ91" s="101">
        <f t="shared" si="17"/>
        <v>0</v>
      </c>
    </row>
    <row r="92">
      <c r="A92" s="102">
        <v>45755.0</v>
      </c>
      <c r="B92" s="101" t="s">
        <v>45</v>
      </c>
      <c r="C92" s="101">
        <v>10.0</v>
      </c>
      <c r="D92" s="101">
        <v>11.0</v>
      </c>
      <c r="E92" s="101">
        <v>29.0</v>
      </c>
      <c r="F92" s="101">
        <v>30.0</v>
      </c>
      <c r="G92" s="101">
        <v>20.0</v>
      </c>
      <c r="H92" s="101">
        <v>0.0</v>
      </c>
      <c r="I92" s="101">
        <v>20.0</v>
      </c>
      <c r="J92" s="101">
        <v>10.0</v>
      </c>
      <c r="K92" s="101">
        <v>70.0</v>
      </c>
      <c r="L92" s="101">
        <v>38.0</v>
      </c>
      <c r="M92" s="101">
        <v>13.0</v>
      </c>
      <c r="N92" s="101">
        <v>6.0</v>
      </c>
      <c r="O92" s="101">
        <v>2.0</v>
      </c>
      <c r="R92" s="101">
        <f t="shared" si="1"/>
        <v>59</v>
      </c>
      <c r="S92" s="103">
        <v>6.0</v>
      </c>
      <c r="T92" s="103">
        <v>1.0</v>
      </c>
      <c r="U92" s="36"/>
      <c r="V92" s="36"/>
      <c r="W92" s="36"/>
      <c r="X92" s="36"/>
      <c r="Y92" s="101">
        <f t="shared" si="2"/>
        <v>7</v>
      </c>
      <c r="Z92" s="101">
        <v>21.0</v>
      </c>
      <c r="AA92" s="101">
        <v>3.0</v>
      </c>
      <c r="AF92" s="101">
        <f t="shared" si="3"/>
        <v>24</v>
      </c>
      <c r="AG92" s="36"/>
      <c r="AH92" s="36"/>
      <c r="AI92" s="36"/>
      <c r="AJ92" s="36"/>
      <c r="AK92" s="36"/>
      <c r="AL92" s="36"/>
      <c r="AM92" s="101">
        <f t="shared" si="4"/>
        <v>0</v>
      </c>
      <c r="AN92" s="36"/>
      <c r="AO92" s="36"/>
      <c r="AP92" s="103">
        <v>1.0</v>
      </c>
      <c r="AQ92" s="36"/>
      <c r="AR92" s="36"/>
      <c r="AS92" s="36"/>
      <c r="AT92" s="101">
        <f t="shared" si="5"/>
        <v>1</v>
      </c>
      <c r="AU92" s="36"/>
      <c r="AV92" s="36"/>
      <c r="AW92" s="103">
        <v>2.0</v>
      </c>
      <c r="AX92" s="36"/>
      <c r="AY92" s="36"/>
      <c r="AZ92" s="36"/>
      <c r="BA92" s="101">
        <f t="shared" si="6"/>
        <v>2</v>
      </c>
      <c r="BB92" s="36"/>
      <c r="BC92" s="36"/>
      <c r="BD92" s="103">
        <v>1.0</v>
      </c>
      <c r="BE92" s="36"/>
      <c r="BF92" s="36"/>
      <c r="BG92" s="36"/>
      <c r="BH92" s="101">
        <f t="shared" si="7"/>
        <v>1</v>
      </c>
      <c r="BI92" s="36"/>
      <c r="BJ92" s="36"/>
      <c r="BK92" s="36"/>
      <c r="BL92" s="36"/>
      <c r="BM92" s="36"/>
      <c r="BN92" s="36"/>
      <c r="BO92" s="101">
        <f t="shared" si="8"/>
        <v>0</v>
      </c>
      <c r="BP92" s="36"/>
      <c r="BQ92" s="36"/>
      <c r="BR92" s="103">
        <v>2.0</v>
      </c>
      <c r="BS92" s="36"/>
      <c r="BT92" s="36"/>
      <c r="BU92" s="36"/>
      <c r="BV92" s="101">
        <f t="shared" si="9"/>
        <v>2</v>
      </c>
      <c r="BW92" s="36"/>
      <c r="BX92" s="36"/>
      <c r="BY92" s="36"/>
      <c r="BZ92" s="36"/>
      <c r="CA92" s="36"/>
      <c r="CB92" s="36"/>
      <c r="CC92" s="101">
        <f t="shared" si="10"/>
        <v>0</v>
      </c>
      <c r="CD92" s="36"/>
      <c r="CE92" s="36"/>
      <c r="CF92" s="36"/>
      <c r="CG92" s="36"/>
      <c r="CH92" s="36"/>
      <c r="CI92" s="36"/>
      <c r="CJ92" s="101">
        <f t="shared" si="11"/>
        <v>0</v>
      </c>
      <c r="CQ92" s="101">
        <f t="shared" si="12"/>
        <v>0</v>
      </c>
      <c r="CR92" s="36"/>
      <c r="CS92" s="36"/>
      <c r="CT92" s="103">
        <v>1.0</v>
      </c>
      <c r="CU92" s="36"/>
      <c r="CV92" s="36"/>
      <c r="CW92" s="36"/>
      <c r="CX92" s="101">
        <f t="shared" si="13"/>
        <v>1</v>
      </c>
      <c r="CY92" s="36"/>
      <c r="CZ92" s="36"/>
      <c r="DA92" s="36"/>
      <c r="DB92" s="36"/>
      <c r="DC92" s="36"/>
      <c r="DD92" s="36"/>
      <c r="DE92" s="101">
        <f t="shared" si="14"/>
        <v>0</v>
      </c>
      <c r="DF92" s="36"/>
      <c r="DG92" s="36"/>
      <c r="DH92" s="103">
        <v>1.0</v>
      </c>
      <c r="DI92" s="36"/>
      <c r="DJ92" s="36"/>
      <c r="DK92" s="36"/>
      <c r="DL92" s="101">
        <f t="shared" si="15"/>
        <v>1</v>
      </c>
      <c r="DS92" s="101">
        <f t="shared" si="16"/>
        <v>0</v>
      </c>
      <c r="DZ92" s="101">
        <f t="shared" si="17"/>
        <v>0</v>
      </c>
    </row>
    <row r="93">
      <c r="A93" s="102">
        <v>45756.0</v>
      </c>
      <c r="B93" s="101" t="s">
        <v>42</v>
      </c>
      <c r="C93" s="101">
        <v>5.0</v>
      </c>
      <c r="D93" s="101">
        <v>5.4</v>
      </c>
      <c r="E93" s="101">
        <v>29.0</v>
      </c>
      <c r="F93" s="101">
        <v>10.0</v>
      </c>
      <c r="G93" s="101">
        <v>0.0</v>
      </c>
      <c r="H93" s="101">
        <v>20.0</v>
      </c>
      <c r="I93" s="101">
        <v>20.0</v>
      </c>
      <c r="J93" s="101">
        <v>30.0</v>
      </c>
      <c r="K93" s="101">
        <v>10.0</v>
      </c>
      <c r="L93" s="101">
        <v>21.0</v>
      </c>
      <c r="M93" s="101">
        <v>17.0</v>
      </c>
      <c r="N93" s="101">
        <v>8.0</v>
      </c>
      <c r="O93" s="101">
        <v>1.0</v>
      </c>
      <c r="R93" s="101">
        <f t="shared" si="1"/>
        <v>47</v>
      </c>
      <c r="S93" s="103">
        <v>11.0</v>
      </c>
      <c r="T93" s="103">
        <v>2.0</v>
      </c>
      <c r="U93" s="36"/>
      <c r="V93" s="36"/>
      <c r="W93" s="36"/>
      <c r="X93" s="36"/>
      <c r="Y93" s="101">
        <f t="shared" si="2"/>
        <v>13</v>
      </c>
      <c r="Z93" s="101">
        <v>6.0</v>
      </c>
      <c r="AA93" s="101">
        <v>7.0</v>
      </c>
      <c r="AF93" s="101">
        <f t="shared" si="3"/>
        <v>13</v>
      </c>
      <c r="AG93" s="36"/>
      <c r="AH93" s="36"/>
      <c r="AI93" s="103">
        <v>14.0</v>
      </c>
      <c r="AJ93" s="103">
        <v>2.0</v>
      </c>
      <c r="AK93" s="36"/>
      <c r="AL93" s="36"/>
      <c r="AM93" s="101">
        <f t="shared" si="4"/>
        <v>16</v>
      </c>
      <c r="AN93" s="36"/>
      <c r="AO93" s="103">
        <v>5.0</v>
      </c>
      <c r="AP93" s="103">
        <v>9.0</v>
      </c>
      <c r="AQ93" s="103">
        <v>2.0</v>
      </c>
      <c r="AR93" s="36"/>
      <c r="AS93" s="36"/>
      <c r="AT93" s="101">
        <f t="shared" si="5"/>
        <v>16</v>
      </c>
      <c r="AU93" s="36"/>
      <c r="AV93" s="36"/>
      <c r="AW93" s="36"/>
      <c r="AX93" s="36"/>
      <c r="AY93" s="36"/>
      <c r="AZ93" s="36"/>
      <c r="BA93" s="101">
        <f t="shared" si="6"/>
        <v>0</v>
      </c>
      <c r="BB93" s="36"/>
      <c r="BC93" s="36"/>
      <c r="BD93" s="36"/>
      <c r="BE93" s="36"/>
      <c r="BF93" s="36"/>
      <c r="BG93" s="36"/>
      <c r="BH93" s="101">
        <f t="shared" si="7"/>
        <v>0</v>
      </c>
      <c r="BI93" s="36"/>
      <c r="BJ93" s="36"/>
      <c r="BK93" s="36"/>
      <c r="BL93" s="36"/>
      <c r="BM93" s="36"/>
      <c r="BN93" s="36"/>
      <c r="BO93" s="101">
        <f t="shared" si="8"/>
        <v>0</v>
      </c>
      <c r="BP93" s="36"/>
      <c r="BQ93" s="36"/>
      <c r="BR93" s="36"/>
      <c r="BS93" s="36"/>
      <c r="BT93" s="36"/>
      <c r="BU93" s="36"/>
      <c r="BV93" s="101">
        <f t="shared" si="9"/>
        <v>0</v>
      </c>
      <c r="BW93" s="36"/>
      <c r="BX93" s="36"/>
      <c r="BY93" s="36"/>
      <c r="BZ93" s="36"/>
      <c r="CA93" s="36"/>
      <c r="CB93" s="36"/>
      <c r="CC93" s="101">
        <f t="shared" si="10"/>
        <v>0</v>
      </c>
      <c r="CD93" s="36"/>
      <c r="CE93" s="36"/>
      <c r="CF93" s="36"/>
      <c r="CG93" s="36"/>
      <c r="CH93" s="36"/>
      <c r="CI93" s="36"/>
      <c r="CJ93" s="101">
        <f t="shared" si="11"/>
        <v>0</v>
      </c>
      <c r="CQ93" s="101">
        <f t="shared" si="12"/>
        <v>0</v>
      </c>
      <c r="CR93" s="36"/>
      <c r="CS93" s="36"/>
      <c r="CT93" s="36"/>
      <c r="CU93" s="36"/>
      <c r="CV93" s="36"/>
      <c r="CW93" s="36"/>
      <c r="CX93" s="101">
        <f t="shared" si="13"/>
        <v>0</v>
      </c>
      <c r="CY93" s="36"/>
      <c r="CZ93" s="36"/>
      <c r="DA93" s="36"/>
      <c r="DB93" s="36"/>
      <c r="DC93" s="36"/>
      <c r="DD93" s="36"/>
      <c r="DE93" s="101">
        <f t="shared" si="14"/>
        <v>0</v>
      </c>
      <c r="DF93" s="36"/>
      <c r="DG93" s="36"/>
      <c r="DH93" s="36"/>
      <c r="DI93" s="36"/>
      <c r="DJ93" s="36"/>
      <c r="DK93" s="36"/>
      <c r="DL93" s="101">
        <f t="shared" si="15"/>
        <v>0</v>
      </c>
      <c r="DS93" s="101">
        <f t="shared" si="16"/>
        <v>0</v>
      </c>
      <c r="DZ93" s="101">
        <f t="shared" si="17"/>
        <v>0</v>
      </c>
    </row>
    <row r="94">
      <c r="A94" s="102">
        <v>45756.0</v>
      </c>
      <c r="B94" s="101" t="s">
        <v>45</v>
      </c>
      <c r="C94" s="101">
        <v>9.9</v>
      </c>
      <c r="D94" s="101">
        <v>11.0</v>
      </c>
      <c r="E94" s="101">
        <v>29.0</v>
      </c>
      <c r="F94" s="101">
        <v>40.0</v>
      </c>
      <c r="G94" s="101">
        <v>40.0</v>
      </c>
      <c r="H94" s="101">
        <v>20.0</v>
      </c>
      <c r="I94" s="101">
        <v>10.0</v>
      </c>
      <c r="J94" s="101">
        <v>30.0</v>
      </c>
      <c r="K94" s="101">
        <v>50.0</v>
      </c>
      <c r="L94" s="101">
        <v>24.0</v>
      </c>
      <c r="M94" s="101">
        <v>18.0</v>
      </c>
      <c r="N94" s="101">
        <v>3.0</v>
      </c>
      <c r="R94" s="101">
        <f t="shared" si="1"/>
        <v>45</v>
      </c>
      <c r="S94" s="103">
        <v>4.0</v>
      </c>
      <c r="T94" s="103">
        <v>2.0</v>
      </c>
      <c r="U94" s="36"/>
      <c r="V94" s="36"/>
      <c r="W94" s="36"/>
      <c r="X94" s="36"/>
      <c r="Y94" s="101">
        <f t="shared" si="2"/>
        <v>6</v>
      </c>
      <c r="Z94" s="101">
        <v>21.0</v>
      </c>
      <c r="AA94" s="101">
        <v>1.0</v>
      </c>
      <c r="AF94" s="101">
        <f t="shared" si="3"/>
        <v>22</v>
      </c>
      <c r="AG94" s="36"/>
      <c r="AH94" s="36"/>
      <c r="AI94" s="36"/>
      <c r="AJ94" s="36"/>
      <c r="AK94" s="36"/>
      <c r="AL94" s="36"/>
      <c r="AM94" s="101">
        <f t="shared" si="4"/>
        <v>0</v>
      </c>
      <c r="AN94" s="36"/>
      <c r="AO94" s="36"/>
      <c r="AP94" s="103">
        <v>2.0</v>
      </c>
      <c r="AQ94" s="103">
        <v>1.0</v>
      </c>
      <c r="AR94" s="36"/>
      <c r="AS94" s="36"/>
      <c r="AT94" s="101">
        <f t="shared" si="5"/>
        <v>3</v>
      </c>
      <c r="AU94" s="36"/>
      <c r="AV94" s="36"/>
      <c r="AW94" s="103">
        <v>1.0</v>
      </c>
      <c r="AX94" s="36"/>
      <c r="AY94" s="36"/>
      <c r="AZ94" s="36"/>
      <c r="BA94" s="101">
        <f t="shared" si="6"/>
        <v>1</v>
      </c>
      <c r="BB94" s="36"/>
      <c r="BC94" s="36"/>
      <c r="BD94" s="36"/>
      <c r="BE94" s="103">
        <v>1.0</v>
      </c>
      <c r="BF94" s="36"/>
      <c r="BG94" s="36"/>
      <c r="BH94" s="101">
        <f t="shared" si="7"/>
        <v>1</v>
      </c>
      <c r="BI94" s="103">
        <v>4.0</v>
      </c>
      <c r="BJ94" s="103">
        <v>3.0</v>
      </c>
      <c r="BK94" s="36"/>
      <c r="BL94" s="36"/>
      <c r="BM94" s="36"/>
      <c r="BN94" s="36"/>
      <c r="BO94" s="101">
        <f t="shared" si="8"/>
        <v>7</v>
      </c>
      <c r="BP94" s="36"/>
      <c r="BQ94" s="36"/>
      <c r="BR94" s="103">
        <v>5.0</v>
      </c>
      <c r="BS94" s="36"/>
      <c r="BT94" s="36"/>
      <c r="BU94" s="36"/>
      <c r="BV94" s="101">
        <f t="shared" si="9"/>
        <v>5</v>
      </c>
      <c r="BW94" s="36"/>
      <c r="BX94" s="36"/>
      <c r="BY94" s="36"/>
      <c r="BZ94" s="36"/>
      <c r="CA94" s="36"/>
      <c r="CB94" s="36"/>
      <c r="CC94" s="101">
        <f t="shared" si="10"/>
        <v>0</v>
      </c>
      <c r="CD94" s="36"/>
      <c r="CE94" s="36"/>
      <c r="CF94" s="36"/>
      <c r="CG94" s="36"/>
      <c r="CH94" s="36"/>
      <c r="CI94" s="36"/>
      <c r="CJ94" s="101">
        <f t="shared" si="11"/>
        <v>0</v>
      </c>
      <c r="CQ94" s="101">
        <f t="shared" si="12"/>
        <v>0</v>
      </c>
      <c r="CR94" s="36"/>
      <c r="CS94" s="103">
        <v>1.0</v>
      </c>
      <c r="CT94" s="36"/>
      <c r="CU94" s="36"/>
      <c r="CV94" s="36"/>
      <c r="CW94" s="36"/>
      <c r="CX94" s="101">
        <f t="shared" si="13"/>
        <v>1</v>
      </c>
      <c r="CY94" s="36"/>
      <c r="CZ94" s="36"/>
      <c r="DA94" s="36"/>
      <c r="DB94" s="36"/>
      <c r="DC94" s="36"/>
      <c r="DD94" s="36"/>
      <c r="DE94" s="101">
        <f t="shared" si="14"/>
        <v>0</v>
      </c>
      <c r="DF94" s="36"/>
      <c r="DG94" s="36"/>
      <c r="DH94" s="36"/>
      <c r="DI94" s="36"/>
      <c r="DJ94" s="36"/>
      <c r="DK94" s="36"/>
      <c r="DL94" s="101">
        <f t="shared" si="15"/>
        <v>0</v>
      </c>
      <c r="DS94" s="101">
        <f t="shared" si="16"/>
        <v>0</v>
      </c>
      <c r="DZ94" s="101">
        <f t="shared" si="17"/>
        <v>0</v>
      </c>
    </row>
    <row r="95">
      <c r="A95" s="102">
        <v>45798.0</v>
      </c>
      <c r="B95" s="101" t="s">
        <v>43</v>
      </c>
      <c r="C95" s="101">
        <v>7.7</v>
      </c>
      <c r="D95" s="101">
        <v>9.6</v>
      </c>
      <c r="E95" s="101">
        <v>29.0</v>
      </c>
      <c r="F95" s="101">
        <v>85.0</v>
      </c>
      <c r="G95" s="101">
        <v>90.0</v>
      </c>
      <c r="H95" s="101">
        <v>130.0</v>
      </c>
      <c r="I95" s="101">
        <v>60.0</v>
      </c>
      <c r="J95" s="101">
        <v>130.0</v>
      </c>
      <c r="K95" s="101">
        <v>50.0</v>
      </c>
      <c r="M95" s="101">
        <v>14.0</v>
      </c>
      <c r="N95" s="101">
        <v>9.0</v>
      </c>
      <c r="O95" s="101">
        <v>2.0</v>
      </c>
      <c r="R95" s="101">
        <f t="shared" si="1"/>
        <v>25</v>
      </c>
      <c r="S95" s="103">
        <v>6.0</v>
      </c>
      <c r="T95" s="103">
        <v>3.0</v>
      </c>
      <c r="U95" s="36"/>
      <c r="V95" s="36"/>
      <c r="W95" s="36"/>
      <c r="X95" s="36"/>
      <c r="Y95" s="101">
        <f t="shared" si="2"/>
        <v>9</v>
      </c>
      <c r="Z95" s="101">
        <v>8.0</v>
      </c>
      <c r="AA95" s="101">
        <v>13.0</v>
      </c>
      <c r="AF95" s="101">
        <f t="shared" si="3"/>
        <v>21</v>
      </c>
      <c r="AG95" s="36"/>
      <c r="AH95" s="36"/>
      <c r="AI95" s="103">
        <v>10.0</v>
      </c>
      <c r="AJ95" s="103">
        <v>15.0</v>
      </c>
      <c r="AK95" s="36"/>
      <c r="AL95" s="36"/>
      <c r="AM95" s="101">
        <f t="shared" si="4"/>
        <v>25</v>
      </c>
      <c r="AN95" s="36"/>
      <c r="AO95" s="36"/>
      <c r="AP95" s="103">
        <v>12.0</v>
      </c>
      <c r="AQ95" s="103">
        <v>2.0</v>
      </c>
      <c r="AR95" s="36"/>
      <c r="AS95" s="36"/>
      <c r="AT95" s="101">
        <f t="shared" si="5"/>
        <v>14</v>
      </c>
      <c r="AU95" s="36"/>
      <c r="AV95" s="36"/>
      <c r="AW95" s="103">
        <v>1.0</v>
      </c>
      <c r="AX95" s="36"/>
      <c r="AY95" s="36"/>
      <c r="AZ95" s="36"/>
      <c r="BA95" s="101">
        <f t="shared" si="6"/>
        <v>1</v>
      </c>
      <c r="BB95" s="36"/>
      <c r="BC95" s="36"/>
      <c r="BD95" s="36"/>
      <c r="BE95" s="36"/>
      <c r="BF95" s="36"/>
      <c r="BG95" s="36"/>
      <c r="BH95" s="101">
        <f t="shared" si="7"/>
        <v>0</v>
      </c>
      <c r="BI95" s="36"/>
      <c r="BJ95" s="36"/>
      <c r="BK95" s="36"/>
      <c r="BL95" s="36"/>
      <c r="BM95" s="36"/>
      <c r="BN95" s="36"/>
      <c r="BO95" s="101">
        <f t="shared" si="8"/>
        <v>0</v>
      </c>
      <c r="BP95" s="36"/>
      <c r="BQ95" s="103">
        <v>4.0</v>
      </c>
      <c r="BR95" s="103">
        <v>2.0</v>
      </c>
      <c r="BS95" s="36"/>
      <c r="BT95" s="36"/>
      <c r="BU95" s="36"/>
      <c r="BV95" s="101">
        <f t="shared" si="9"/>
        <v>6</v>
      </c>
      <c r="BW95" s="36"/>
      <c r="BX95" s="36"/>
      <c r="BY95" s="36"/>
      <c r="BZ95" s="36"/>
      <c r="CA95" s="36"/>
      <c r="CB95" s="36"/>
      <c r="CC95" s="101">
        <f t="shared" si="10"/>
        <v>0</v>
      </c>
      <c r="CD95" s="36"/>
      <c r="CE95" s="36"/>
      <c r="CF95" s="36"/>
      <c r="CG95" s="36"/>
      <c r="CH95" s="36"/>
      <c r="CI95" s="36"/>
      <c r="CJ95" s="101">
        <f t="shared" si="11"/>
        <v>0</v>
      </c>
      <c r="CQ95" s="101">
        <f t="shared" si="12"/>
        <v>0</v>
      </c>
      <c r="CR95" s="36"/>
      <c r="CS95" s="36"/>
      <c r="CT95" s="36"/>
      <c r="CU95" s="36"/>
      <c r="CV95" s="36"/>
      <c r="CW95" s="36"/>
      <c r="CX95" s="101">
        <f t="shared" si="13"/>
        <v>0</v>
      </c>
      <c r="CY95" s="36"/>
      <c r="CZ95" s="36"/>
      <c r="DA95" s="36"/>
      <c r="DB95" s="36"/>
      <c r="DC95" s="36"/>
      <c r="DD95" s="36"/>
      <c r="DE95" s="101">
        <f t="shared" si="14"/>
        <v>0</v>
      </c>
      <c r="DF95" s="36"/>
      <c r="DG95" s="36"/>
      <c r="DH95" s="36"/>
      <c r="DI95" s="103">
        <v>23.0</v>
      </c>
      <c r="DJ95" s="36"/>
      <c r="DK95" s="36"/>
      <c r="DL95" s="101">
        <f t="shared" si="15"/>
        <v>23</v>
      </c>
      <c r="DS95" s="101">
        <f t="shared" si="16"/>
        <v>0</v>
      </c>
      <c r="DZ95" s="101">
        <f t="shared" si="17"/>
        <v>0</v>
      </c>
    </row>
    <row r="96">
      <c r="A96" s="102">
        <v>45798.0</v>
      </c>
      <c r="B96" s="101" t="s">
        <v>44</v>
      </c>
      <c r="C96" s="101">
        <v>14.6</v>
      </c>
      <c r="D96" s="101">
        <v>13.6</v>
      </c>
      <c r="E96" s="101">
        <v>29.0</v>
      </c>
      <c r="F96" s="101">
        <v>60.0</v>
      </c>
      <c r="G96" s="101">
        <v>80.0</v>
      </c>
      <c r="H96" s="101">
        <v>120.0</v>
      </c>
      <c r="I96" s="101">
        <v>45.0</v>
      </c>
      <c r="J96" s="101">
        <v>50.0</v>
      </c>
      <c r="K96" s="101">
        <v>90.0</v>
      </c>
      <c r="L96" s="101">
        <v>3.0</v>
      </c>
      <c r="M96" s="101">
        <v>20.0</v>
      </c>
      <c r="N96" s="101">
        <v>5.0</v>
      </c>
      <c r="O96" s="101">
        <v>2.0</v>
      </c>
      <c r="R96" s="101">
        <f t="shared" si="1"/>
        <v>30</v>
      </c>
      <c r="S96" s="103">
        <v>6.0</v>
      </c>
      <c r="T96" s="103">
        <v>4.0</v>
      </c>
      <c r="U96" s="103">
        <v>2.0</v>
      </c>
      <c r="V96" s="36"/>
      <c r="W96" s="36"/>
      <c r="X96" s="36"/>
      <c r="Y96" s="101">
        <f t="shared" si="2"/>
        <v>12</v>
      </c>
      <c r="Z96" s="101">
        <v>4.0</v>
      </c>
      <c r="AA96" s="101">
        <v>13.0</v>
      </c>
      <c r="AB96" s="101">
        <v>1.0</v>
      </c>
      <c r="AF96" s="101">
        <f t="shared" si="3"/>
        <v>18</v>
      </c>
      <c r="AG96" s="36"/>
      <c r="AH96" s="103">
        <v>2.0</v>
      </c>
      <c r="AI96" s="103">
        <v>1.0</v>
      </c>
      <c r="AJ96" s="36"/>
      <c r="AK96" s="36"/>
      <c r="AL96" s="36"/>
      <c r="AM96" s="101">
        <f t="shared" si="4"/>
        <v>3</v>
      </c>
      <c r="AN96" s="36"/>
      <c r="AO96" s="36"/>
      <c r="AP96" s="103">
        <v>19.0</v>
      </c>
      <c r="AQ96" s="103">
        <v>6.0</v>
      </c>
      <c r="AR96" s="36"/>
      <c r="AS96" s="36"/>
      <c r="AT96" s="101">
        <f t="shared" si="5"/>
        <v>25</v>
      </c>
      <c r="AU96" s="36"/>
      <c r="AV96" s="36"/>
      <c r="AW96" s="36"/>
      <c r="AX96" s="36"/>
      <c r="AY96" s="36"/>
      <c r="AZ96" s="36"/>
      <c r="BA96" s="101">
        <f t="shared" si="6"/>
        <v>0</v>
      </c>
      <c r="BB96" s="36"/>
      <c r="BC96" s="36"/>
      <c r="BD96" s="36"/>
      <c r="BE96" s="36"/>
      <c r="BF96" s="36"/>
      <c r="BG96" s="36"/>
      <c r="BH96" s="101">
        <f t="shared" si="7"/>
        <v>0</v>
      </c>
      <c r="BI96" s="36"/>
      <c r="BJ96" s="36"/>
      <c r="BK96" s="36"/>
      <c r="BL96" s="36"/>
      <c r="BM96" s="36"/>
      <c r="BN96" s="36"/>
      <c r="BO96" s="101">
        <f t="shared" si="8"/>
        <v>0</v>
      </c>
      <c r="BP96" s="36"/>
      <c r="BQ96" s="103">
        <v>1.0</v>
      </c>
      <c r="BR96" s="103">
        <v>4.0</v>
      </c>
      <c r="BS96" s="36"/>
      <c r="BT96" s="36"/>
      <c r="BU96" s="36"/>
      <c r="BV96" s="101">
        <f t="shared" si="9"/>
        <v>5</v>
      </c>
      <c r="BW96" s="36"/>
      <c r="BX96" s="36"/>
      <c r="BY96" s="36"/>
      <c r="BZ96" s="36"/>
      <c r="CA96" s="36"/>
      <c r="CB96" s="36"/>
      <c r="CC96" s="101">
        <f t="shared" si="10"/>
        <v>0</v>
      </c>
      <c r="CD96" s="36"/>
      <c r="CE96" s="36"/>
      <c r="CF96" s="36"/>
      <c r="CG96" s="36"/>
      <c r="CH96" s="36"/>
      <c r="CI96" s="36"/>
      <c r="CJ96" s="101">
        <f t="shared" si="11"/>
        <v>0</v>
      </c>
      <c r="CQ96" s="101">
        <f t="shared" si="12"/>
        <v>0</v>
      </c>
      <c r="CR96" s="36"/>
      <c r="CS96" s="36"/>
      <c r="CT96" s="36"/>
      <c r="CU96" s="36"/>
      <c r="CV96" s="36"/>
      <c r="CW96" s="36"/>
      <c r="CX96" s="101">
        <f t="shared" si="13"/>
        <v>0</v>
      </c>
      <c r="CY96" s="36"/>
      <c r="CZ96" s="36"/>
      <c r="DA96" s="36"/>
      <c r="DB96" s="36"/>
      <c r="DC96" s="36"/>
      <c r="DD96" s="36"/>
      <c r="DE96" s="101">
        <f t="shared" si="14"/>
        <v>0</v>
      </c>
      <c r="DF96" s="36"/>
      <c r="DG96" s="36"/>
      <c r="DH96" s="103">
        <v>1.0</v>
      </c>
      <c r="DI96" s="103">
        <v>2.0</v>
      </c>
      <c r="DJ96" s="36"/>
      <c r="DK96" s="36"/>
      <c r="DL96" s="101">
        <f t="shared" si="15"/>
        <v>3</v>
      </c>
      <c r="DS96" s="101">
        <f t="shared" si="16"/>
        <v>0</v>
      </c>
      <c r="DZ96" s="101">
        <f t="shared" si="17"/>
        <v>0</v>
      </c>
    </row>
    <row r="97">
      <c r="A97" s="102">
        <v>45799.0</v>
      </c>
      <c r="B97" s="101" t="s">
        <v>65</v>
      </c>
      <c r="C97" s="101">
        <v>10.9</v>
      </c>
      <c r="D97" s="101">
        <v>10.5</v>
      </c>
      <c r="E97" s="101">
        <v>29.0</v>
      </c>
      <c r="F97" s="101">
        <v>80.0</v>
      </c>
      <c r="G97" s="101">
        <v>90.0</v>
      </c>
      <c r="H97" s="101">
        <v>45.0</v>
      </c>
      <c r="I97" s="101">
        <v>60.0</v>
      </c>
      <c r="J97" s="101">
        <v>75.0</v>
      </c>
      <c r="K97" s="101">
        <v>75.0</v>
      </c>
      <c r="L97" s="101">
        <v>2.0</v>
      </c>
      <c r="M97" s="101">
        <v>12.0</v>
      </c>
      <c r="N97" s="101">
        <v>11.0</v>
      </c>
      <c r="P97" s="101">
        <v>1.0</v>
      </c>
      <c r="R97" s="101">
        <f t="shared" si="1"/>
        <v>26</v>
      </c>
      <c r="S97" s="103">
        <v>2.0</v>
      </c>
      <c r="T97" s="103">
        <v>4.0</v>
      </c>
      <c r="U97" s="36"/>
      <c r="V97" s="36"/>
      <c r="W97" s="36"/>
      <c r="X97" s="36"/>
      <c r="Y97" s="101">
        <f t="shared" si="2"/>
        <v>6</v>
      </c>
      <c r="Z97" s="101">
        <v>6.0</v>
      </c>
      <c r="AA97" s="101">
        <v>5.0</v>
      </c>
      <c r="AF97" s="101">
        <f t="shared" si="3"/>
        <v>11</v>
      </c>
      <c r="AG97" s="36"/>
      <c r="AH97" s="36"/>
      <c r="AI97" s="103">
        <v>3.0</v>
      </c>
      <c r="AJ97" s="103">
        <v>3.0</v>
      </c>
      <c r="AK97" s="36"/>
      <c r="AL97" s="36"/>
      <c r="AM97" s="101">
        <f t="shared" si="4"/>
        <v>6</v>
      </c>
      <c r="AN97" s="36"/>
      <c r="AO97" s="36"/>
      <c r="AP97" s="103">
        <v>16.0</v>
      </c>
      <c r="AQ97" s="103">
        <v>5.0</v>
      </c>
      <c r="AR97" s="36"/>
      <c r="AS97" s="36"/>
      <c r="AT97" s="101">
        <f t="shared" si="5"/>
        <v>21</v>
      </c>
      <c r="AU97" s="36"/>
      <c r="AV97" s="36"/>
      <c r="AW97" s="36"/>
      <c r="AX97" s="36"/>
      <c r="AY97" s="36"/>
      <c r="AZ97" s="36"/>
      <c r="BA97" s="101">
        <f t="shared" si="6"/>
        <v>0</v>
      </c>
      <c r="BB97" s="36"/>
      <c r="BC97" s="36"/>
      <c r="BD97" s="36"/>
      <c r="BE97" s="36"/>
      <c r="BF97" s="36"/>
      <c r="BG97" s="36"/>
      <c r="BH97" s="101">
        <f t="shared" si="7"/>
        <v>0</v>
      </c>
      <c r="BI97" s="36"/>
      <c r="BJ97" s="36"/>
      <c r="BK97" s="36"/>
      <c r="BL97" s="36"/>
      <c r="BM97" s="36"/>
      <c r="BN97" s="36"/>
      <c r="BO97" s="101">
        <f t="shared" si="8"/>
        <v>0</v>
      </c>
      <c r="BP97" s="36"/>
      <c r="BQ97" s="36"/>
      <c r="BR97" s="103">
        <v>3.0</v>
      </c>
      <c r="BS97" s="36"/>
      <c r="BT97" s="36"/>
      <c r="BU97" s="36"/>
      <c r="BV97" s="101">
        <f t="shared" si="9"/>
        <v>3</v>
      </c>
      <c r="BW97" s="36"/>
      <c r="BX97" s="36"/>
      <c r="BY97" s="36"/>
      <c r="BZ97" s="36"/>
      <c r="CA97" s="36"/>
      <c r="CB97" s="36"/>
      <c r="CC97" s="101">
        <f t="shared" si="10"/>
        <v>0</v>
      </c>
      <c r="CD97" s="36"/>
      <c r="CE97" s="36"/>
      <c r="CF97" s="36"/>
      <c r="CG97" s="36"/>
      <c r="CH97" s="36"/>
      <c r="CI97" s="36"/>
      <c r="CJ97" s="101">
        <f t="shared" si="11"/>
        <v>0</v>
      </c>
      <c r="CQ97" s="101">
        <f t="shared" si="12"/>
        <v>0</v>
      </c>
      <c r="CR97" s="36"/>
      <c r="CS97" s="36"/>
      <c r="CT97" s="36"/>
      <c r="CU97" s="36"/>
      <c r="CV97" s="36"/>
      <c r="CW97" s="36"/>
      <c r="CX97" s="101">
        <f t="shared" si="13"/>
        <v>0</v>
      </c>
      <c r="CY97" s="36"/>
      <c r="CZ97" s="36"/>
      <c r="DA97" s="36"/>
      <c r="DB97" s="36"/>
      <c r="DC97" s="36"/>
      <c r="DD97" s="36"/>
      <c r="DE97" s="101">
        <f t="shared" si="14"/>
        <v>0</v>
      </c>
      <c r="DF97" s="36"/>
      <c r="DG97" s="36"/>
      <c r="DH97" s="36"/>
      <c r="DI97" s="36"/>
      <c r="DJ97" s="36"/>
      <c r="DK97" s="36"/>
      <c r="DL97" s="101">
        <f t="shared" si="15"/>
        <v>0</v>
      </c>
      <c r="DS97" s="101">
        <f t="shared" si="16"/>
        <v>0</v>
      </c>
      <c r="DZ97" s="101">
        <f t="shared" si="17"/>
        <v>0</v>
      </c>
    </row>
    <row r="98">
      <c r="A98" s="102">
        <v>45799.0</v>
      </c>
      <c r="B98" s="101" t="s">
        <v>45</v>
      </c>
      <c r="C98" s="101">
        <v>11.5</v>
      </c>
      <c r="D98" s="101">
        <v>11.7</v>
      </c>
      <c r="E98" s="101">
        <v>29.0</v>
      </c>
      <c r="F98" s="101">
        <v>80.0</v>
      </c>
      <c r="G98" s="101">
        <v>30.0</v>
      </c>
      <c r="H98" s="101">
        <v>20.0</v>
      </c>
      <c r="I98" s="101">
        <v>50.0</v>
      </c>
      <c r="J98" s="101">
        <v>30.0</v>
      </c>
      <c r="K98" s="101">
        <v>90.0</v>
      </c>
      <c r="L98" s="101">
        <v>3.0</v>
      </c>
      <c r="M98" s="101">
        <v>11.0</v>
      </c>
      <c r="N98" s="101">
        <v>4.0</v>
      </c>
      <c r="R98" s="101">
        <f t="shared" si="1"/>
        <v>18</v>
      </c>
      <c r="S98" s="103">
        <v>2.0</v>
      </c>
      <c r="T98" s="103">
        <v>4.0</v>
      </c>
      <c r="U98" s="36"/>
      <c r="V98" s="36"/>
      <c r="W98" s="36"/>
      <c r="X98" s="36"/>
      <c r="Y98" s="101">
        <f t="shared" si="2"/>
        <v>6</v>
      </c>
      <c r="Z98" s="101">
        <v>6.0</v>
      </c>
      <c r="AA98" s="101">
        <v>17.0</v>
      </c>
      <c r="AF98" s="101">
        <f t="shared" si="3"/>
        <v>23</v>
      </c>
      <c r="AG98" s="36"/>
      <c r="AH98" s="36"/>
      <c r="AI98" s="103">
        <v>2.0</v>
      </c>
      <c r="AJ98" s="103">
        <v>3.0</v>
      </c>
      <c r="AK98" s="36"/>
      <c r="AL98" s="36"/>
      <c r="AM98" s="101">
        <f t="shared" si="4"/>
        <v>5</v>
      </c>
      <c r="AN98" s="36"/>
      <c r="AO98" s="36"/>
      <c r="AP98" s="36"/>
      <c r="AQ98" s="36"/>
      <c r="AR98" s="36"/>
      <c r="AS98" s="36"/>
      <c r="AT98" s="101">
        <f t="shared" si="5"/>
        <v>0</v>
      </c>
      <c r="AU98" s="36"/>
      <c r="AV98" s="36"/>
      <c r="AW98" s="36"/>
      <c r="AX98" s="36"/>
      <c r="AY98" s="36"/>
      <c r="AZ98" s="36"/>
      <c r="BA98" s="101">
        <f t="shared" si="6"/>
        <v>0</v>
      </c>
      <c r="BB98" s="36"/>
      <c r="BC98" s="36"/>
      <c r="BD98" s="36"/>
      <c r="BE98" s="36"/>
      <c r="BF98" s="36"/>
      <c r="BG98" s="36"/>
      <c r="BH98" s="101">
        <f t="shared" si="7"/>
        <v>0</v>
      </c>
      <c r="BI98" s="36"/>
      <c r="BJ98" s="36"/>
      <c r="BK98" s="103">
        <v>3.0</v>
      </c>
      <c r="BL98" s="36"/>
      <c r="BM98" s="36"/>
      <c r="BN98" s="36"/>
      <c r="BO98" s="101">
        <f t="shared" si="8"/>
        <v>3</v>
      </c>
      <c r="BP98" s="36"/>
      <c r="BQ98" s="103">
        <v>1.0</v>
      </c>
      <c r="BR98" s="103">
        <v>4.0</v>
      </c>
      <c r="BS98" s="36"/>
      <c r="BT98" s="36"/>
      <c r="BU98" s="36"/>
      <c r="BV98" s="101">
        <f t="shared" si="9"/>
        <v>5</v>
      </c>
      <c r="BW98" s="36"/>
      <c r="BX98" s="36"/>
      <c r="BY98" s="103">
        <v>1.0</v>
      </c>
      <c r="BZ98" s="36"/>
      <c r="CA98" s="36"/>
      <c r="CB98" s="36"/>
      <c r="CC98" s="101">
        <f t="shared" si="10"/>
        <v>1</v>
      </c>
      <c r="CD98" s="36"/>
      <c r="CE98" s="36"/>
      <c r="CF98" s="36"/>
      <c r="CG98" s="36"/>
      <c r="CH98" s="36"/>
      <c r="CI98" s="36"/>
      <c r="CJ98" s="101">
        <f t="shared" si="11"/>
        <v>0</v>
      </c>
      <c r="CQ98" s="101">
        <f t="shared" si="12"/>
        <v>0</v>
      </c>
      <c r="CR98" s="36"/>
      <c r="CS98" s="36"/>
      <c r="CT98" s="36"/>
      <c r="CU98" s="36"/>
      <c r="CV98" s="36"/>
      <c r="CW98" s="36"/>
      <c r="CX98" s="101">
        <f t="shared" si="13"/>
        <v>0</v>
      </c>
      <c r="CY98" s="36"/>
      <c r="CZ98" s="36"/>
      <c r="DA98" s="36"/>
      <c r="DB98" s="36"/>
      <c r="DC98" s="36"/>
      <c r="DD98" s="36"/>
      <c r="DE98" s="101">
        <f t="shared" si="14"/>
        <v>0</v>
      </c>
      <c r="DF98" s="36"/>
      <c r="DG98" s="36"/>
      <c r="DH98" s="36"/>
      <c r="DI98" s="36" t="s">
        <v>204</v>
      </c>
      <c r="DJ98" s="36"/>
      <c r="DK98" s="36"/>
      <c r="DL98" s="101">
        <f t="shared" si="15"/>
        <v>0</v>
      </c>
      <c r="DS98" s="101">
        <f t="shared" si="16"/>
        <v>0</v>
      </c>
      <c r="DZ98" s="101">
        <f t="shared" si="17"/>
        <v>0</v>
      </c>
    </row>
    <row r="99">
      <c r="A99" s="102">
        <v>45811.0</v>
      </c>
      <c r="B99" s="101" t="s">
        <v>42</v>
      </c>
      <c r="C99" s="101">
        <v>3.3</v>
      </c>
      <c r="D99" s="101">
        <v>9.1</v>
      </c>
      <c r="E99" s="101">
        <v>30.0</v>
      </c>
      <c r="F99" s="101">
        <v>75.0</v>
      </c>
      <c r="G99" s="101">
        <v>85.0</v>
      </c>
      <c r="H99" s="101">
        <v>65.0</v>
      </c>
      <c r="I99" s="101">
        <v>40.0</v>
      </c>
      <c r="J99" s="101">
        <v>50.0</v>
      </c>
      <c r="K99" s="101">
        <v>80.0</v>
      </c>
      <c r="L99" s="101">
        <v>12.0</v>
      </c>
      <c r="M99" s="101">
        <v>14.0</v>
      </c>
      <c r="N99" s="101">
        <v>6.0</v>
      </c>
      <c r="O99" s="101">
        <v>1.0</v>
      </c>
      <c r="R99" s="101">
        <f t="shared" si="1"/>
        <v>33</v>
      </c>
      <c r="S99" s="103">
        <v>1.0</v>
      </c>
      <c r="T99" s="103">
        <v>2.0</v>
      </c>
      <c r="U99" s="36"/>
      <c r="V99" s="36"/>
      <c r="W99" s="36"/>
      <c r="X99" s="36"/>
      <c r="Y99" s="101">
        <f t="shared" si="2"/>
        <v>3</v>
      </c>
      <c r="Z99" s="101">
        <v>30.0</v>
      </c>
      <c r="AA99" s="101">
        <v>9.0</v>
      </c>
      <c r="AB99" s="101">
        <v>6.0</v>
      </c>
      <c r="AF99" s="101">
        <f t="shared" si="3"/>
        <v>45</v>
      </c>
      <c r="AG99" s="36"/>
      <c r="AH99" s="36"/>
      <c r="AI99" s="103">
        <v>14.0</v>
      </c>
      <c r="AJ99" s="103">
        <v>1.0</v>
      </c>
      <c r="AK99" s="36"/>
      <c r="AL99" s="36"/>
      <c r="AM99" s="101">
        <f t="shared" si="4"/>
        <v>15</v>
      </c>
      <c r="AN99" s="36"/>
      <c r="AO99" s="36"/>
      <c r="AP99" s="36"/>
      <c r="AQ99" s="36"/>
      <c r="AR99" s="36"/>
      <c r="AS99" s="36"/>
      <c r="AT99" s="101">
        <f t="shared" si="5"/>
        <v>0</v>
      </c>
      <c r="AU99" s="36"/>
      <c r="AV99" s="36"/>
      <c r="AW99" s="36"/>
      <c r="AX99" s="36"/>
      <c r="AY99" s="36"/>
      <c r="AZ99" s="36"/>
      <c r="BA99" s="101">
        <f t="shared" si="6"/>
        <v>0</v>
      </c>
      <c r="BB99" s="36"/>
      <c r="BC99" s="36"/>
      <c r="BD99" s="36"/>
      <c r="BE99" s="36"/>
      <c r="BF99" s="36"/>
      <c r="BG99" s="36"/>
      <c r="BH99" s="101">
        <f t="shared" si="7"/>
        <v>0</v>
      </c>
      <c r="BI99" s="36"/>
      <c r="BJ99" s="36"/>
      <c r="BK99" s="36"/>
      <c r="BL99" s="36"/>
      <c r="BM99" s="36"/>
      <c r="BN99" s="36"/>
      <c r="BO99" s="101">
        <f t="shared" si="8"/>
        <v>0</v>
      </c>
      <c r="BP99" s="36"/>
      <c r="BQ99" s="103">
        <v>1.0</v>
      </c>
      <c r="BR99" s="36"/>
      <c r="BS99" s="36"/>
      <c r="BT99" s="36"/>
      <c r="BU99" s="36"/>
      <c r="BV99" s="101">
        <f t="shared" si="9"/>
        <v>1</v>
      </c>
      <c r="BW99" s="36"/>
      <c r="BX99" s="36"/>
      <c r="BY99" s="36"/>
      <c r="BZ99" s="36"/>
      <c r="CA99" s="36"/>
      <c r="CB99" s="36"/>
      <c r="CC99" s="101">
        <f t="shared" si="10"/>
        <v>0</v>
      </c>
      <c r="CD99" s="36"/>
      <c r="CE99" s="36"/>
      <c r="CF99" s="36"/>
      <c r="CG99" s="36"/>
      <c r="CH99" s="36"/>
      <c r="CI99" s="36"/>
      <c r="CJ99" s="101">
        <f t="shared" si="11"/>
        <v>0</v>
      </c>
      <c r="CQ99" s="101">
        <f t="shared" si="12"/>
        <v>0</v>
      </c>
      <c r="CR99" s="36"/>
      <c r="CS99" s="36"/>
      <c r="CT99" s="36"/>
      <c r="CU99" s="36"/>
      <c r="CV99" s="36"/>
      <c r="CW99" s="36"/>
      <c r="CX99" s="101">
        <f t="shared" si="13"/>
        <v>0</v>
      </c>
      <c r="CY99" s="36"/>
      <c r="CZ99" s="36"/>
      <c r="DA99" s="36"/>
      <c r="DB99" s="36"/>
      <c r="DC99" s="36"/>
      <c r="DD99" s="36"/>
      <c r="DE99" s="101">
        <f t="shared" si="14"/>
        <v>0</v>
      </c>
      <c r="DF99" s="36"/>
      <c r="DG99" s="36"/>
      <c r="DH99" s="36"/>
      <c r="DI99" s="36"/>
      <c r="DJ99" s="36"/>
      <c r="DK99" s="36"/>
      <c r="DL99" s="101">
        <f t="shared" si="15"/>
        <v>0</v>
      </c>
      <c r="DS99" s="101">
        <f t="shared" si="16"/>
        <v>0</v>
      </c>
      <c r="DZ99" s="101">
        <f t="shared" si="17"/>
        <v>0</v>
      </c>
    </row>
    <row r="100">
      <c r="A100" s="102">
        <v>45811.0</v>
      </c>
      <c r="B100" s="101" t="s">
        <v>65</v>
      </c>
      <c r="C100" s="101">
        <v>10.8</v>
      </c>
      <c r="D100" s="101">
        <v>10.1</v>
      </c>
      <c r="E100" s="101">
        <v>29.0</v>
      </c>
      <c r="F100" s="101">
        <v>30.0</v>
      </c>
      <c r="G100" s="101">
        <v>80.0</v>
      </c>
      <c r="H100" s="101">
        <v>30.0</v>
      </c>
      <c r="I100" s="101">
        <v>55.0</v>
      </c>
      <c r="J100" s="101">
        <v>65.0</v>
      </c>
      <c r="K100" s="101">
        <v>25.0</v>
      </c>
      <c r="L100" s="101">
        <v>27.0</v>
      </c>
      <c r="M100" s="101">
        <v>16.0</v>
      </c>
      <c r="N100" s="101">
        <v>7.0</v>
      </c>
      <c r="O100" s="101">
        <v>1.0</v>
      </c>
      <c r="R100" s="101">
        <f t="shared" si="1"/>
        <v>51</v>
      </c>
      <c r="S100" s="103">
        <v>3.0</v>
      </c>
      <c r="T100" s="103">
        <v>2.0</v>
      </c>
      <c r="U100" s="36"/>
      <c r="V100" s="36"/>
      <c r="W100" s="36"/>
      <c r="X100" s="36"/>
      <c r="Y100" s="101">
        <f t="shared" si="2"/>
        <v>5</v>
      </c>
      <c r="Z100" s="101">
        <v>7.0</v>
      </c>
      <c r="AA100" s="101">
        <v>8.0</v>
      </c>
      <c r="AF100" s="101">
        <f t="shared" si="3"/>
        <v>15</v>
      </c>
      <c r="AG100" s="36"/>
      <c r="AH100" s="36"/>
      <c r="AI100" s="36"/>
      <c r="AJ100" s="36"/>
      <c r="AK100" s="36"/>
      <c r="AL100" s="36"/>
      <c r="AM100" s="101">
        <f t="shared" si="4"/>
        <v>0</v>
      </c>
      <c r="AN100" s="36"/>
      <c r="AO100" s="36"/>
      <c r="AP100" s="103">
        <v>3.0</v>
      </c>
      <c r="AQ100" s="103">
        <v>1.0</v>
      </c>
      <c r="AR100" s="36"/>
      <c r="AS100" s="36"/>
      <c r="AT100" s="101">
        <f t="shared" si="5"/>
        <v>4</v>
      </c>
      <c r="AU100" s="36"/>
      <c r="AV100" s="103">
        <v>1.0</v>
      </c>
      <c r="AW100" s="103">
        <v>1.0</v>
      </c>
      <c r="AX100" s="36"/>
      <c r="AY100" s="36"/>
      <c r="AZ100" s="36"/>
      <c r="BA100" s="101">
        <f t="shared" si="6"/>
        <v>2</v>
      </c>
      <c r="BB100" s="36"/>
      <c r="BC100" s="36"/>
      <c r="BD100" s="36"/>
      <c r="BE100" s="36"/>
      <c r="BF100" s="36"/>
      <c r="BG100" s="36"/>
      <c r="BH100" s="101">
        <f t="shared" si="7"/>
        <v>0</v>
      </c>
      <c r="BI100" s="103">
        <v>3.0</v>
      </c>
      <c r="BJ100" s="103">
        <v>4.0</v>
      </c>
      <c r="BK100" s="103">
        <v>3.0</v>
      </c>
      <c r="BL100" s="36"/>
      <c r="BM100" s="36"/>
      <c r="BN100" s="36"/>
      <c r="BO100" s="101">
        <f t="shared" si="8"/>
        <v>10</v>
      </c>
      <c r="BP100" s="36"/>
      <c r="BQ100" s="103">
        <v>2.0</v>
      </c>
      <c r="BR100" s="103">
        <v>2.0</v>
      </c>
      <c r="BS100" s="36"/>
      <c r="BT100" s="36"/>
      <c r="BU100" s="36"/>
      <c r="BV100" s="101">
        <f t="shared" si="9"/>
        <v>4</v>
      </c>
      <c r="BW100" s="36"/>
      <c r="BX100" s="36"/>
      <c r="BY100" s="36"/>
      <c r="BZ100" s="36"/>
      <c r="CA100" s="36"/>
      <c r="CB100" s="36"/>
      <c r="CC100" s="101">
        <f t="shared" si="10"/>
        <v>0</v>
      </c>
      <c r="CD100" s="36"/>
      <c r="CE100" s="36"/>
      <c r="CF100" s="36"/>
      <c r="CG100" s="36"/>
      <c r="CH100" s="36"/>
      <c r="CI100" s="36"/>
      <c r="CJ100" s="101">
        <f t="shared" si="11"/>
        <v>0</v>
      </c>
      <c r="CQ100" s="101">
        <f t="shared" si="12"/>
        <v>0</v>
      </c>
      <c r="CR100" s="36"/>
      <c r="CS100" s="36"/>
      <c r="CT100" s="36"/>
      <c r="CU100" s="36"/>
      <c r="CV100" s="36"/>
      <c r="CW100" s="36"/>
      <c r="CX100" s="101">
        <f t="shared" si="13"/>
        <v>0</v>
      </c>
      <c r="CY100" s="36"/>
      <c r="CZ100" s="36"/>
      <c r="DA100" s="36"/>
      <c r="DB100" s="36"/>
      <c r="DC100" s="36"/>
      <c r="DD100" s="36"/>
      <c r="DE100" s="101">
        <f t="shared" si="14"/>
        <v>0</v>
      </c>
      <c r="DF100" s="36"/>
      <c r="DG100" s="36"/>
      <c r="DH100" s="36"/>
      <c r="DI100" s="36"/>
      <c r="DJ100" s="36"/>
      <c r="DK100" s="36"/>
      <c r="DL100" s="101">
        <f t="shared" si="15"/>
        <v>0</v>
      </c>
      <c r="DS100" s="101">
        <f t="shared" si="16"/>
        <v>0</v>
      </c>
      <c r="DZ100" s="101">
        <f t="shared" si="17"/>
        <v>0</v>
      </c>
    </row>
    <row r="101">
      <c r="A101" s="102">
        <v>45813.0</v>
      </c>
      <c r="B101" s="101" t="s">
        <v>42</v>
      </c>
      <c r="C101" s="101">
        <v>6.8</v>
      </c>
      <c r="D101" s="101">
        <v>6.9</v>
      </c>
      <c r="E101" s="101">
        <v>30.0</v>
      </c>
      <c r="F101" s="101">
        <v>55.0</v>
      </c>
      <c r="G101" s="101">
        <v>40.0</v>
      </c>
      <c r="H101" s="101">
        <v>65.0</v>
      </c>
      <c r="I101" s="101">
        <v>95.0</v>
      </c>
      <c r="J101" s="101">
        <v>55.0</v>
      </c>
      <c r="K101" s="101">
        <v>20.0</v>
      </c>
      <c r="L101" s="101">
        <v>8.0</v>
      </c>
      <c r="M101" s="101">
        <v>13.0</v>
      </c>
      <c r="N101" s="101">
        <v>5.0</v>
      </c>
      <c r="O101" s="101">
        <v>2.0</v>
      </c>
      <c r="R101" s="101">
        <f t="shared" si="1"/>
        <v>28</v>
      </c>
      <c r="S101" s="103">
        <v>5.0</v>
      </c>
      <c r="T101" s="103">
        <v>5.0</v>
      </c>
      <c r="U101" s="103">
        <v>2.0</v>
      </c>
      <c r="V101" s="36"/>
      <c r="W101" s="36"/>
      <c r="X101" s="36"/>
      <c r="Y101" s="101">
        <f t="shared" si="2"/>
        <v>12</v>
      </c>
      <c r="Z101" s="101">
        <v>28.0</v>
      </c>
      <c r="AA101" s="101">
        <v>4.0</v>
      </c>
      <c r="AF101" s="101">
        <f t="shared" si="3"/>
        <v>32</v>
      </c>
      <c r="AG101" s="36"/>
      <c r="AH101" s="36"/>
      <c r="AI101" s="36"/>
      <c r="AJ101" s="103">
        <v>1.0</v>
      </c>
      <c r="AK101" s="103">
        <v>1.0</v>
      </c>
      <c r="AL101" s="36"/>
      <c r="AM101" s="101">
        <f t="shared" si="4"/>
        <v>2</v>
      </c>
      <c r="AN101" s="36"/>
      <c r="AO101" s="103">
        <v>2.0</v>
      </c>
      <c r="AP101" s="103">
        <v>71.0</v>
      </c>
      <c r="AQ101" s="103">
        <v>22.0</v>
      </c>
      <c r="AR101" s="36"/>
      <c r="AS101" s="36"/>
      <c r="AT101" s="101">
        <f t="shared" si="5"/>
        <v>95</v>
      </c>
      <c r="AU101" s="36"/>
      <c r="AV101" s="103">
        <v>1.0</v>
      </c>
      <c r="AW101" s="103">
        <v>1.0</v>
      </c>
      <c r="AX101" s="36"/>
      <c r="AY101" s="36"/>
      <c r="AZ101" s="36"/>
      <c r="BA101" s="101">
        <f t="shared" si="6"/>
        <v>2</v>
      </c>
      <c r="BB101" s="36"/>
      <c r="BC101" s="36"/>
      <c r="BD101" s="36"/>
      <c r="BE101" s="36"/>
      <c r="BF101" s="36"/>
      <c r="BG101" s="36"/>
      <c r="BH101" s="101">
        <f t="shared" si="7"/>
        <v>0</v>
      </c>
      <c r="BI101" s="36"/>
      <c r="BJ101" s="36"/>
      <c r="BK101" s="103">
        <v>1.0</v>
      </c>
      <c r="BL101" s="36"/>
      <c r="BM101" s="36"/>
      <c r="BN101" s="36"/>
      <c r="BO101" s="101">
        <f t="shared" si="8"/>
        <v>1</v>
      </c>
      <c r="BP101" s="36"/>
      <c r="BQ101" s="103">
        <v>1.0</v>
      </c>
      <c r="BR101" s="36"/>
      <c r="BS101" s="36"/>
      <c r="BT101" s="36"/>
      <c r="BU101" s="36"/>
      <c r="BV101" s="101">
        <f t="shared" si="9"/>
        <v>1</v>
      </c>
      <c r="BW101" s="36"/>
      <c r="BX101" s="36"/>
      <c r="BY101" s="36"/>
      <c r="BZ101" s="36"/>
      <c r="CA101" s="36"/>
      <c r="CB101" s="36"/>
      <c r="CC101" s="101">
        <f t="shared" si="10"/>
        <v>0</v>
      </c>
      <c r="CD101" s="36"/>
      <c r="CE101" s="36"/>
      <c r="CF101" s="36"/>
      <c r="CG101" s="36"/>
      <c r="CH101" s="36"/>
      <c r="CI101" s="36"/>
      <c r="CJ101" s="101">
        <f t="shared" si="11"/>
        <v>0</v>
      </c>
      <c r="CQ101" s="101">
        <f t="shared" si="12"/>
        <v>0</v>
      </c>
      <c r="CR101" s="36"/>
      <c r="CS101" s="36"/>
      <c r="CT101" s="36"/>
      <c r="CU101" s="36"/>
      <c r="CV101" s="36"/>
      <c r="CW101" s="36"/>
      <c r="CX101" s="101">
        <f t="shared" si="13"/>
        <v>0</v>
      </c>
      <c r="CY101" s="36"/>
      <c r="CZ101" s="36"/>
      <c r="DA101" s="36"/>
      <c r="DB101" s="36"/>
      <c r="DC101" s="36"/>
      <c r="DD101" s="36"/>
      <c r="DE101" s="101">
        <f t="shared" si="14"/>
        <v>0</v>
      </c>
      <c r="DF101" s="36"/>
      <c r="DG101" s="36"/>
      <c r="DH101" s="36"/>
      <c r="DI101" s="36"/>
      <c r="DJ101" s="36"/>
      <c r="DK101" s="36"/>
      <c r="DL101" s="101">
        <f t="shared" si="15"/>
        <v>0</v>
      </c>
      <c r="DS101" s="101">
        <f t="shared" si="16"/>
        <v>0</v>
      </c>
      <c r="DZ101" s="101">
        <f t="shared" si="17"/>
        <v>0</v>
      </c>
    </row>
    <row r="102">
      <c r="A102" s="102">
        <v>45813.0</v>
      </c>
      <c r="B102" s="101" t="s">
        <v>44</v>
      </c>
      <c r="C102" s="101">
        <v>12.3</v>
      </c>
      <c r="D102" s="101">
        <v>11.1</v>
      </c>
      <c r="E102" s="101">
        <v>30.0</v>
      </c>
      <c r="F102" s="101">
        <v>65.0</v>
      </c>
      <c r="G102" s="101">
        <v>40.0</v>
      </c>
      <c r="H102" s="101">
        <v>55.0</v>
      </c>
      <c r="I102" s="101">
        <v>55.0</v>
      </c>
      <c r="J102" s="101">
        <v>45.0</v>
      </c>
      <c r="K102" s="101">
        <v>75.0</v>
      </c>
      <c r="L102" s="101">
        <v>8.0</v>
      </c>
      <c r="M102" s="101">
        <v>15.0</v>
      </c>
      <c r="N102" s="101">
        <v>17.0</v>
      </c>
      <c r="O102" s="101">
        <v>2.0</v>
      </c>
      <c r="R102" s="101">
        <f t="shared" si="1"/>
        <v>42</v>
      </c>
      <c r="S102" s="36"/>
      <c r="T102" s="103">
        <v>1.0</v>
      </c>
      <c r="U102" s="36"/>
      <c r="V102" s="36"/>
      <c r="W102" s="36"/>
      <c r="X102" s="36"/>
      <c r="Y102" s="101">
        <f t="shared" si="2"/>
        <v>1</v>
      </c>
      <c r="Z102" s="101">
        <v>32.0</v>
      </c>
      <c r="AA102" s="101">
        <v>12.0</v>
      </c>
      <c r="AF102" s="101">
        <f t="shared" si="3"/>
        <v>44</v>
      </c>
      <c r="AG102" s="36"/>
      <c r="AH102" s="103">
        <v>14.0</v>
      </c>
      <c r="AI102" s="103">
        <v>3.0</v>
      </c>
      <c r="AJ102" s="103">
        <v>3.0</v>
      </c>
      <c r="AK102" s="36"/>
      <c r="AL102" s="36"/>
      <c r="AM102" s="101">
        <f t="shared" si="4"/>
        <v>20</v>
      </c>
      <c r="AN102" s="36"/>
      <c r="AO102" s="103">
        <v>7.0</v>
      </c>
      <c r="AP102" s="103">
        <v>1.0</v>
      </c>
      <c r="AQ102" s="36"/>
      <c r="AR102" s="36"/>
      <c r="AS102" s="36"/>
      <c r="AT102" s="101">
        <f t="shared" si="5"/>
        <v>8</v>
      </c>
      <c r="AU102" s="36"/>
      <c r="AV102" s="103">
        <v>1.0</v>
      </c>
      <c r="AW102" s="103">
        <v>2.0</v>
      </c>
      <c r="AX102" s="36"/>
      <c r="AY102" s="36"/>
      <c r="AZ102" s="36"/>
      <c r="BA102" s="101">
        <f t="shared" si="6"/>
        <v>3</v>
      </c>
      <c r="BB102" s="36"/>
      <c r="BC102" s="36"/>
      <c r="BD102" s="36"/>
      <c r="BE102" s="103">
        <v>1.0</v>
      </c>
      <c r="BF102" s="36"/>
      <c r="BG102" s="36"/>
      <c r="BH102" s="101">
        <f t="shared" si="7"/>
        <v>1</v>
      </c>
      <c r="BI102" s="36"/>
      <c r="BJ102" s="103">
        <v>4.0</v>
      </c>
      <c r="BK102" s="103">
        <v>2.0</v>
      </c>
      <c r="BL102" s="36"/>
      <c r="BM102" s="36"/>
      <c r="BN102" s="36"/>
      <c r="BO102" s="101">
        <f t="shared" si="8"/>
        <v>6</v>
      </c>
      <c r="BP102" s="103">
        <v>2.0</v>
      </c>
      <c r="BQ102" s="103">
        <v>3.0</v>
      </c>
      <c r="BR102" s="103">
        <v>1.0</v>
      </c>
      <c r="BS102" s="36"/>
      <c r="BT102" s="36"/>
      <c r="BU102" s="36"/>
      <c r="BV102" s="101">
        <f t="shared" si="9"/>
        <v>6</v>
      </c>
      <c r="BW102" s="36"/>
      <c r="BX102" s="36"/>
      <c r="BY102" s="36"/>
      <c r="BZ102" s="36"/>
      <c r="CA102" s="36"/>
      <c r="CB102" s="36"/>
      <c r="CC102" s="101">
        <f t="shared" si="10"/>
        <v>0</v>
      </c>
      <c r="CD102" s="36"/>
      <c r="CE102" s="36"/>
      <c r="CF102" s="36"/>
      <c r="CG102" s="36"/>
      <c r="CH102" s="36"/>
      <c r="CI102" s="36"/>
      <c r="CJ102" s="101">
        <f t="shared" si="11"/>
        <v>0</v>
      </c>
      <c r="CQ102" s="101">
        <f t="shared" si="12"/>
        <v>0</v>
      </c>
      <c r="CR102" s="36"/>
      <c r="CS102" s="36"/>
      <c r="CT102" s="36"/>
      <c r="CU102" s="36"/>
      <c r="CV102" s="36"/>
      <c r="CW102" s="36"/>
      <c r="CX102" s="101">
        <f t="shared" si="13"/>
        <v>0</v>
      </c>
      <c r="CY102" s="36"/>
      <c r="CZ102" s="36"/>
      <c r="DA102" s="36"/>
      <c r="DB102" s="36"/>
      <c r="DC102" s="36"/>
      <c r="DD102" s="36"/>
      <c r="DE102" s="101">
        <f t="shared" si="14"/>
        <v>0</v>
      </c>
      <c r="DF102" s="36"/>
      <c r="DG102" s="36"/>
      <c r="DH102" s="36"/>
      <c r="DI102" s="103">
        <v>1.0</v>
      </c>
      <c r="DJ102" s="36"/>
      <c r="DK102" s="36"/>
      <c r="DL102" s="101">
        <f t="shared" si="15"/>
        <v>1</v>
      </c>
      <c r="DS102" s="101">
        <f t="shared" si="16"/>
        <v>0</v>
      </c>
      <c r="DZ102" s="101">
        <f t="shared" si="17"/>
        <v>0</v>
      </c>
    </row>
    <row r="103">
      <c r="A103" s="102">
        <v>45814.0</v>
      </c>
      <c r="B103" s="101" t="s">
        <v>65</v>
      </c>
      <c r="C103" s="101">
        <v>12.1</v>
      </c>
      <c r="D103" s="101">
        <v>10.0</v>
      </c>
      <c r="E103" s="101">
        <v>30.0</v>
      </c>
      <c r="F103" s="101">
        <v>50.0</v>
      </c>
      <c r="G103" s="101">
        <v>65.0</v>
      </c>
      <c r="H103" s="101">
        <v>40.0</v>
      </c>
      <c r="I103" s="101">
        <v>75.0</v>
      </c>
      <c r="J103" s="101">
        <v>45.0</v>
      </c>
      <c r="K103" s="101">
        <v>55.0</v>
      </c>
      <c r="L103" s="101">
        <v>13.0</v>
      </c>
      <c r="M103" s="101">
        <v>13.0</v>
      </c>
      <c r="N103" s="101">
        <v>10.0</v>
      </c>
      <c r="O103" s="101">
        <v>3.0</v>
      </c>
      <c r="P103" s="101">
        <v>1.0</v>
      </c>
      <c r="R103" s="101">
        <f t="shared" si="1"/>
        <v>40</v>
      </c>
      <c r="S103" s="103">
        <v>4.0</v>
      </c>
      <c r="T103" s="36"/>
      <c r="U103" s="36"/>
      <c r="V103" s="36"/>
      <c r="W103" s="36"/>
      <c r="X103" s="36"/>
      <c r="Y103" s="101">
        <f t="shared" si="2"/>
        <v>4</v>
      </c>
      <c r="Z103" s="101">
        <v>10.0</v>
      </c>
      <c r="AA103" s="101">
        <v>5.0</v>
      </c>
      <c r="AF103" s="101">
        <f t="shared" si="3"/>
        <v>15</v>
      </c>
      <c r="AG103" s="36"/>
      <c r="AH103" s="36"/>
      <c r="AI103" s="103">
        <v>4.0</v>
      </c>
      <c r="AJ103" s="103">
        <v>2.0</v>
      </c>
      <c r="AK103" s="36"/>
      <c r="AL103" s="36"/>
      <c r="AM103" s="101">
        <f t="shared" si="4"/>
        <v>6</v>
      </c>
      <c r="AN103" s="36"/>
      <c r="AO103" s="103">
        <v>21.0</v>
      </c>
      <c r="AP103" s="103">
        <v>18.0</v>
      </c>
      <c r="AQ103" s="103">
        <v>2.0</v>
      </c>
      <c r="AR103" s="36"/>
      <c r="AS103" s="36"/>
      <c r="AT103" s="101">
        <f t="shared" si="5"/>
        <v>41</v>
      </c>
      <c r="AU103" s="36"/>
      <c r="AV103" s="36"/>
      <c r="AW103" s="103">
        <v>2.0</v>
      </c>
      <c r="AX103" s="36"/>
      <c r="AY103" s="36"/>
      <c r="AZ103" s="36"/>
      <c r="BA103" s="101">
        <f t="shared" si="6"/>
        <v>2</v>
      </c>
      <c r="BB103" s="36"/>
      <c r="BC103" s="36"/>
      <c r="BD103" s="36"/>
      <c r="BE103" s="36"/>
      <c r="BF103" s="36"/>
      <c r="BG103" s="36"/>
      <c r="BH103" s="101">
        <f t="shared" si="7"/>
        <v>0</v>
      </c>
      <c r="BI103" s="36"/>
      <c r="BJ103" s="103">
        <v>1.0</v>
      </c>
      <c r="BK103" s="36"/>
      <c r="BL103" s="36"/>
      <c r="BM103" s="36"/>
      <c r="BN103" s="36"/>
      <c r="BO103" s="101">
        <f t="shared" si="8"/>
        <v>1</v>
      </c>
      <c r="BP103" s="36"/>
      <c r="BQ103" s="103">
        <v>2.0</v>
      </c>
      <c r="BR103" s="103">
        <v>2.0</v>
      </c>
      <c r="BS103" s="103">
        <v>1.0</v>
      </c>
      <c r="BT103" s="36"/>
      <c r="BU103" s="36"/>
      <c r="BV103" s="101">
        <f t="shared" si="9"/>
        <v>5</v>
      </c>
      <c r="BW103" s="36"/>
      <c r="BX103" s="36"/>
      <c r="BY103" s="36"/>
      <c r="BZ103" s="36"/>
      <c r="CA103" s="36"/>
      <c r="CB103" s="36"/>
      <c r="CC103" s="101">
        <f t="shared" si="10"/>
        <v>0</v>
      </c>
      <c r="CD103" s="36"/>
      <c r="CE103" s="36"/>
      <c r="CF103" s="36"/>
      <c r="CG103" s="36"/>
      <c r="CH103" s="36"/>
      <c r="CI103" s="36"/>
      <c r="CJ103" s="101">
        <f t="shared" si="11"/>
        <v>0</v>
      </c>
      <c r="CQ103" s="101">
        <f t="shared" si="12"/>
        <v>0</v>
      </c>
      <c r="CR103" s="36"/>
      <c r="CS103" s="36"/>
      <c r="CT103" s="36"/>
      <c r="CU103" s="36"/>
      <c r="CV103" s="36"/>
      <c r="CW103" s="36"/>
      <c r="CX103" s="101">
        <f t="shared" si="13"/>
        <v>0</v>
      </c>
      <c r="CY103" s="36"/>
      <c r="CZ103" s="36"/>
      <c r="DA103" s="36"/>
      <c r="DB103" s="36"/>
      <c r="DC103" s="36"/>
      <c r="DD103" s="36"/>
      <c r="DE103" s="101">
        <f t="shared" si="14"/>
        <v>0</v>
      </c>
      <c r="DF103" s="36"/>
      <c r="DG103" s="36"/>
      <c r="DH103" s="36"/>
      <c r="DI103" s="36"/>
      <c r="DJ103" s="36"/>
      <c r="DK103" s="36"/>
      <c r="DL103" s="101">
        <f t="shared" si="15"/>
        <v>0</v>
      </c>
      <c r="DS103" s="101">
        <f t="shared" si="16"/>
        <v>0</v>
      </c>
      <c r="DZ103" s="101">
        <f t="shared" si="17"/>
        <v>0</v>
      </c>
    </row>
    <row r="104">
      <c r="A104" s="102">
        <v>45814.0</v>
      </c>
      <c r="B104" s="101" t="s">
        <v>45</v>
      </c>
      <c r="C104" s="101">
        <v>11.3</v>
      </c>
      <c r="D104" s="101">
        <v>11.5</v>
      </c>
      <c r="E104" s="101">
        <v>30.0</v>
      </c>
      <c r="F104" s="101">
        <v>55.0</v>
      </c>
      <c r="G104" s="101">
        <v>80.0</v>
      </c>
      <c r="H104" s="101">
        <v>45.0</v>
      </c>
      <c r="I104" s="101">
        <v>50.0</v>
      </c>
      <c r="J104" s="101">
        <v>20.0</v>
      </c>
      <c r="K104" s="101">
        <v>35.0</v>
      </c>
      <c r="L104" s="101">
        <v>12.0</v>
      </c>
      <c r="M104" s="101">
        <v>21.0</v>
      </c>
      <c r="N104" s="101">
        <v>13.0</v>
      </c>
      <c r="O104" s="101">
        <v>1.0</v>
      </c>
      <c r="R104" s="101">
        <f t="shared" si="1"/>
        <v>47</v>
      </c>
      <c r="S104" s="103">
        <v>3.0</v>
      </c>
      <c r="T104" s="103">
        <v>3.0</v>
      </c>
      <c r="U104" s="36"/>
      <c r="V104" s="36"/>
      <c r="W104" s="36"/>
      <c r="X104" s="36"/>
      <c r="Y104" s="101">
        <f t="shared" si="2"/>
        <v>6</v>
      </c>
      <c r="Z104" s="101">
        <v>29.0</v>
      </c>
      <c r="AA104" s="101">
        <v>9.0</v>
      </c>
      <c r="AF104" s="101">
        <f t="shared" si="3"/>
        <v>38</v>
      </c>
      <c r="AG104" s="36"/>
      <c r="AH104" s="36"/>
      <c r="AI104" s="36"/>
      <c r="AJ104" s="36"/>
      <c r="AK104" s="36"/>
      <c r="AL104" s="36"/>
      <c r="AM104" s="101">
        <f t="shared" si="4"/>
        <v>0</v>
      </c>
      <c r="AN104" s="36"/>
      <c r="AO104" s="103">
        <v>5.0</v>
      </c>
      <c r="AP104" s="103">
        <v>6.0</v>
      </c>
      <c r="AQ104" s="36"/>
      <c r="AR104" s="36"/>
      <c r="AS104" s="36"/>
      <c r="AT104" s="101">
        <f t="shared" si="5"/>
        <v>11</v>
      </c>
      <c r="AU104" s="36"/>
      <c r="AV104" s="36"/>
      <c r="AW104" s="103">
        <v>1.0</v>
      </c>
      <c r="AX104" s="36"/>
      <c r="AY104" s="36"/>
      <c r="AZ104" s="36"/>
      <c r="BA104" s="101">
        <f t="shared" si="6"/>
        <v>1</v>
      </c>
      <c r="BB104" s="36"/>
      <c r="BC104" s="36"/>
      <c r="BD104" s="36"/>
      <c r="BE104" s="36"/>
      <c r="BF104" s="36"/>
      <c r="BG104" s="36"/>
      <c r="BH104" s="101">
        <f t="shared" si="7"/>
        <v>0</v>
      </c>
      <c r="BI104" s="36"/>
      <c r="BJ104" s="103">
        <v>2.0</v>
      </c>
      <c r="BK104" s="103">
        <v>1.0</v>
      </c>
      <c r="BL104" s="36"/>
      <c r="BM104" s="36"/>
      <c r="BN104" s="36"/>
      <c r="BO104" s="101">
        <f t="shared" si="8"/>
        <v>3</v>
      </c>
      <c r="BP104" s="36"/>
      <c r="BQ104" s="103">
        <v>1.0</v>
      </c>
      <c r="BR104" s="103">
        <v>3.0</v>
      </c>
      <c r="BS104" s="36"/>
      <c r="BT104" s="36"/>
      <c r="BU104" s="36"/>
      <c r="BV104" s="101">
        <f t="shared" si="9"/>
        <v>4</v>
      </c>
      <c r="BW104" s="36"/>
      <c r="BX104" s="36"/>
      <c r="BY104" s="36"/>
      <c r="BZ104" s="36"/>
      <c r="CA104" s="36"/>
      <c r="CB104" s="36"/>
      <c r="CC104" s="101">
        <f t="shared" si="10"/>
        <v>0</v>
      </c>
      <c r="CD104" s="36"/>
      <c r="CE104" s="36"/>
      <c r="CF104" s="36"/>
      <c r="CG104" s="36"/>
      <c r="CH104" s="36"/>
      <c r="CI104" s="36"/>
      <c r="CJ104" s="101">
        <f t="shared" si="11"/>
        <v>0</v>
      </c>
      <c r="CQ104" s="101">
        <f t="shared" si="12"/>
        <v>0</v>
      </c>
      <c r="CR104" s="36"/>
      <c r="CS104" s="36"/>
      <c r="CT104" s="36"/>
      <c r="CU104" s="36"/>
      <c r="CV104" s="36"/>
      <c r="CW104" s="36"/>
      <c r="CX104" s="101">
        <f t="shared" si="13"/>
        <v>0</v>
      </c>
      <c r="CY104" s="36"/>
      <c r="CZ104" s="36"/>
      <c r="DA104" s="36"/>
      <c r="DB104" s="36"/>
      <c r="DC104" s="36"/>
      <c r="DD104" s="36"/>
      <c r="DE104" s="101">
        <f t="shared" si="14"/>
        <v>0</v>
      </c>
      <c r="DF104" s="36"/>
      <c r="DG104" s="36"/>
      <c r="DH104" s="36"/>
      <c r="DI104" s="36"/>
      <c r="DJ104" s="36"/>
      <c r="DK104" s="36"/>
      <c r="DL104" s="101">
        <f t="shared" si="15"/>
        <v>0</v>
      </c>
      <c r="DS104" s="101">
        <f t="shared" si="16"/>
        <v>0</v>
      </c>
      <c r="DZ104" s="101">
        <f t="shared" si="17"/>
        <v>0</v>
      </c>
    </row>
    <row r="105">
      <c r="A105" s="101" t="s">
        <v>205</v>
      </c>
      <c r="B105" s="101" t="s">
        <v>44</v>
      </c>
      <c r="C105" s="101">
        <v>12.3</v>
      </c>
      <c r="D105" s="101">
        <v>12.1</v>
      </c>
      <c r="E105" s="101">
        <v>29.0</v>
      </c>
      <c r="F105" s="101">
        <v>65.0</v>
      </c>
      <c r="G105" s="101">
        <v>45.0</v>
      </c>
      <c r="H105" s="101">
        <v>50.0</v>
      </c>
      <c r="I105" s="101">
        <v>30.0</v>
      </c>
      <c r="J105" s="101">
        <v>50.0</v>
      </c>
      <c r="K105" s="101">
        <v>55.0</v>
      </c>
      <c r="L105" s="101">
        <v>20.0</v>
      </c>
      <c r="M105" s="101">
        <v>10.0</v>
      </c>
      <c r="N105" s="101">
        <v>3.0</v>
      </c>
      <c r="R105" s="101">
        <f t="shared" si="1"/>
        <v>33</v>
      </c>
      <c r="S105" s="103">
        <v>2.0</v>
      </c>
      <c r="T105" s="103">
        <v>2.0</v>
      </c>
      <c r="U105" s="36"/>
      <c r="V105" s="36"/>
      <c r="W105" s="36"/>
      <c r="X105" s="36"/>
      <c r="Y105" s="101">
        <f t="shared" si="2"/>
        <v>4</v>
      </c>
      <c r="Z105" s="101">
        <v>31.0</v>
      </c>
      <c r="AA105" s="101">
        <v>1.0</v>
      </c>
      <c r="AF105" s="101">
        <f t="shared" si="3"/>
        <v>32</v>
      </c>
      <c r="AG105" s="36"/>
      <c r="AH105" s="36"/>
      <c r="AI105" s="36"/>
      <c r="AJ105" s="36"/>
      <c r="AK105" s="36"/>
      <c r="AL105" s="36"/>
      <c r="AM105" s="101">
        <f t="shared" si="4"/>
        <v>0</v>
      </c>
      <c r="AN105" s="36"/>
      <c r="AO105" s="103">
        <v>1.0</v>
      </c>
      <c r="AP105" s="103">
        <v>3.0</v>
      </c>
      <c r="AQ105" s="36"/>
      <c r="AR105" s="36"/>
      <c r="AS105" s="36"/>
      <c r="AT105" s="101">
        <f t="shared" si="5"/>
        <v>4</v>
      </c>
      <c r="AU105" s="36"/>
      <c r="AV105" s="103">
        <v>3.0</v>
      </c>
      <c r="AW105" s="103">
        <v>1.0</v>
      </c>
      <c r="AX105" s="36"/>
      <c r="AY105" s="36"/>
      <c r="AZ105" s="36"/>
      <c r="BA105" s="101">
        <f t="shared" si="6"/>
        <v>4</v>
      </c>
      <c r="BB105" s="36"/>
      <c r="BC105" s="36"/>
      <c r="BD105" s="36"/>
      <c r="BE105" s="36"/>
      <c r="BF105" s="36"/>
      <c r="BG105" s="36"/>
      <c r="BH105" s="101">
        <f t="shared" si="7"/>
        <v>0</v>
      </c>
      <c r="BI105" s="103">
        <v>1.0</v>
      </c>
      <c r="BJ105" s="36"/>
      <c r="BK105" s="36"/>
      <c r="BL105" s="36"/>
      <c r="BM105" s="36"/>
      <c r="BN105" s="36"/>
      <c r="BO105" s="101">
        <f t="shared" si="8"/>
        <v>1</v>
      </c>
      <c r="BP105" s="36"/>
      <c r="BQ105" s="103">
        <v>5.0</v>
      </c>
      <c r="BR105" s="36"/>
      <c r="BS105" s="36"/>
      <c r="BT105" s="36"/>
      <c r="BU105" s="36"/>
      <c r="BV105" s="101">
        <f t="shared" si="9"/>
        <v>5</v>
      </c>
      <c r="BW105" s="36"/>
      <c r="BX105" s="36"/>
      <c r="BY105" s="36"/>
      <c r="BZ105" s="36"/>
      <c r="CA105" s="36"/>
      <c r="CB105" s="36"/>
      <c r="CC105" s="101">
        <f t="shared" si="10"/>
        <v>0</v>
      </c>
      <c r="CD105" s="36"/>
      <c r="CE105" s="36"/>
      <c r="CF105" s="36"/>
      <c r="CG105" s="36"/>
      <c r="CH105" s="36"/>
      <c r="CI105" s="36"/>
      <c r="CJ105" s="101">
        <f t="shared" si="11"/>
        <v>0</v>
      </c>
      <c r="CQ105" s="101">
        <f t="shared" si="12"/>
        <v>0</v>
      </c>
      <c r="CR105" s="36"/>
      <c r="CS105" s="36"/>
      <c r="CT105" s="36"/>
      <c r="CU105" s="36"/>
      <c r="CV105" s="36"/>
      <c r="CW105" s="36"/>
      <c r="CX105" s="101">
        <f t="shared" si="13"/>
        <v>0</v>
      </c>
      <c r="CY105" s="36"/>
      <c r="CZ105" s="36"/>
      <c r="DA105" s="103">
        <v>1.0</v>
      </c>
      <c r="DB105" s="36"/>
      <c r="DC105" s="36"/>
      <c r="DD105" s="36"/>
      <c r="DE105" s="101">
        <f t="shared" si="14"/>
        <v>1</v>
      </c>
      <c r="DF105" s="36"/>
      <c r="DG105" s="36"/>
      <c r="DH105" s="36"/>
      <c r="DI105" s="103">
        <v>1.0</v>
      </c>
      <c r="DJ105" s="36"/>
      <c r="DK105" s="36"/>
      <c r="DL105" s="101">
        <f t="shared" si="15"/>
        <v>1</v>
      </c>
      <c r="DS105" s="101">
        <f t="shared" si="16"/>
        <v>0</v>
      </c>
      <c r="DZ105" s="101">
        <f t="shared" si="17"/>
        <v>0</v>
      </c>
    </row>
    <row r="106">
      <c r="A106" s="101" t="s">
        <v>206</v>
      </c>
      <c r="B106" s="101" t="s">
        <v>65</v>
      </c>
      <c r="C106" s="101">
        <v>10.9</v>
      </c>
      <c r="D106" s="101">
        <v>9.0</v>
      </c>
      <c r="E106" s="101">
        <v>29.0</v>
      </c>
      <c r="F106" s="101">
        <v>40.0</v>
      </c>
      <c r="G106" s="101">
        <v>45.0</v>
      </c>
      <c r="H106" s="101">
        <v>55.0</v>
      </c>
      <c r="I106" s="101">
        <v>75.0</v>
      </c>
      <c r="J106" s="101">
        <v>80.0</v>
      </c>
      <c r="K106" s="101">
        <v>45.0</v>
      </c>
      <c r="L106" s="101">
        <v>19.0</v>
      </c>
      <c r="M106" s="101">
        <v>8.0</v>
      </c>
      <c r="N106" s="101">
        <v>1.0</v>
      </c>
      <c r="R106" s="101">
        <f t="shared" si="1"/>
        <v>28</v>
      </c>
      <c r="S106" s="103">
        <v>3.0</v>
      </c>
      <c r="T106" s="36"/>
      <c r="U106" s="36"/>
      <c r="V106" s="36"/>
      <c r="W106" s="36"/>
      <c r="X106" s="36"/>
      <c r="Y106" s="101">
        <f t="shared" si="2"/>
        <v>3</v>
      </c>
      <c r="Z106" s="101">
        <v>17.0</v>
      </c>
      <c r="AA106" s="101">
        <v>2.0</v>
      </c>
      <c r="AF106" s="101">
        <f t="shared" si="3"/>
        <v>19</v>
      </c>
      <c r="AG106" s="36"/>
      <c r="AH106" s="36"/>
      <c r="AI106" s="36"/>
      <c r="AJ106" s="36"/>
      <c r="AK106" s="36"/>
      <c r="AL106" s="36"/>
      <c r="AM106" s="101">
        <f t="shared" si="4"/>
        <v>0</v>
      </c>
      <c r="AN106" s="36"/>
      <c r="AO106" s="103">
        <v>14.0</v>
      </c>
      <c r="AP106" s="103">
        <v>2.0</v>
      </c>
      <c r="AQ106" s="36"/>
      <c r="AR106" s="36"/>
      <c r="AS106" s="36"/>
      <c r="AT106" s="101">
        <f t="shared" si="5"/>
        <v>16</v>
      </c>
      <c r="AU106" s="36"/>
      <c r="AV106" s="103">
        <v>2.0</v>
      </c>
      <c r="AW106" s="36"/>
      <c r="AX106" s="36"/>
      <c r="AY106" s="36"/>
      <c r="AZ106" s="36"/>
      <c r="BA106" s="101">
        <f t="shared" si="6"/>
        <v>2</v>
      </c>
      <c r="BB106" s="36"/>
      <c r="BC106" s="36"/>
      <c r="BD106" s="36"/>
      <c r="BE106" s="36"/>
      <c r="BF106" s="36"/>
      <c r="BG106" s="36"/>
      <c r="BH106" s="101">
        <f t="shared" si="7"/>
        <v>0</v>
      </c>
      <c r="BI106" s="36"/>
      <c r="BJ106" s="36"/>
      <c r="BK106" s="36"/>
      <c r="BL106" s="36"/>
      <c r="BM106" s="36"/>
      <c r="BN106" s="36"/>
      <c r="BO106" s="101">
        <f t="shared" si="8"/>
        <v>0</v>
      </c>
      <c r="BP106" s="36"/>
      <c r="BQ106" s="103">
        <v>3.0</v>
      </c>
      <c r="BR106" s="36"/>
      <c r="BS106" s="36"/>
      <c r="BT106" s="36"/>
      <c r="BU106" s="36"/>
      <c r="BV106" s="101">
        <f t="shared" si="9"/>
        <v>3</v>
      </c>
      <c r="BW106" s="36"/>
      <c r="BX106" s="36"/>
      <c r="BY106" s="36"/>
      <c r="BZ106" s="36"/>
      <c r="CA106" s="36"/>
      <c r="CB106" s="36"/>
      <c r="CC106" s="101">
        <f t="shared" si="10"/>
        <v>0</v>
      </c>
      <c r="CD106" s="36"/>
      <c r="CE106" s="36"/>
      <c r="CF106" s="36"/>
      <c r="CG106" s="36"/>
      <c r="CH106" s="36"/>
      <c r="CI106" s="36"/>
      <c r="CJ106" s="101">
        <f t="shared" si="11"/>
        <v>0</v>
      </c>
      <c r="CQ106" s="101">
        <f t="shared" si="12"/>
        <v>0</v>
      </c>
      <c r="CR106" s="36"/>
      <c r="CS106" s="36"/>
      <c r="CT106" s="36"/>
      <c r="CU106" s="36"/>
      <c r="CV106" s="36"/>
      <c r="CW106" s="36"/>
      <c r="CX106" s="101">
        <f t="shared" si="13"/>
        <v>0</v>
      </c>
      <c r="CY106" s="36"/>
      <c r="CZ106" s="36"/>
      <c r="DA106" s="36"/>
      <c r="DB106" s="36"/>
      <c r="DC106" s="36"/>
      <c r="DD106" s="36"/>
      <c r="DE106" s="101">
        <f t="shared" si="14"/>
        <v>0</v>
      </c>
      <c r="DF106" s="36"/>
      <c r="DG106" s="36"/>
      <c r="DH106" s="36"/>
      <c r="DI106" s="36"/>
      <c r="DJ106" s="36"/>
      <c r="DK106" s="36"/>
      <c r="DL106" s="101">
        <f t="shared" si="15"/>
        <v>0</v>
      </c>
      <c r="DS106" s="101">
        <f t="shared" si="16"/>
        <v>0</v>
      </c>
      <c r="DZ106" s="101">
        <f t="shared" si="17"/>
        <v>0</v>
      </c>
    </row>
    <row r="107">
      <c r="A107" s="101" t="s">
        <v>206</v>
      </c>
      <c r="B107" s="101" t="s">
        <v>45</v>
      </c>
      <c r="C107" s="101">
        <v>17.5</v>
      </c>
      <c r="D107" s="101">
        <v>16.7</v>
      </c>
      <c r="E107" s="101">
        <v>29.0</v>
      </c>
      <c r="F107" s="101">
        <v>60.0</v>
      </c>
      <c r="G107" s="101">
        <v>35.0</v>
      </c>
      <c r="H107" s="101">
        <v>45.0</v>
      </c>
      <c r="I107" s="101">
        <v>15.0</v>
      </c>
      <c r="J107" s="101">
        <v>65.0</v>
      </c>
      <c r="K107" s="101">
        <v>40.0</v>
      </c>
      <c r="L107" s="101">
        <v>7.0</v>
      </c>
      <c r="M107" s="101">
        <v>8.0</v>
      </c>
      <c r="N107" s="101">
        <v>1.0</v>
      </c>
      <c r="R107" s="101">
        <f t="shared" si="1"/>
        <v>16</v>
      </c>
      <c r="S107" s="103">
        <v>1.0</v>
      </c>
      <c r="T107" s="103">
        <v>1.0</v>
      </c>
      <c r="U107" s="36"/>
      <c r="V107" s="36"/>
      <c r="W107" s="36"/>
      <c r="X107" s="36"/>
      <c r="Y107" s="101">
        <f t="shared" si="2"/>
        <v>2</v>
      </c>
      <c r="Z107" s="101">
        <v>8.0</v>
      </c>
      <c r="AA107" s="101">
        <v>3.0</v>
      </c>
      <c r="AF107" s="101">
        <f t="shared" si="3"/>
        <v>11</v>
      </c>
      <c r="AG107" s="36"/>
      <c r="AH107" s="103">
        <v>2.0</v>
      </c>
      <c r="AI107" s="36"/>
      <c r="AJ107" s="36"/>
      <c r="AK107" s="36"/>
      <c r="AL107" s="36"/>
      <c r="AM107" s="101">
        <f t="shared" si="4"/>
        <v>2</v>
      </c>
      <c r="AN107" s="103">
        <v>1.0</v>
      </c>
      <c r="AO107" s="103">
        <v>1.0</v>
      </c>
      <c r="AP107" s="36"/>
      <c r="AQ107" s="36"/>
      <c r="AR107" s="36"/>
      <c r="AS107" s="36"/>
      <c r="AT107" s="101">
        <f t="shared" si="5"/>
        <v>2</v>
      </c>
      <c r="AU107" s="36"/>
      <c r="AV107" s="36"/>
      <c r="AW107" s="36"/>
      <c r="AX107" s="36"/>
      <c r="AY107" s="36"/>
      <c r="AZ107" s="36"/>
      <c r="BA107" s="101">
        <f t="shared" si="6"/>
        <v>0</v>
      </c>
      <c r="BB107" s="36"/>
      <c r="BC107" s="36"/>
      <c r="BD107" s="36"/>
      <c r="BE107" s="36"/>
      <c r="BF107" s="36"/>
      <c r="BG107" s="36"/>
      <c r="BH107" s="101">
        <f t="shared" si="7"/>
        <v>0</v>
      </c>
      <c r="BI107" s="36"/>
      <c r="BJ107" s="36"/>
      <c r="BK107" s="36"/>
      <c r="BL107" s="36"/>
      <c r="BM107" s="36"/>
      <c r="BN107" s="36"/>
      <c r="BO107" s="101">
        <f t="shared" si="8"/>
        <v>0</v>
      </c>
      <c r="BP107" s="103">
        <v>1.0</v>
      </c>
      <c r="BQ107" s="103">
        <v>2.0</v>
      </c>
      <c r="BR107" s="36"/>
      <c r="BS107" s="36"/>
      <c r="BT107" s="36"/>
      <c r="BU107" s="36"/>
      <c r="BV107" s="101">
        <f t="shared" si="9"/>
        <v>3</v>
      </c>
      <c r="BW107" s="36"/>
      <c r="BX107" s="36"/>
      <c r="BY107" s="36"/>
      <c r="BZ107" s="36"/>
      <c r="CA107" s="36"/>
      <c r="CB107" s="36"/>
      <c r="CC107" s="101">
        <f t="shared" si="10"/>
        <v>0</v>
      </c>
      <c r="CD107" s="36"/>
      <c r="CE107" s="36"/>
      <c r="CF107" s="36"/>
      <c r="CG107" s="36"/>
      <c r="CH107" s="36"/>
      <c r="CI107" s="36"/>
      <c r="CJ107" s="101">
        <f t="shared" si="11"/>
        <v>0</v>
      </c>
      <c r="CQ107" s="101">
        <f t="shared" si="12"/>
        <v>0</v>
      </c>
      <c r="CR107" s="36"/>
      <c r="CS107" s="103">
        <v>1.0</v>
      </c>
      <c r="CT107" s="36"/>
      <c r="CU107" s="36"/>
      <c r="CV107" s="36"/>
      <c r="CW107" s="36"/>
      <c r="CX107" s="101">
        <f t="shared" si="13"/>
        <v>1</v>
      </c>
      <c r="CY107" s="36"/>
      <c r="CZ107" s="36"/>
      <c r="DA107" s="36"/>
      <c r="DB107" s="36"/>
      <c r="DC107" s="36"/>
      <c r="DD107" s="36"/>
      <c r="DE107" s="101">
        <f t="shared" si="14"/>
        <v>0</v>
      </c>
      <c r="DF107" s="36"/>
      <c r="DG107" s="36"/>
      <c r="DH107" s="103">
        <v>3.0</v>
      </c>
      <c r="DI107" s="36"/>
      <c r="DJ107" s="36"/>
      <c r="DK107" s="36"/>
      <c r="DL107" s="101">
        <f t="shared" si="15"/>
        <v>3</v>
      </c>
      <c r="DS107" s="101">
        <f t="shared" si="16"/>
        <v>0</v>
      </c>
      <c r="DZ107" s="101">
        <f t="shared" si="17"/>
        <v>0</v>
      </c>
    </row>
    <row r="108">
      <c r="A108" s="101" t="s">
        <v>207</v>
      </c>
      <c r="B108" s="101" t="s">
        <v>43</v>
      </c>
      <c r="C108" s="101">
        <v>9.1</v>
      </c>
      <c r="D108" s="101">
        <v>7.6</v>
      </c>
      <c r="E108" s="101">
        <v>28.0</v>
      </c>
      <c r="F108" s="101">
        <v>55.0</v>
      </c>
      <c r="G108" s="101">
        <v>50.0</v>
      </c>
      <c r="H108" s="101">
        <v>60.0</v>
      </c>
      <c r="I108" s="101">
        <v>75.0</v>
      </c>
      <c r="J108" s="101">
        <v>30.0</v>
      </c>
      <c r="K108" s="101">
        <v>90.0</v>
      </c>
      <c r="L108" s="101">
        <v>29.0</v>
      </c>
      <c r="M108" s="101">
        <v>7.0</v>
      </c>
      <c r="N108" s="101">
        <v>1.0</v>
      </c>
      <c r="R108" s="101">
        <f t="shared" si="1"/>
        <v>37</v>
      </c>
      <c r="S108" s="103">
        <v>1.0</v>
      </c>
      <c r="T108" s="36"/>
      <c r="U108" s="36"/>
      <c r="V108" s="36"/>
      <c r="W108" s="36"/>
      <c r="X108" s="36"/>
      <c r="Y108" s="101">
        <f t="shared" si="2"/>
        <v>1</v>
      </c>
      <c r="Z108" s="101">
        <v>13.0</v>
      </c>
      <c r="AA108" s="101">
        <v>1.0</v>
      </c>
      <c r="AF108" s="101">
        <f t="shared" si="3"/>
        <v>14</v>
      </c>
      <c r="AG108" s="36"/>
      <c r="AH108" s="36"/>
      <c r="AI108" s="36"/>
      <c r="AJ108" s="36"/>
      <c r="AK108" s="36"/>
      <c r="AL108" s="36"/>
      <c r="AM108" s="101">
        <f t="shared" si="4"/>
        <v>0</v>
      </c>
      <c r="AN108" s="36"/>
      <c r="AO108" s="103">
        <v>44.0</v>
      </c>
      <c r="AP108" s="103">
        <v>14.0</v>
      </c>
      <c r="AQ108" s="36"/>
      <c r="AR108" s="36"/>
      <c r="AS108" s="36"/>
      <c r="AT108" s="101">
        <f t="shared" si="5"/>
        <v>58</v>
      </c>
      <c r="AU108" s="36"/>
      <c r="AV108" s="36"/>
      <c r="AW108" s="36"/>
      <c r="AX108" s="36"/>
      <c r="AY108" s="36"/>
      <c r="AZ108" s="36"/>
      <c r="BA108" s="101">
        <f t="shared" si="6"/>
        <v>0</v>
      </c>
      <c r="BB108" s="36"/>
      <c r="BC108" s="36"/>
      <c r="BD108" s="36"/>
      <c r="BE108" s="36"/>
      <c r="BF108" s="36"/>
      <c r="BG108" s="36"/>
      <c r="BH108" s="101">
        <f t="shared" si="7"/>
        <v>0</v>
      </c>
      <c r="BI108" s="36"/>
      <c r="BJ108" s="36"/>
      <c r="BK108" s="36"/>
      <c r="BL108" s="36"/>
      <c r="BM108" s="36"/>
      <c r="BN108" s="36"/>
      <c r="BO108" s="101">
        <f t="shared" si="8"/>
        <v>0</v>
      </c>
      <c r="BP108" s="36"/>
      <c r="BQ108" s="103">
        <v>4.0</v>
      </c>
      <c r="BR108" s="103">
        <v>1.0</v>
      </c>
      <c r="BS108" s="36"/>
      <c r="BT108" s="36"/>
      <c r="BU108" s="36"/>
      <c r="BV108" s="101">
        <f t="shared" si="9"/>
        <v>5</v>
      </c>
      <c r="BW108" s="36"/>
      <c r="BX108" s="36"/>
      <c r="BY108" s="36"/>
      <c r="BZ108" s="36"/>
      <c r="CA108" s="36"/>
      <c r="CB108" s="36"/>
      <c r="CC108" s="101">
        <f t="shared" si="10"/>
        <v>0</v>
      </c>
      <c r="CD108" s="36"/>
      <c r="CE108" s="36"/>
      <c r="CF108" s="36"/>
      <c r="CG108" s="36"/>
      <c r="CH108" s="36"/>
      <c r="CI108" s="36"/>
      <c r="CJ108" s="101">
        <f t="shared" si="11"/>
        <v>0</v>
      </c>
      <c r="CQ108" s="101">
        <f t="shared" si="12"/>
        <v>0</v>
      </c>
      <c r="CR108" s="36"/>
      <c r="CS108" s="103">
        <v>1.0</v>
      </c>
      <c r="CT108" s="36"/>
      <c r="CU108" s="36"/>
      <c r="CV108" s="36"/>
      <c r="CW108" s="36"/>
      <c r="CX108" s="101">
        <f t="shared" si="13"/>
        <v>1</v>
      </c>
      <c r="CY108" s="36"/>
      <c r="CZ108" s="36"/>
      <c r="DA108" s="36"/>
      <c r="DB108" s="36"/>
      <c r="DC108" s="36"/>
      <c r="DD108" s="36"/>
      <c r="DE108" s="101">
        <f t="shared" si="14"/>
        <v>0</v>
      </c>
      <c r="DF108" s="36"/>
      <c r="DG108" s="36"/>
      <c r="DH108" s="36"/>
      <c r="DI108" s="36"/>
      <c r="DJ108" s="36"/>
      <c r="DK108" s="36"/>
      <c r="DL108" s="101">
        <f t="shared" si="15"/>
        <v>0</v>
      </c>
      <c r="DS108" s="101">
        <f t="shared" si="16"/>
        <v>0</v>
      </c>
      <c r="DZ108" s="101">
        <f t="shared" si="17"/>
        <v>0</v>
      </c>
    </row>
    <row r="109">
      <c r="A109" s="101" t="s">
        <v>207</v>
      </c>
      <c r="B109" s="101" t="s">
        <v>42</v>
      </c>
      <c r="C109" s="101">
        <v>8.8</v>
      </c>
      <c r="D109" s="101">
        <v>6.6</v>
      </c>
      <c r="E109" s="101">
        <v>28.0</v>
      </c>
      <c r="F109" s="101">
        <v>45.0</v>
      </c>
      <c r="G109" s="101">
        <v>40.0</v>
      </c>
      <c r="H109" s="101">
        <v>45.0</v>
      </c>
      <c r="I109" s="101">
        <v>40.0</v>
      </c>
      <c r="J109" s="101">
        <v>55.0</v>
      </c>
      <c r="K109" s="101">
        <v>30.0</v>
      </c>
      <c r="L109" s="101">
        <v>27.0</v>
      </c>
      <c r="M109" s="101">
        <v>15.0</v>
      </c>
      <c r="N109" s="101">
        <v>5.0</v>
      </c>
      <c r="R109" s="101">
        <f t="shared" si="1"/>
        <v>47</v>
      </c>
      <c r="S109" s="103">
        <v>12.0</v>
      </c>
      <c r="T109" s="103">
        <v>1.0</v>
      </c>
      <c r="U109" s="36"/>
      <c r="V109" s="36"/>
      <c r="W109" s="36"/>
      <c r="X109" s="36"/>
      <c r="Y109" s="101">
        <f t="shared" si="2"/>
        <v>13</v>
      </c>
      <c r="Z109" s="101">
        <v>39.0</v>
      </c>
      <c r="AA109" s="101">
        <v>2.0</v>
      </c>
      <c r="AF109" s="101">
        <f t="shared" si="3"/>
        <v>41</v>
      </c>
      <c r="AG109" s="36"/>
      <c r="AH109" s="36"/>
      <c r="AI109" s="103">
        <v>4.0</v>
      </c>
      <c r="AJ109" s="36"/>
      <c r="AK109" s="36"/>
      <c r="AL109" s="36"/>
      <c r="AM109" s="101">
        <f t="shared" si="4"/>
        <v>4</v>
      </c>
      <c r="AN109" s="36"/>
      <c r="AO109" s="36"/>
      <c r="AP109" s="103">
        <v>2.0</v>
      </c>
      <c r="AQ109" s="36"/>
      <c r="AR109" s="36"/>
      <c r="AS109" s="36"/>
      <c r="AT109" s="101">
        <f t="shared" si="5"/>
        <v>2</v>
      </c>
      <c r="AU109" s="36"/>
      <c r="AV109" s="103">
        <v>2.0</v>
      </c>
      <c r="AW109" s="103">
        <v>5.0</v>
      </c>
      <c r="AX109" s="36"/>
      <c r="AY109" s="36"/>
      <c r="AZ109" s="36"/>
      <c r="BA109" s="101">
        <f t="shared" si="6"/>
        <v>7</v>
      </c>
      <c r="BB109" s="36"/>
      <c r="BC109" s="36"/>
      <c r="BD109" s="36"/>
      <c r="BE109" s="36"/>
      <c r="BF109" s="36"/>
      <c r="BG109" s="36"/>
      <c r="BH109" s="101">
        <f t="shared" si="7"/>
        <v>0</v>
      </c>
      <c r="BI109" s="103">
        <v>1.0</v>
      </c>
      <c r="BJ109" s="103">
        <v>1.0</v>
      </c>
      <c r="BK109" s="36"/>
      <c r="BL109" s="36"/>
      <c r="BM109" s="36"/>
      <c r="BN109" s="36"/>
      <c r="BO109" s="101">
        <f t="shared" si="8"/>
        <v>2</v>
      </c>
      <c r="BP109" s="36"/>
      <c r="BQ109" s="103">
        <v>5.0</v>
      </c>
      <c r="BR109" s="103">
        <v>1.0</v>
      </c>
      <c r="BS109" s="36"/>
      <c r="BT109" s="36"/>
      <c r="BU109" s="36"/>
      <c r="BV109" s="101">
        <f t="shared" si="9"/>
        <v>6</v>
      </c>
      <c r="BW109" s="36"/>
      <c r="BX109" s="36"/>
      <c r="BY109" s="36"/>
      <c r="BZ109" s="36"/>
      <c r="CA109" s="36"/>
      <c r="CB109" s="36"/>
      <c r="CC109" s="101">
        <f t="shared" si="10"/>
        <v>0</v>
      </c>
      <c r="CD109" s="36"/>
      <c r="CE109" s="36"/>
      <c r="CF109" s="36"/>
      <c r="CG109" s="36"/>
      <c r="CH109" s="36"/>
      <c r="CI109" s="36"/>
      <c r="CJ109" s="101">
        <f t="shared" si="11"/>
        <v>0</v>
      </c>
      <c r="CQ109" s="101">
        <f t="shared" si="12"/>
        <v>0</v>
      </c>
      <c r="CR109" s="36"/>
      <c r="CS109" s="36"/>
      <c r="CT109" s="36"/>
      <c r="CU109" s="36"/>
      <c r="CV109" s="36"/>
      <c r="CW109" s="36"/>
      <c r="CX109" s="101">
        <f t="shared" si="13"/>
        <v>0</v>
      </c>
      <c r="CY109" s="36"/>
      <c r="CZ109" s="36"/>
      <c r="DA109" s="36"/>
      <c r="DB109" s="36"/>
      <c r="DC109" s="36"/>
      <c r="DD109" s="36"/>
      <c r="DE109" s="101">
        <f t="shared" si="14"/>
        <v>0</v>
      </c>
      <c r="DF109" s="36"/>
      <c r="DG109" s="36"/>
      <c r="DH109" s="36"/>
      <c r="DI109" s="36"/>
      <c r="DJ109" s="36"/>
      <c r="DK109" s="36"/>
      <c r="DL109" s="101">
        <f t="shared" si="15"/>
        <v>0</v>
      </c>
      <c r="DS109" s="101">
        <f t="shared" si="16"/>
        <v>0</v>
      </c>
      <c r="DZ109" s="101">
        <f t="shared" si="17"/>
        <v>0</v>
      </c>
    </row>
    <row r="110">
      <c r="A110" s="101" t="s">
        <v>208</v>
      </c>
      <c r="B110" s="101" t="s">
        <v>44</v>
      </c>
      <c r="C110" s="101">
        <v>14.1</v>
      </c>
      <c r="D110" s="101">
        <v>13.2</v>
      </c>
      <c r="E110" s="101">
        <v>29.0</v>
      </c>
      <c r="F110" s="101">
        <v>45.0</v>
      </c>
      <c r="G110" s="101">
        <v>60.0</v>
      </c>
      <c r="H110" s="101">
        <v>70.0</v>
      </c>
      <c r="I110" s="101">
        <v>85.0</v>
      </c>
      <c r="J110" s="101">
        <v>40.0</v>
      </c>
      <c r="K110" s="101">
        <v>50.0</v>
      </c>
      <c r="L110" s="101">
        <v>5.0</v>
      </c>
      <c r="M110" s="101">
        <v>13.0</v>
      </c>
      <c r="N110" s="101">
        <v>6.0</v>
      </c>
      <c r="R110" s="101">
        <f t="shared" si="1"/>
        <v>24</v>
      </c>
      <c r="S110" s="103">
        <v>2.0</v>
      </c>
      <c r="T110" s="36"/>
      <c r="U110" s="36"/>
      <c r="V110" s="36"/>
      <c r="W110" s="36"/>
      <c r="X110" s="36"/>
      <c r="Y110" s="101">
        <f t="shared" si="2"/>
        <v>2</v>
      </c>
      <c r="Z110" s="101">
        <v>11.0</v>
      </c>
      <c r="AA110" s="101">
        <v>3.0</v>
      </c>
      <c r="AF110" s="101">
        <f t="shared" si="3"/>
        <v>14</v>
      </c>
      <c r="AG110" s="36"/>
      <c r="AH110" s="103">
        <v>6.0</v>
      </c>
      <c r="AI110" s="103">
        <v>7.0</v>
      </c>
      <c r="AJ110" s="36"/>
      <c r="AK110" s="36"/>
      <c r="AL110" s="36"/>
      <c r="AM110" s="101">
        <f t="shared" si="4"/>
        <v>13</v>
      </c>
      <c r="AN110" s="103">
        <v>2.0</v>
      </c>
      <c r="AO110" s="103">
        <v>10.0</v>
      </c>
      <c r="AP110" s="103">
        <v>20.0</v>
      </c>
      <c r="AQ110" s="36"/>
      <c r="AR110" s="36"/>
      <c r="AS110" s="36"/>
      <c r="AT110" s="101">
        <f t="shared" si="5"/>
        <v>32</v>
      </c>
      <c r="AU110" s="36"/>
      <c r="AV110" s="36"/>
      <c r="AW110" s="36"/>
      <c r="AX110" s="36"/>
      <c r="AY110" s="36"/>
      <c r="AZ110" s="36"/>
      <c r="BA110" s="101">
        <f t="shared" si="6"/>
        <v>0</v>
      </c>
      <c r="BB110" s="36"/>
      <c r="BC110" s="36"/>
      <c r="BD110" s="36"/>
      <c r="BE110" s="103">
        <v>1.0</v>
      </c>
      <c r="BF110" s="36"/>
      <c r="BG110" s="36"/>
      <c r="BH110" s="101">
        <f t="shared" si="7"/>
        <v>1</v>
      </c>
      <c r="BI110" s="36"/>
      <c r="BJ110" s="36"/>
      <c r="BK110" s="36"/>
      <c r="BL110" s="36"/>
      <c r="BM110" s="36"/>
      <c r="BN110" s="36"/>
      <c r="BO110" s="101">
        <f t="shared" si="8"/>
        <v>0</v>
      </c>
      <c r="BP110" s="103">
        <v>1.0</v>
      </c>
      <c r="BQ110" s="103">
        <v>3.0</v>
      </c>
      <c r="BR110" s="103">
        <v>1.0</v>
      </c>
      <c r="BS110" s="36"/>
      <c r="BT110" s="36"/>
      <c r="BU110" s="36"/>
      <c r="BV110" s="101">
        <f t="shared" si="9"/>
        <v>5</v>
      </c>
      <c r="BW110" s="36"/>
      <c r="BX110" s="36"/>
      <c r="BY110" s="36"/>
      <c r="BZ110" s="36"/>
      <c r="CA110" s="36"/>
      <c r="CB110" s="36"/>
      <c r="CC110" s="101">
        <f t="shared" si="10"/>
        <v>0</v>
      </c>
      <c r="CD110" s="36"/>
      <c r="CE110" s="36"/>
      <c r="CF110" s="36"/>
      <c r="CG110" s="36"/>
      <c r="CH110" s="36"/>
      <c r="CI110" s="36"/>
      <c r="CJ110" s="101">
        <f t="shared" si="11"/>
        <v>0</v>
      </c>
      <c r="CQ110" s="101">
        <f t="shared" si="12"/>
        <v>0</v>
      </c>
      <c r="CR110" s="36"/>
      <c r="CS110" s="36"/>
      <c r="CT110" s="36"/>
      <c r="CU110" s="36"/>
      <c r="CV110" s="36"/>
      <c r="CW110" s="36"/>
      <c r="CX110" s="101">
        <f t="shared" si="13"/>
        <v>0</v>
      </c>
      <c r="CY110" s="36"/>
      <c r="CZ110" s="36"/>
      <c r="DA110" s="36"/>
      <c r="DB110" s="36"/>
      <c r="DC110" s="36"/>
      <c r="DD110" s="36"/>
      <c r="DE110" s="101">
        <f t="shared" si="14"/>
        <v>0</v>
      </c>
      <c r="DF110" s="36"/>
      <c r="DG110" s="36"/>
      <c r="DH110" s="36"/>
      <c r="DI110" s="36"/>
      <c r="DJ110" s="36"/>
      <c r="DK110" s="36"/>
      <c r="DL110" s="101">
        <f t="shared" si="15"/>
        <v>0</v>
      </c>
      <c r="DS110" s="101">
        <f t="shared" si="16"/>
        <v>0</v>
      </c>
      <c r="DZ110" s="101">
        <f t="shared" si="17"/>
        <v>0</v>
      </c>
    </row>
    <row r="111">
      <c r="A111" s="101" t="s">
        <v>208</v>
      </c>
      <c r="B111" s="101" t="s">
        <v>65</v>
      </c>
      <c r="C111" s="101">
        <v>10.5</v>
      </c>
      <c r="D111" s="101">
        <v>10.6</v>
      </c>
      <c r="E111" s="101">
        <v>28.0</v>
      </c>
      <c r="F111" s="101">
        <v>60.0</v>
      </c>
      <c r="G111" s="101">
        <v>80.0</v>
      </c>
      <c r="H111" s="101">
        <v>85.0</v>
      </c>
      <c r="I111" s="101">
        <v>75.0</v>
      </c>
      <c r="J111" s="101">
        <v>45.0</v>
      </c>
      <c r="K111" s="101">
        <v>105.0</v>
      </c>
      <c r="L111" s="101">
        <v>14.0</v>
      </c>
      <c r="M111" s="101">
        <v>7.0</v>
      </c>
      <c r="N111" s="101">
        <v>2.0</v>
      </c>
      <c r="R111" s="101">
        <f t="shared" si="1"/>
        <v>23</v>
      </c>
      <c r="S111" s="103">
        <v>2.0</v>
      </c>
      <c r="T111" s="36"/>
      <c r="U111" s="36"/>
      <c r="V111" s="36"/>
      <c r="W111" s="36"/>
      <c r="X111" s="36"/>
      <c r="Y111" s="101">
        <f t="shared" si="2"/>
        <v>2</v>
      </c>
      <c r="Z111" s="101">
        <v>12.0</v>
      </c>
      <c r="AA111" s="101">
        <v>4.0</v>
      </c>
      <c r="AF111" s="101">
        <f t="shared" si="3"/>
        <v>16</v>
      </c>
      <c r="AG111" s="36"/>
      <c r="AH111" s="103">
        <v>1.0</v>
      </c>
      <c r="AI111" s="36"/>
      <c r="AJ111" s="36"/>
      <c r="AK111" s="36"/>
      <c r="AL111" s="36"/>
      <c r="AM111" s="101">
        <f t="shared" si="4"/>
        <v>1</v>
      </c>
      <c r="AN111" s="36"/>
      <c r="AO111" s="103">
        <v>10.0</v>
      </c>
      <c r="AP111" s="103">
        <v>17.0</v>
      </c>
      <c r="AQ111" s="36"/>
      <c r="AR111" s="36"/>
      <c r="AS111" s="36"/>
      <c r="AT111" s="101">
        <f t="shared" si="5"/>
        <v>27</v>
      </c>
      <c r="AU111" s="103">
        <v>1.0</v>
      </c>
      <c r="AV111" s="36"/>
      <c r="AW111" s="36"/>
      <c r="AX111" s="36"/>
      <c r="AY111" s="36"/>
      <c r="AZ111" s="36"/>
      <c r="BA111" s="101">
        <f t="shared" si="6"/>
        <v>1</v>
      </c>
      <c r="BB111" s="36"/>
      <c r="BC111" s="36"/>
      <c r="BD111" s="36"/>
      <c r="BE111" s="36"/>
      <c r="BF111" s="36"/>
      <c r="BG111" s="36"/>
      <c r="BH111" s="101">
        <f t="shared" si="7"/>
        <v>0</v>
      </c>
      <c r="BI111" s="103">
        <v>1.0</v>
      </c>
      <c r="BJ111" s="103">
        <v>1.0</v>
      </c>
      <c r="BK111" s="36"/>
      <c r="BL111" s="36"/>
      <c r="BM111" s="36"/>
      <c r="BN111" s="36"/>
      <c r="BO111" s="101">
        <f t="shared" si="8"/>
        <v>2</v>
      </c>
      <c r="BP111" s="36"/>
      <c r="BQ111" s="103">
        <v>4.0</v>
      </c>
      <c r="BR111" s="103">
        <v>1.0</v>
      </c>
      <c r="BS111" s="36"/>
      <c r="BT111" s="36"/>
      <c r="BU111" s="36"/>
      <c r="BV111" s="101">
        <f t="shared" si="9"/>
        <v>5</v>
      </c>
      <c r="BW111" s="36"/>
      <c r="BX111" s="36"/>
      <c r="BY111" s="36"/>
      <c r="BZ111" s="36"/>
      <c r="CA111" s="36"/>
      <c r="CB111" s="36"/>
      <c r="CC111" s="101">
        <f t="shared" si="10"/>
        <v>0</v>
      </c>
      <c r="CD111" s="36"/>
      <c r="CE111" s="36"/>
      <c r="CF111" s="36"/>
      <c r="CG111" s="36"/>
      <c r="CH111" s="36"/>
      <c r="CI111" s="36"/>
      <c r="CJ111" s="101">
        <f t="shared" si="11"/>
        <v>0</v>
      </c>
      <c r="CQ111" s="101">
        <f t="shared" si="12"/>
        <v>0</v>
      </c>
      <c r="CR111" s="36"/>
      <c r="CS111" s="36"/>
      <c r="CT111" s="36"/>
      <c r="CU111" s="36"/>
      <c r="CV111" s="36"/>
      <c r="CW111" s="36"/>
      <c r="CX111" s="101">
        <f t="shared" si="13"/>
        <v>0</v>
      </c>
      <c r="CY111" s="36"/>
      <c r="CZ111" s="36"/>
      <c r="DA111" s="36"/>
      <c r="DB111" s="36"/>
      <c r="DC111" s="36"/>
      <c r="DD111" s="36"/>
      <c r="DE111" s="101">
        <f t="shared" si="14"/>
        <v>0</v>
      </c>
      <c r="DF111" s="36"/>
      <c r="DG111" s="36"/>
      <c r="DH111" s="36"/>
      <c r="DI111" s="36"/>
      <c r="DJ111" s="36"/>
      <c r="DK111" s="36"/>
      <c r="DL111" s="101">
        <f t="shared" si="15"/>
        <v>0</v>
      </c>
      <c r="DS111" s="101">
        <f t="shared" si="16"/>
        <v>0</v>
      </c>
      <c r="DZ111" s="101">
        <f t="shared" si="17"/>
        <v>0</v>
      </c>
    </row>
    <row r="112">
      <c r="A112" s="102">
        <v>45723.0</v>
      </c>
      <c r="B112" s="101" t="s">
        <v>44</v>
      </c>
      <c r="C112" s="101">
        <v>10.7</v>
      </c>
      <c r="D112" s="101">
        <v>10.4</v>
      </c>
      <c r="E112" s="101">
        <v>28.0</v>
      </c>
      <c r="F112" s="101">
        <v>70.0</v>
      </c>
      <c r="G112" s="101">
        <v>50.0</v>
      </c>
      <c r="H112" s="101">
        <v>40.0</v>
      </c>
      <c r="I112" s="101">
        <v>45.0</v>
      </c>
      <c r="J112" s="101">
        <v>90.0</v>
      </c>
      <c r="K112" s="101">
        <v>85.0</v>
      </c>
      <c r="L112" s="101">
        <v>15.0</v>
      </c>
      <c r="M112" s="101">
        <v>21.0</v>
      </c>
      <c r="N112" s="101">
        <v>3.0</v>
      </c>
      <c r="O112" s="101">
        <v>1.0</v>
      </c>
      <c r="R112" s="101">
        <f t="shared" si="1"/>
        <v>40</v>
      </c>
      <c r="S112" s="36"/>
      <c r="T112" s="103">
        <v>2.0</v>
      </c>
      <c r="U112" s="36"/>
      <c r="V112" s="36"/>
      <c r="W112" s="36"/>
      <c r="X112" s="36"/>
      <c r="Y112" s="101">
        <f t="shared" si="2"/>
        <v>2</v>
      </c>
      <c r="Z112" s="101">
        <v>27.0</v>
      </c>
      <c r="AF112" s="101">
        <f t="shared" si="3"/>
        <v>27</v>
      </c>
      <c r="AG112" s="36"/>
      <c r="AH112" s="103">
        <v>1.0</v>
      </c>
      <c r="AI112" s="103">
        <v>1.0</v>
      </c>
      <c r="AJ112" s="103">
        <v>3.0</v>
      </c>
      <c r="AK112" s="36"/>
      <c r="AL112" s="36"/>
      <c r="AM112" s="101">
        <f t="shared" si="4"/>
        <v>5</v>
      </c>
      <c r="AN112" s="36"/>
      <c r="AO112" s="36"/>
      <c r="AP112" s="36"/>
      <c r="AQ112" s="36"/>
      <c r="AR112" s="36"/>
      <c r="AS112" s="36"/>
      <c r="AT112" s="101">
        <f t="shared" si="5"/>
        <v>0</v>
      </c>
      <c r="AU112" s="36"/>
      <c r="AV112" s="36"/>
      <c r="AW112" s="103">
        <v>1.0</v>
      </c>
      <c r="AX112" s="36"/>
      <c r="AY112" s="36"/>
      <c r="AZ112" s="36"/>
      <c r="BA112" s="101">
        <f t="shared" si="6"/>
        <v>1</v>
      </c>
      <c r="BB112" s="36"/>
      <c r="BC112" s="36"/>
      <c r="BD112" s="36"/>
      <c r="BE112" s="36"/>
      <c r="BF112" s="36"/>
      <c r="BG112" s="36"/>
      <c r="BH112" s="101">
        <f t="shared" si="7"/>
        <v>0</v>
      </c>
      <c r="BI112" s="36"/>
      <c r="BJ112" s="36"/>
      <c r="BK112" s="36"/>
      <c r="BL112" s="36"/>
      <c r="BM112" s="36"/>
      <c r="BN112" s="36"/>
      <c r="BO112" s="101">
        <f t="shared" si="8"/>
        <v>0</v>
      </c>
      <c r="BP112" s="103">
        <v>1.0</v>
      </c>
      <c r="BQ112" s="103">
        <v>5.0</v>
      </c>
      <c r="BR112" s="103">
        <v>1.0</v>
      </c>
      <c r="BS112" s="36"/>
      <c r="BT112" s="36"/>
      <c r="BU112" s="36"/>
      <c r="BV112" s="101">
        <f t="shared" si="9"/>
        <v>7</v>
      </c>
      <c r="BW112" s="36"/>
      <c r="BX112" s="36"/>
      <c r="BY112" s="36"/>
      <c r="BZ112" s="36"/>
      <c r="CA112" s="36"/>
      <c r="CB112" s="36"/>
      <c r="CC112" s="101">
        <f t="shared" si="10"/>
        <v>0</v>
      </c>
      <c r="CD112" s="36"/>
      <c r="CE112" s="36"/>
      <c r="CF112" s="36"/>
      <c r="CG112" s="36"/>
      <c r="CH112" s="36"/>
      <c r="CI112" s="36"/>
      <c r="CJ112" s="101">
        <f t="shared" si="11"/>
        <v>0</v>
      </c>
      <c r="CQ112" s="101">
        <f t="shared" si="12"/>
        <v>0</v>
      </c>
      <c r="CR112" s="36"/>
      <c r="CS112" s="36"/>
      <c r="CT112" s="36"/>
      <c r="CU112" s="36"/>
      <c r="CV112" s="36"/>
      <c r="CW112" s="36"/>
      <c r="CX112" s="101">
        <f t="shared" si="13"/>
        <v>0</v>
      </c>
      <c r="CY112" s="36"/>
      <c r="CZ112" s="36"/>
      <c r="DA112" s="36"/>
      <c r="DB112" s="36"/>
      <c r="DC112" s="36"/>
      <c r="DD112" s="36"/>
      <c r="DE112" s="101">
        <f t="shared" si="14"/>
        <v>0</v>
      </c>
      <c r="DF112" s="36"/>
      <c r="DG112" s="36"/>
      <c r="DH112" s="36"/>
      <c r="DI112" s="36"/>
      <c r="DJ112" s="36"/>
      <c r="DK112" s="36"/>
      <c r="DL112" s="101">
        <f t="shared" si="15"/>
        <v>0</v>
      </c>
      <c r="DS112" s="101">
        <f t="shared" si="16"/>
        <v>0</v>
      </c>
      <c r="DZ112" s="101">
        <f t="shared" si="17"/>
        <v>0</v>
      </c>
    </row>
    <row r="113">
      <c r="A113" s="102">
        <v>45876.0</v>
      </c>
      <c r="B113" s="101" t="s">
        <v>45</v>
      </c>
      <c r="C113" s="101">
        <v>10.7</v>
      </c>
      <c r="D113" s="101">
        <v>10.9</v>
      </c>
      <c r="E113" s="101">
        <v>29.0</v>
      </c>
      <c r="F113" s="101">
        <v>45.0</v>
      </c>
      <c r="G113" s="101">
        <v>35.0</v>
      </c>
      <c r="H113" s="101">
        <v>45.0</v>
      </c>
      <c r="I113" s="101">
        <v>45.0</v>
      </c>
      <c r="J113" s="101">
        <v>30.0</v>
      </c>
      <c r="K113" s="101">
        <v>40.0</v>
      </c>
      <c r="L113" s="101">
        <v>13.0</v>
      </c>
      <c r="M113" s="101">
        <v>21.0</v>
      </c>
      <c r="N113" s="101">
        <v>9.0</v>
      </c>
      <c r="O113" s="101">
        <v>4.0</v>
      </c>
      <c r="R113" s="101">
        <f t="shared" si="1"/>
        <v>47</v>
      </c>
      <c r="S113" s="103">
        <v>3.0</v>
      </c>
      <c r="T113" s="36"/>
      <c r="U113" s="36"/>
      <c r="V113" s="36"/>
      <c r="W113" s="36"/>
      <c r="X113" s="36"/>
      <c r="Y113" s="101">
        <f t="shared" si="2"/>
        <v>3</v>
      </c>
      <c r="Z113" s="101">
        <v>26.0</v>
      </c>
      <c r="AA113" s="101">
        <v>9.0</v>
      </c>
      <c r="AF113" s="101">
        <f t="shared" si="3"/>
        <v>35</v>
      </c>
      <c r="AG113" s="36"/>
      <c r="AH113" s="36"/>
      <c r="AI113" s="36"/>
      <c r="AJ113" s="36"/>
      <c r="AK113" s="36"/>
      <c r="AL113" s="36"/>
      <c r="AM113" s="101">
        <f t="shared" si="4"/>
        <v>0</v>
      </c>
      <c r="AN113" s="36"/>
      <c r="AO113" s="36"/>
      <c r="AP113" s="36"/>
      <c r="AQ113" s="103">
        <v>1.0</v>
      </c>
      <c r="AR113" s="36"/>
      <c r="AS113" s="36"/>
      <c r="AT113" s="101">
        <f t="shared" si="5"/>
        <v>1</v>
      </c>
      <c r="AU113" s="36"/>
      <c r="AV113" s="36"/>
      <c r="AW113" s="103">
        <v>1.0</v>
      </c>
      <c r="AX113" s="36"/>
      <c r="AY113" s="36"/>
      <c r="AZ113" s="36"/>
      <c r="BA113" s="101">
        <f t="shared" si="6"/>
        <v>1</v>
      </c>
      <c r="BB113" s="36"/>
      <c r="BC113" s="36"/>
      <c r="BD113" s="103">
        <v>1.0</v>
      </c>
      <c r="BE113" s="36"/>
      <c r="BF113" s="36"/>
      <c r="BG113" s="36"/>
      <c r="BH113" s="101">
        <f t="shared" si="7"/>
        <v>1</v>
      </c>
      <c r="BI113" s="103">
        <v>2.0</v>
      </c>
      <c r="BJ113" s="36"/>
      <c r="BK113" s="36"/>
      <c r="BL113" s="36"/>
      <c r="BM113" s="36"/>
      <c r="BN113" s="36"/>
      <c r="BO113" s="101">
        <f t="shared" si="8"/>
        <v>2</v>
      </c>
      <c r="BP113" s="103">
        <v>2.0</v>
      </c>
      <c r="BQ113" s="103">
        <v>1.0</v>
      </c>
      <c r="BR113" s="103">
        <v>2.0</v>
      </c>
      <c r="BS113" s="36"/>
      <c r="BT113" s="36"/>
      <c r="BU113" s="36"/>
      <c r="BV113" s="101">
        <f t="shared" si="9"/>
        <v>5</v>
      </c>
      <c r="BW113" s="36"/>
      <c r="BX113" s="36"/>
      <c r="BY113" s="36"/>
      <c r="BZ113" s="36"/>
      <c r="CA113" s="36"/>
      <c r="CB113" s="36"/>
      <c r="CC113" s="101">
        <f t="shared" si="10"/>
        <v>0</v>
      </c>
      <c r="CD113" s="36"/>
      <c r="CE113" s="36"/>
      <c r="CF113" s="36"/>
      <c r="CG113" s="36"/>
      <c r="CH113" s="36"/>
      <c r="CI113" s="36"/>
      <c r="CJ113" s="101">
        <f t="shared" si="11"/>
        <v>0</v>
      </c>
      <c r="CQ113" s="101">
        <f t="shared" si="12"/>
        <v>0</v>
      </c>
      <c r="CR113" s="36"/>
      <c r="CS113" s="36"/>
      <c r="CT113" s="36"/>
      <c r="CU113" s="36"/>
      <c r="CV113" s="36"/>
      <c r="CW113" s="36"/>
      <c r="CX113" s="101">
        <f t="shared" si="13"/>
        <v>0</v>
      </c>
      <c r="CY113" s="36"/>
      <c r="CZ113" s="36"/>
      <c r="DA113" s="36"/>
      <c r="DB113" s="36"/>
      <c r="DC113" s="36"/>
      <c r="DD113" s="36"/>
      <c r="DE113" s="101">
        <f t="shared" si="14"/>
        <v>0</v>
      </c>
      <c r="DF113" s="36"/>
      <c r="DG113" s="36"/>
      <c r="DH113" s="36"/>
      <c r="DI113" s="36"/>
      <c r="DJ113" s="103">
        <v>1.0</v>
      </c>
      <c r="DK113" s="36"/>
      <c r="DL113" s="101">
        <f t="shared" si="15"/>
        <v>1</v>
      </c>
      <c r="DS113" s="101">
        <f t="shared" si="16"/>
        <v>0</v>
      </c>
      <c r="DZ113" s="101">
        <f t="shared" si="17"/>
        <v>0</v>
      </c>
    </row>
    <row r="114">
      <c r="A114" s="102">
        <v>45876.0</v>
      </c>
      <c r="B114" s="101" t="s">
        <v>44</v>
      </c>
      <c r="C114" s="101">
        <v>12.5</v>
      </c>
      <c r="D114" s="101">
        <v>12.6</v>
      </c>
      <c r="E114" s="101">
        <v>30.0</v>
      </c>
      <c r="F114" s="101">
        <v>60.0</v>
      </c>
      <c r="G114" s="101">
        <v>55.0</v>
      </c>
      <c r="H114" s="101">
        <v>75.0</v>
      </c>
      <c r="I114" s="101">
        <v>55.0</v>
      </c>
      <c r="J114" s="101">
        <v>55.0</v>
      </c>
      <c r="K114" s="101">
        <v>40.0</v>
      </c>
      <c r="L114" s="101">
        <v>7.0</v>
      </c>
      <c r="M114" s="101">
        <v>7.0</v>
      </c>
      <c r="N114" s="101">
        <v>7.0</v>
      </c>
      <c r="R114" s="101">
        <f t="shared" si="1"/>
        <v>21</v>
      </c>
      <c r="S114" s="103">
        <v>1.0</v>
      </c>
      <c r="T114" s="103">
        <v>2.0</v>
      </c>
      <c r="U114" s="36"/>
      <c r="V114" s="36"/>
      <c r="W114" s="36"/>
      <c r="X114" s="36"/>
      <c r="Y114" s="101">
        <f t="shared" si="2"/>
        <v>3</v>
      </c>
      <c r="Z114" s="101">
        <v>15.0</v>
      </c>
      <c r="AA114" s="101">
        <v>7.0</v>
      </c>
      <c r="AF114" s="101">
        <f t="shared" si="3"/>
        <v>22</v>
      </c>
      <c r="AG114" s="36"/>
      <c r="AH114" s="36"/>
      <c r="AI114" s="36"/>
      <c r="AJ114" s="103">
        <v>2.0</v>
      </c>
      <c r="AK114" s="36"/>
      <c r="AL114" s="36"/>
      <c r="AM114" s="101">
        <f t="shared" si="4"/>
        <v>2</v>
      </c>
      <c r="AN114" s="36"/>
      <c r="AO114" s="103">
        <v>18.0</v>
      </c>
      <c r="AP114" s="103">
        <v>12.0</v>
      </c>
      <c r="AQ114" s="103">
        <v>1.0</v>
      </c>
      <c r="AR114" s="36"/>
      <c r="AS114" s="36"/>
      <c r="AT114" s="101">
        <f t="shared" si="5"/>
        <v>31</v>
      </c>
      <c r="AU114" s="36"/>
      <c r="AV114" s="36"/>
      <c r="AW114" s="103">
        <v>1.0</v>
      </c>
      <c r="AX114" s="36"/>
      <c r="AY114" s="36"/>
      <c r="AZ114" s="36"/>
      <c r="BA114" s="101">
        <f t="shared" si="6"/>
        <v>1</v>
      </c>
      <c r="BB114" s="36"/>
      <c r="BC114" s="36"/>
      <c r="BD114" s="36"/>
      <c r="BE114" s="36"/>
      <c r="BF114" s="36"/>
      <c r="BG114" s="36"/>
      <c r="BH114" s="101">
        <f t="shared" si="7"/>
        <v>0</v>
      </c>
      <c r="BI114" s="36"/>
      <c r="BJ114" s="36"/>
      <c r="BK114" s="36"/>
      <c r="BL114" s="36"/>
      <c r="BM114" s="36"/>
      <c r="BN114" s="36"/>
      <c r="BO114" s="101">
        <f t="shared" si="8"/>
        <v>0</v>
      </c>
      <c r="BP114" s="103">
        <v>1.0</v>
      </c>
      <c r="BQ114" s="103">
        <v>1.0</v>
      </c>
      <c r="BR114" s="36"/>
      <c r="BS114" s="36"/>
      <c r="BT114" s="36"/>
      <c r="BU114" s="36"/>
      <c r="BV114" s="101">
        <f t="shared" si="9"/>
        <v>2</v>
      </c>
      <c r="BW114" s="36"/>
      <c r="BX114" s="36"/>
      <c r="BY114" s="36"/>
      <c r="BZ114" s="36"/>
      <c r="CA114" s="36"/>
      <c r="CB114" s="36"/>
      <c r="CC114" s="101">
        <f t="shared" si="10"/>
        <v>0</v>
      </c>
      <c r="CD114" s="36"/>
      <c r="CE114" s="36"/>
      <c r="CF114" s="36"/>
      <c r="CG114" s="36"/>
      <c r="CH114" s="36"/>
      <c r="CI114" s="36"/>
      <c r="CJ114" s="101">
        <f t="shared" si="11"/>
        <v>0</v>
      </c>
      <c r="CQ114" s="101">
        <f t="shared" si="12"/>
        <v>0</v>
      </c>
      <c r="CR114" s="36"/>
      <c r="CS114" s="36"/>
      <c r="CT114" s="36"/>
      <c r="CU114" s="36"/>
      <c r="CV114" s="36"/>
      <c r="CW114" s="36"/>
      <c r="CX114" s="101">
        <f t="shared" si="13"/>
        <v>0</v>
      </c>
      <c r="CY114" s="36"/>
      <c r="CZ114" s="36"/>
      <c r="DA114" s="36"/>
      <c r="DB114" s="36"/>
      <c r="DC114" s="36"/>
      <c r="DD114" s="36"/>
      <c r="DE114" s="101">
        <f t="shared" si="14"/>
        <v>0</v>
      </c>
      <c r="DF114" s="36"/>
      <c r="DG114" s="36"/>
      <c r="DH114" s="36"/>
      <c r="DI114" s="36"/>
      <c r="DJ114" s="36"/>
      <c r="DK114" s="36"/>
      <c r="DL114" s="101">
        <f t="shared" si="15"/>
        <v>0</v>
      </c>
      <c r="DS114" s="101">
        <f t="shared" si="16"/>
        <v>0</v>
      </c>
      <c r="DZ114" s="101">
        <f t="shared" si="17"/>
        <v>0</v>
      </c>
    </row>
    <row r="115">
      <c r="A115" s="102">
        <v>45907.0</v>
      </c>
      <c r="B115" s="101" t="s">
        <v>42</v>
      </c>
      <c r="C115" s="101">
        <v>9.1</v>
      </c>
      <c r="D115" s="101">
        <v>10.0</v>
      </c>
      <c r="E115" s="101">
        <v>28.0</v>
      </c>
      <c r="F115" s="101">
        <v>55.0</v>
      </c>
      <c r="G115" s="101">
        <v>45.0</v>
      </c>
      <c r="H115" s="101">
        <v>45.0</v>
      </c>
      <c r="I115" s="101">
        <v>40.0</v>
      </c>
      <c r="J115" s="101">
        <v>45.0</v>
      </c>
      <c r="K115" s="101">
        <v>50.0</v>
      </c>
      <c r="L115" s="101">
        <v>7.0</v>
      </c>
      <c r="M115" s="101">
        <v>21.0</v>
      </c>
      <c r="N115" s="101">
        <v>3.0</v>
      </c>
      <c r="O115" s="101">
        <v>2.0</v>
      </c>
      <c r="R115" s="101">
        <f t="shared" si="1"/>
        <v>33</v>
      </c>
      <c r="S115" s="103">
        <v>7.0</v>
      </c>
      <c r="T115" s="36"/>
      <c r="U115" s="36"/>
      <c r="V115" s="36"/>
      <c r="W115" s="36"/>
      <c r="X115" s="36"/>
      <c r="Y115" s="101">
        <f t="shared" si="2"/>
        <v>7</v>
      </c>
      <c r="Z115" s="101">
        <v>19.0</v>
      </c>
      <c r="AA115" s="101">
        <v>5.0</v>
      </c>
      <c r="AF115" s="101">
        <f t="shared" si="3"/>
        <v>24</v>
      </c>
      <c r="AG115" s="36"/>
      <c r="AH115" s="36"/>
      <c r="AI115" s="103">
        <v>4.0</v>
      </c>
      <c r="AJ115" s="36"/>
      <c r="AK115" s="36"/>
      <c r="AL115" s="36"/>
      <c r="AM115" s="101">
        <f t="shared" si="4"/>
        <v>4</v>
      </c>
      <c r="AN115" s="36"/>
      <c r="AO115" s="36"/>
      <c r="AP115" s="36"/>
      <c r="AQ115" s="36"/>
      <c r="AR115" s="36"/>
      <c r="AS115" s="36"/>
      <c r="AT115" s="101">
        <f t="shared" si="5"/>
        <v>0</v>
      </c>
      <c r="AU115" s="36"/>
      <c r="AV115" s="36"/>
      <c r="AW115" s="36"/>
      <c r="AX115" s="36"/>
      <c r="AY115" s="36"/>
      <c r="AZ115" s="36"/>
      <c r="BA115" s="101">
        <f t="shared" si="6"/>
        <v>0</v>
      </c>
      <c r="BB115" s="36"/>
      <c r="BC115" s="36"/>
      <c r="BD115" s="36"/>
      <c r="BE115" s="103">
        <v>1.0</v>
      </c>
      <c r="BF115" s="36"/>
      <c r="BG115" s="36"/>
      <c r="BH115" s="101">
        <f t="shared" si="7"/>
        <v>1</v>
      </c>
      <c r="BI115" s="103">
        <v>1.0</v>
      </c>
      <c r="BJ115" s="103">
        <v>1.0</v>
      </c>
      <c r="BK115" s="36"/>
      <c r="BL115" s="36"/>
      <c r="BM115" s="36"/>
      <c r="BN115" s="36"/>
      <c r="BO115" s="101">
        <f t="shared" si="8"/>
        <v>2</v>
      </c>
      <c r="BP115" s="36"/>
      <c r="BQ115" s="103">
        <v>2.0</v>
      </c>
      <c r="BR115" s="36"/>
      <c r="BS115" s="36"/>
      <c r="BT115" s="36"/>
      <c r="BU115" s="36"/>
      <c r="BV115" s="101">
        <f t="shared" si="9"/>
        <v>2</v>
      </c>
      <c r="BW115" s="36"/>
      <c r="BX115" s="36"/>
      <c r="BY115" s="36"/>
      <c r="BZ115" s="36"/>
      <c r="CA115" s="36"/>
      <c r="CB115" s="36"/>
      <c r="CC115" s="101">
        <f t="shared" si="10"/>
        <v>0</v>
      </c>
      <c r="CD115" s="36"/>
      <c r="CE115" s="36"/>
      <c r="CF115" s="36"/>
      <c r="CG115" s="36"/>
      <c r="CH115" s="36"/>
      <c r="CI115" s="36"/>
      <c r="CJ115" s="101">
        <f t="shared" si="11"/>
        <v>0</v>
      </c>
      <c r="CQ115" s="101">
        <f t="shared" si="12"/>
        <v>0</v>
      </c>
      <c r="CR115" s="36"/>
      <c r="CS115" s="36"/>
      <c r="CT115" s="36"/>
      <c r="CU115" s="36"/>
      <c r="CV115" s="36"/>
      <c r="CW115" s="36"/>
      <c r="CX115" s="101">
        <f t="shared" si="13"/>
        <v>0</v>
      </c>
      <c r="CY115" s="36"/>
      <c r="CZ115" s="36"/>
      <c r="DA115" s="36"/>
      <c r="DB115" s="36"/>
      <c r="DC115" s="36"/>
      <c r="DD115" s="36"/>
      <c r="DE115" s="101">
        <f t="shared" si="14"/>
        <v>0</v>
      </c>
      <c r="DF115" s="36"/>
      <c r="DG115" s="36"/>
      <c r="DH115" s="36"/>
      <c r="DI115" s="36"/>
      <c r="DJ115" s="36"/>
      <c r="DK115" s="36"/>
      <c r="DL115" s="101">
        <f t="shared" si="15"/>
        <v>0</v>
      </c>
      <c r="DS115" s="101">
        <f t="shared" si="16"/>
        <v>0</v>
      </c>
      <c r="DZ115" s="101">
        <f t="shared" si="17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209</v>
      </c>
      <c r="B1" s="38" t="s">
        <v>210</v>
      </c>
    </row>
    <row r="2">
      <c r="A2" s="38" t="s">
        <v>211</v>
      </c>
      <c r="B2" s="38"/>
    </row>
    <row r="3">
      <c r="A3" s="104" t="s">
        <v>6</v>
      </c>
      <c r="B3" s="101" t="s">
        <v>212</v>
      </c>
    </row>
    <row r="4">
      <c r="A4" s="104" t="s">
        <v>7</v>
      </c>
      <c r="B4" s="101" t="s">
        <v>213</v>
      </c>
    </row>
    <row r="5">
      <c r="A5" s="104" t="s">
        <v>8</v>
      </c>
      <c r="B5" s="101" t="s">
        <v>214</v>
      </c>
    </row>
    <row r="6">
      <c r="A6" s="104" t="s">
        <v>9</v>
      </c>
      <c r="B6" s="101" t="s">
        <v>215</v>
      </c>
    </row>
    <row r="7">
      <c r="A7" s="38" t="s">
        <v>216</v>
      </c>
    </row>
    <row r="8">
      <c r="A8" s="101" t="s">
        <v>217</v>
      </c>
      <c r="B8" s="101" t="s">
        <v>218</v>
      </c>
    </row>
    <row r="9">
      <c r="A9" s="101" t="s">
        <v>219</v>
      </c>
      <c r="B9" s="101" t="s">
        <v>220</v>
      </c>
    </row>
    <row r="10">
      <c r="A10" s="101" t="s">
        <v>221</v>
      </c>
      <c r="B10" s="101" t="s">
        <v>222</v>
      </c>
    </row>
    <row r="11">
      <c r="A11" s="101" t="s">
        <v>223</v>
      </c>
      <c r="B11" s="101" t="s">
        <v>224</v>
      </c>
    </row>
    <row r="12">
      <c r="A12" s="101" t="s">
        <v>225</v>
      </c>
      <c r="B12" s="101" t="s">
        <v>226</v>
      </c>
    </row>
    <row r="13">
      <c r="A13" s="101" t="s">
        <v>227</v>
      </c>
    </row>
    <row r="14">
      <c r="A14" s="38" t="s">
        <v>228</v>
      </c>
    </row>
    <row r="15">
      <c r="A15" s="101" t="s">
        <v>229</v>
      </c>
      <c r="B15" s="101" t="s">
        <v>230</v>
      </c>
    </row>
    <row r="16">
      <c r="A16" s="101" t="s">
        <v>231</v>
      </c>
      <c r="B16" s="101" t="s">
        <v>232</v>
      </c>
    </row>
    <row r="17">
      <c r="A17" s="101" t="s">
        <v>233</v>
      </c>
      <c r="B17" s="101" t="s">
        <v>234</v>
      </c>
    </row>
    <row r="18">
      <c r="A18" s="101" t="s">
        <v>235</v>
      </c>
      <c r="B18" s="101" t="s">
        <v>236</v>
      </c>
    </row>
    <row r="19">
      <c r="A19" s="101" t="s">
        <v>237</v>
      </c>
      <c r="B19" s="101" t="s">
        <v>238</v>
      </c>
    </row>
    <row r="20">
      <c r="A20" s="38" t="s">
        <v>239</v>
      </c>
      <c r="B20" s="38"/>
    </row>
    <row r="21">
      <c r="A21" s="105" t="s">
        <v>240</v>
      </c>
      <c r="B21" s="105" t="s">
        <v>241</v>
      </c>
    </row>
    <row r="22">
      <c r="A22" s="105" t="s">
        <v>242</v>
      </c>
      <c r="B22" s="105" t="s">
        <v>243</v>
      </c>
    </row>
    <row r="23">
      <c r="A23" s="105" t="s">
        <v>244</v>
      </c>
      <c r="B23" s="105" t="s">
        <v>245</v>
      </c>
    </row>
    <row r="24">
      <c r="A24" s="105" t="s">
        <v>246</v>
      </c>
      <c r="B24" s="105" t="s">
        <v>247</v>
      </c>
    </row>
    <row r="25">
      <c r="A25" s="105" t="s">
        <v>248</v>
      </c>
      <c r="B25" s="105" t="s">
        <v>249</v>
      </c>
    </row>
    <row r="26">
      <c r="A26" s="105" t="s">
        <v>250</v>
      </c>
      <c r="B26" s="105" t="s">
        <v>251</v>
      </c>
    </row>
    <row r="27">
      <c r="A27" s="105" t="s">
        <v>252</v>
      </c>
      <c r="B27" s="105" t="s">
        <v>253</v>
      </c>
    </row>
    <row r="28">
      <c r="A28" s="38" t="s">
        <v>254</v>
      </c>
    </row>
    <row r="29">
      <c r="A29" s="101" t="s">
        <v>29</v>
      </c>
      <c r="B29" s="101" t="s">
        <v>255</v>
      </c>
    </row>
    <row r="30">
      <c r="A30" s="101" t="s">
        <v>30</v>
      </c>
      <c r="B30" s="101" t="s">
        <v>256</v>
      </c>
    </row>
    <row r="31">
      <c r="A31" s="101" t="s">
        <v>257</v>
      </c>
      <c r="B31" s="101" t="s">
        <v>258</v>
      </c>
    </row>
    <row r="32">
      <c r="A32" s="101" t="s">
        <v>27</v>
      </c>
      <c r="B32" s="101" t="s">
        <v>259</v>
      </c>
    </row>
    <row r="33">
      <c r="A33" s="101" t="s">
        <v>260</v>
      </c>
      <c r="B33" s="101" t="s">
        <v>261</v>
      </c>
    </row>
    <row r="34">
      <c r="A34" s="101" t="s">
        <v>33</v>
      </c>
      <c r="B34" s="101" t="s">
        <v>262</v>
      </c>
    </row>
    <row r="35">
      <c r="A35" s="101" t="s">
        <v>263</v>
      </c>
      <c r="B35" s="101" t="s">
        <v>264</v>
      </c>
    </row>
    <row r="36">
      <c r="A36" s="101" t="s">
        <v>265</v>
      </c>
      <c r="B36" s="101" t="s">
        <v>266</v>
      </c>
    </row>
    <row r="37">
      <c r="A37" s="101" t="s">
        <v>28</v>
      </c>
      <c r="B37" s="101" t="s">
        <v>267</v>
      </c>
    </row>
    <row r="38">
      <c r="A38" s="101" t="s">
        <v>268</v>
      </c>
      <c r="B38" s="101" t="s">
        <v>269</v>
      </c>
    </row>
    <row r="39">
      <c r="A39" s="38" t="s">
        <v>270</v>
      </c>
    </row>
    <row r="40">
      <c r="A40" s="101" t="s">
        <v>52</v>
      </c>
      <c r="B40" s="101" t="s">
        <v>271</v>
      </c>
    </row>
    <row r="41">
      <c r="A41" s="101" t="s">
        <v>272</v>
      </c>
      <c r="B41" s="101" t="s">
        <v>273</v>
      </c>
    </row>
    <row r="42">
      <c r="A42" s="101" t="s">
        <v>274</v>
      </c>
      <c r="B42" s="101" t="s">
        <v>275</v>
      </c>
    </row>
    <row r="43">
      <c r="A43" s="101" t="s">
        <v>55</v>
      </c>
      <c r="B43" s="101" t="s">
        <v>276</v>
      </c>
    </row>
    <row r="44">
      <c r="A44" s="101" t="s">
        <v>57</v>
      </c>
      <c r="B44" s="101" t="s">
        <v>277</v>
      </c>
    </row>
    <row r="45">
      <c r="A45" s="101" t="s">
        <v>58</v>
      </c>
      <c r="B45" s="101" t="s">
        <v>278</v>
      </c>
    </row>
    <row r="46">
      <c r="A46" s="101" t="s">
        <v>56</v>
      </c>
      <c r="B46" s="101" t="s">
        <v>279</v>
      </c>
    </row>
    <row r="47">
      <c r="A47" s="101" t="s">
        <v>63</v>
      </c>
      <c r="B47" s="101" t="s">
        <v>280</v>
      </c>
    </row>
    <row r="48">
      <c r="A48" s="101" t="s">
        <v>2</v>
      </c>
      <c r="B48" s="101" t="s">
        <v>281</v>
      </c>
    </row>
    <row r="49">
      <c r="A49" s="101" t="s">
        <v>59</v>
      </c>
      <c r="B49" s="101" t="s">
        <v>282</v>
      </c>
    </row>
    <row r="50">
      <c r="A50" s="101" t="s">
        <v>61</v>
      </c>
      <c r="B50" s="101" t="s">
        <v>283</v>
      </c>
    </row>
    <row r="51">
      <c r="A51" s="101" t="s">
        <v>60</v>
      </c>
      <c r="B51" s="101" t="s">
        <v>284</v>
      </c>
    </row>
    <row r="52">
      <c r="A52" s="101" t="s">
        <v>285</v>
      </c>
      <c r="B52" s="101" t="s">
        <v>286</v>
      </c>
    </row>
    <row r="53">
      <c r="A53" s="101" t="s">
        <v>62</v>
      </c>
      <c r="B53" s="101" t="s">
        <v>287</v>
      </c>
    </row>
    <row r="54">
      <c r="A54" s="101" t="s">
        <v>288</v>
      </c>
      <c r="B54" s="101" t="s">
        <v>266</v>
      </c>
    </row>
    <row r="55">
      <c r="A55" s="101" t="s">
        <v>227</v>
      </c>
      <c r="B55" s="101" t="s">
        <v>289</v>
      </c>
    </row>
    <row r="56">
      <c r="A56" s="101" t="s">
        <v>290</v>
      </c>
      <c r="B56" s="101" t="s">
        <v>255</v>
      </c>
    </row>
    <row r="57">
      <c r="A57" s="101" t="s">
        <v>291</v>
      </c>
      <c r="B57" s="101" t="s">
        <v>269</v>
      </c>
    </row>
    <row r="59">
      <c r="A59" s="101" t="s">
        <v>292</v>
      </c>
      <c r="B59" s="101" t="s">
        <v>293</v>
      </c>
    </row>
    <row r="60">
      <c r="A60" s="101" t="s">
        <v>294</v>
      </c>
    </row>
  </sheetData>
  <drawing r:id="rId1"/>
</worksheet>
</file>